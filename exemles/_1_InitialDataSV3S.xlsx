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Z:\Work\WORK\SV3S\DynamicLaunch\MY\Program_launch_SV3S\_version_04\"/>
    </mc:Choice>
  </mc:AlternateContent>
  <xr:revisionPtr revIDLastSave="0" documentId="13_ncr:1_{30922C78-30DB-4154-ACE5-841FF53D314E}" xr6:coauthVersionLast="44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en" sheetId="8" r:id="rId1"/>
    <sheet name="TNA" sheetId="5" r:id="rId2"/>
    <sheet name="Valves" sheetId="4" r:id="rId3"/>
    <sheet name="Extra Data" sheetId="6" r:id="rId4"/>
    <sheet name="kRTotKmCh" sheetId="11" r:id="rId5"/>
    <sheet name="kRTotKmGg" sheetId="13" r:id="rId6"/>
    <sheet name="rhoOx" sheetId="7" r:id="rId7"/>
    <sheet name="rhoFu" sheetId="2" r:id="rId8"/>
    <sheet name="CpOx" sheetId="14" r:id="rId9"/>
    <sheet name="KOx" sheetId="15" r:id="rId10"/>
    <sheet name="StyleЭП810" sheetId="3" r:id="rId11"/>
    <sheet name="LinePipe" sheetId="16" r:id="rId12"/>
    <sheet name="VarRule" sheetId="10" r:id="rId13"/>
  </sheets>
  <externalReferences>
    <externalReference r:id="rId1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5" i="8" l="1"/>
  <c r="I18" i="4" l="1"/>
  <c r="H18" i="4"/>
  <c r="I17" i="4"/>
  <c r="H17" i="4"/>
  <c r="I16" i="4"/>
  <c r="H16" i="4"/>
  <c r="G16" i="4"/>
  <c r="F16" i="4"/>
  <c r="I15" i="4"/>
  <c r="I14" i="4"/>
  <c r="G14" i="4"/>
  <c r="J13" i="4"/>
  <c r="I13" i="4"/>
  <c r="H13" i="4"/>
  <c r="G13" i="4"/>
  <c r="J12" i="4"/>
  <c r="I12" i="4"/>
  <c r="G12" i="4"/>
  <c r="B230" i="8" l="1"/>
  <c r="B54" i="8" l="1"/>
  <c r="R23" i="4" l="1"/>
  <c r="B7" i="8"/>
  <c r="H8" i="4" l="1"/>
  <c r="B55" i="8"/>
  <c r="E54" i="8" l="1"/>
  <c r="B95" i="8" l="1"/>
  <c r="G4" i="4" l="1"/>
  <c r="G3" i="4"/>
  <c r="G2" i="4"/>
  <c r="G6" i="4" l="1"/>
  <c r="B145" i="8" l="1"/>
  <c r="B112" i="8" l="1"/>
  <c r="B111" i="8"/>
  <c r="D4" i="8"/>
  <c r="B96" i="8"/>
  <c r="D94" i="8"/>
  <c r="D5" i="8" l="1"/>
  <c r="B63" i="8"/>
  <c r="I12" i="5"/>
  <c r="I8" i="4"/>
  <c r="D106" i="8" l="1"/>
  <c r="E101" i="8"/>
  <c r="B48" i="8" l="1"/>
  <c r="B39" i="8"/>
  <c r="B158" i="8" l="1"/>
  <c r="B51" i="8" l="1"/>
  <c r="B93" i="8" l="1"/>
  <c r="B127" i="8" l="1"/>
  <c r="B157" i="8" l="1"/>
  <c r="B156" i="8"/>
  <c r="B155" i="8"/>
  <c r="I3" i="4" l="1"/>
  <c r="I4" i="4"/>
  <c r="I5" i="4"/>
  <c r="I6" i="4"/>
  <c r="I7" i="4"/>
  <c r="I2" i="4"/>
  <c r="H6" i="4" l="1"/>
  <c r="H7" i="4" l="1"/>
  <c r="B141" i="8"/>
  <c r="B169" i="8" l="1"/>
  <c r="B198" i="8" l="1"/>
  <c r="B196" i="8"/>
  <c r="B195" i="8"/>
  <c r="B194" i="8"/>
  <c r="B192" i="8"/>
  <c r="B191" i="8"/>
  <c r="B123" i="8"/>
  <c r="B121" i="8"/>
  <c r="B122" i="8"/>
  <c r="B139" i="8"/>
  <c r="B138" i="8"/>
  <c r="B137" i="8"/>
  <c r="B136" i="8"/>
  <c r="B135" i="8"/>
  <c r="B134" i="8"/>
  <c r="B133" i="8"/>
  <c r="B126" i="8"/>
  <c r="B193" i="8" l="1"/>
  <c r="B131" i="8"/>
  <c r="B130" i="8"/>
  <c r="B119" i="8" l="1"/>
  <c r="B118" i="8"/>
  <c r="B129" i="8" l="1"/>
  <c r="B128" i="8"/>
  <c r="B125" i="8" l="1"/>
  <c r="B168" i="8" l="1"/>
  <c r="B167" i="8"/>
  <c r="B120" i="8" l="1"/>
  <c r="B148" i="8" l="1"/>
  <c r="B147" i="8"/>
  <c r="B163" i="8" l="1"/>
  <c r="B161" i="8"/>
  <c r="B160" i="8"/>
  <c r="B165" i="8"/>
  <c r="B166" i="8" s="1"/>
  <c r="B164" i="8"/>
  <c r="D167" i="8"/>
  <c r="D165" i="8"/>
  <c r="D164" i="8"/>
  <c r="D162" i="8"/>
  <c r="D161" i="8"/>
  <c r="D160" i="8"/>
  <c r="B146" i="8"/>
  <c r="B117" i="8"/>
  <c r="B124" i="8" s="1"/>
  <c r="B116" i="8"/>
  <c r="B108" i="8"/>
  <c r="B107" i="8"/>
  <c r="B162" i="8" l="1"/>
  <c r="B85" i="8" l="1"/>
  <c r="AK229" i="15" l="1"/>
  <c r="B77" i="8" l="1"/>
  <c r="B76" i="8"/>
  <c r="B72" i="8"/>
  <c r="B71" i="8"/>
  <c r="B66" i="8"/>
  <c r="B67" i="8"/>
  <c r="G12" i="5" l="1"/>
  <c r="E12" i="5"/>
  <c r="D12" i="5"/>
  <c r="C12" i="5"/>
  <c r="B12" i="5"/>
  <c r="E11" i="5" l="1"/>
  <c r="E10" i="5"/>
  <c r="E9" i="5"/>
  <c r="D11" i="5"/>
  <c r="D10" i="5"/>
  <c r="D9" i="5"/>
  <c r="C11" i="5"/>
  <c r="C10" i="5"/>
  <c r="C9" i="5"/>
  <c r="B11" i="5"/>
  <c r="B10" i="5"/>
  <c r="B9" i="5"/>
  <c r="H3" i="4" l="1"/>
  <c r="J3" i="4"/>
  <c r="B209" i="8" l="1"/>
  <c r="B208" i="8"/>
  <c r="B216" i="8" l="1"/>
  <c r="B207" i="8"/>
  <c r="B206" i="8"/>
  <c r="B204" i="8"/>
  <c r="B215" i="8"/>
  <c r="B213" i="8" l="1"/>
  <c r="D206" i="8" l="1"/>
  <c r="B201" i="8" l="1"/>
  <c r="B203" i="8"/>
  <c r="B212" i="8" l="1"/>
  <c r="AI2" i="15" l="1"/>
  <c r="AI3" i="15"/>
  <c r="AI4" i="15"/>
  <c r="AI5" i="15"/>
  <c r="AI6" i="15"/>
  <c r="AI7" i="15"/>
  <c r="AI8" i="15"/>
  <c r="AI9" i="15"/>
  <c r="AI10" i="15"/>
  <c r="AI11" i="15"/>
  <c r="AI12" i="15"/>
  <c r="AI13" i="15"/>
  <c r="AI14" i="15"/>
  <c r="AI15" i="15"/>
  <c r="AI16" i="15"/>
  <c r="AI17" i="15"/>
  <c r="AI18" i="15"/>
  <c r="AI19" i="15"/>
  <c r="AI20" i="15"/>
  <c r="AI21" i="15"/>
  <c r="AI22" i="15"/>
  <c r="AI23" i="15"/>
  <c r="AI24" i="15"/>
  <c r="AI25" i="15"/>
  <c r="AI26" i="15"/>
  <c r="AI27" i="15"/>
  <c r="AI28" i="15"/>
  <c r="AI29" i="15"/>
  <c r="AI30" i="15"/>
  <c r="AI31" i="15"/>
  <c r="AI32" i="15"/>
  <c r="AI33" i="15"/>
  <c r="AI34" i="15"/>
  <c r="AI35" i="15"/>
  <c r="AI36" i="15"/>
  <c r="AI37" i="15"/>
  <c r="AI38" i="15"/>
  <c r="AI39" i="15"/>
  <c r="AI40" i="15"/>
  <c r="AI41" i="15"/>
  <c r="AI42" i="15"/>
  <c r="AI43" i="15"/>
  <c r="AI44" i="15"/>
  <c r="AI45" i="15"/>
  <c r="AI46" i="15"/>
  <c r="AI47" i="15"/>
  <c r="AI48" i="15"/>
  <c r="AI49" i="15"/>
  <c r="AI50" i="15"/>
  <c r="AI51" i="15"/>
  <c r="AI52" i="15"/>
  <c r="AI53" i="15"/>
  <c r="AI54" i="15"/>
  <c r="AI55" i="15"/>
  <c r="AI56" i="15"/>
  <c r="AI57" i="15"/>
  <c r="AI58" i="15"/>
  <c r="AI59" i="15"/>
  <c r="AI60" i="15"/>
  <c r="AI61" i="15"/>
  <c r="AI62" i="15"/>
  <c r="AI63" i="15"/>
  <c r="AI64" i="15"/>
  <c r="AI65" i="15"/>
  <c r="AI66" i="15"/>
  <c r="AI67" i="15"/>
  <c r="AI68" i="15"/>
  <c r="AI69" i="15"/>
  <c r="AI70" i="15"/>
  <c r="AI71" i="15"/>
  <c r="AI72" i="15"/>
  <c r="AI73" i="15"/>
  <c r="AI74" i="15"/>
  <c r="AI75" i="15"/>
  <c r="AI76" i="15"/>
  <c r="AI77" i="15"/>
  <c r="AI78" i="15"/>
  <c r="AI79" i="15"/>
  <c r="AI80" i="15"/>
  <c r="AI81" i="15"/>
  <c r="AI82" i="15"/>
  <c r="AI83" i="15"/>
  <c r="AI84" i="15"/>
  <c r="AI85" i="15"/>
  <c r="AI86" i="15"/>
  <c r="AI87" i="15"/>
  <c r="AI88" i="15"/>
  <c r="AI89" i="15"/>
  <c r="AI90" i="15"/>
  <c r="AI91" i="15"/>
  <c r="AI92" i="15"/>
  <c r="AI93" i="15"/>
  <c r="AI94" i="15"/>
  <c r="AI95" i="15"/>
  <c r="AI96" i="15"/>
  <c r="AI97" i="15"/>
  <c r="AI98" i="15"/>
  <c r="AI99" i="15"/>
  <c r="AI100" i="15"/>
  <c r="AI101" i="15"/>
  <c r="AI102" i="15"/>
  <c r="AI103" i="15"/>
  <c r="AI104" i="15"/>
  <c r="AI105" i="15"/>
  <c r="AI106" i="15"/>
  <c r="AI107" i="15"/>
  <c r="AI108" i="15"/>
  <c r="AI109" i="15"/>
  <c r="AI110" i="15"/>
  <c r="AI111" i="15"/>
  <c r="AI112" i="15"/>
  <c r="AI113" i="15"/>
  <c r="AI114" i="15"/>
  <c r="AI115" i="15"/>
  <c r="AI116" i="15"/>
  <c r="AI117" i="15"/>
  <c r="AI118" i="15"/>
  <c r="AI119" i="15"/>
  <c r="AI120" i="15"/>
  <c r="AI121" i="15"/>
  <c r="AI122" i="15"/>
  <c r="AI123" i="15"/>
  <c r="AI124" i="15"/>
  <c r="AI125" i="15"/>
  <c r="AI126" i="15"/>
  <c r="AI127" i="15"/>
  <c r="AI128" i="15"/>
  <c r="AI129" i="15"/>
  <c r="AI130" i="15"/>
  <c r="AI131" i="15"/>
  <c r="AI132" i="15"/>
  <c r="AI133" i="15"/>
  <c r="AI134" i="15"/>
  <c r="AI135" i="15"/>
  <c r="AI136" i="15"/>
  <c r="AI137" i="15"/>
  <c r="AI138" i="15"/>
  <c r="AI139" i="15"/>
  <c r="AI140" i="15"/>
  <c r="AI141" i="15"/>
  <c r="AI142" i="15"/>
  <c r="AI143" i="15"/>
  <c r="AI144" i="15"/>
  <c r="AI145" i="15"/>
  <c r="AI146" i="15"/>
  <c r="AI147" i="15"/>
  <c r="AI148" i="15"/>
  <c r="AI149" i="15"/>
  <c r="AI150" i="15"/>
  <c r="AI151" i="15"/>
  <c r="AI152" i="15"/>
  <c r="AI153" i="15"/>
  <c r="AI154" i="15"/>
  <c r="AI155" i="15"/>
  <c r="AI156" i="15"/>
  <c r="AI157" i="15"/>
  <c r="AI158" i="15"/>
  <c r="AI159" i="15"/>
  <c r="AI160" i="15"/>
  <c r="AI161" i="15"/>
  <c r="AI162" i="15"/>
  <c r="AI163" i="15"/>
  <c r="AI164" i="15"/>
  <c r="AI165" i="15"/>
  <c r="AI166" i="15"/>
  <c r="AI167" i="15"/>
  <c r="AI168" i="15"/>
  <c r="AI169" i="15"/>
  <c r="AI170" i="15"/>
  <c r="AI171" i="15"/>
  <c r="AI172" i="15"/>
  <c r="AI173" i="15"/>
  <c r="AI174" i="15"/>
  <c r="AI175" i="15"/>
  <c r="AI176" i="15"/>
  <c r="AI177" i="15"/>
  <c r="AI178" i="15"/>
  <c r="AI179" i="15"/>
  <c r="AI180" i="15"/>
  <c r="AI181" i="15"/>
  <c r="AI182" i="15"/>
  <c r="AI183" i="15"/>
  <c r="AI184" i="15"/>
  <c r="AI185" i="15"/>
  <c r="AI186" i="15"/>
  <c r="AI187" i="15"/>
  <c r="AI188" i="15"/>
  <c r="AI189" i="15"/>
  <c r="AI190" i="15"/>
  <c r="AI191" i="15"/>
  <c r="AI192" i="15"/>
  <c r="AI193" i="15"/>
  <c r="AI194" i="15"/>
  <c r="AI195" i="15"/>
  <c r="AI196" i="15"/>
  <c r="AI197" i="15"/>
  <c r="AI198" i="15"/>
  <c r="AI199" i="15"/>
  <c r="AI200" i="15"/>
  <c r="AI201" i="15"/>
  <c r="AI202" i="15"/>
  <c r="AI203" i="15"/>
  <c r="AI204" i="15"/>
  <c r="AI205" i="15"/>
  <c r="AI206" i="15"/>
  <c r="AI207" i="15"/>
  <c r="AI208" i="15"/>
  <c r="AI209" i="15"/>
  <c r="AI210" i="15"/>
  <c r="AI211" i="15"/>
  <c r="AI212" i="15"/>
  <c r="AI213" i="15"/>
  <c r="AI214" i="15"/>
  <c r="AI215" i="15"/>
  <c r="AI216" i="15"/>
  <c r="AI217" i="15"/>
  <c r="AI218" i="15"/>
  <c r="AI219" i="15"/>
  <c r="AI220" i="15"/>
  <c r="AI221" i="15"/>
  <c r="AI222" i="15"/>
  <c r="AI223" i="15"/>
  <c r="AI224" i="15"/>
  <c r="AI225" i="15"/>
  <c r="AI226" i="15"/>
  <c r="B100" i="8" l="1"/>
  <c r="B19" i="8" l="1"/>
  <c r="B105" i="8"/>
  <c r="B104" i="8"/>
  <c r="B102" i="8"/>
  <c r="B89" i="8" l="1"/>
  <c r="B38" i="8" l="1"/>
  <c r="B37" i="8"/>
  <c r="B88" i="8"/>
  <c r="B41" i="8" l="1"/>
  <c r="B228" i="8" l="1"/>
  <c r="B227" i="8"/>
  <c r="B226" i="8"/>
  <c r="B225" i="8"/>
  <c r="B224" i="8"/>
  <c r="B223" i="8"/>
  <c r="B222" i="8"/>
  <c r="B221" i="8"/>
  <c r="B220" i="8"/>
  <c r="B219" i="8"/>
  <c r="B218" i="8"/>
  <c r="B214" i="8"/>
  <c r="B211" i="8"/>
  <c r="B205" i="8"/>
  <c r="B202" i="8"/>
  <c r="B87" i="8" l="1"/>
  <c r="B14" i="8"/>
  <c r="B13" i="8"/>
  <c r="AG1" i="14"/>
  <c r="W1" i="15"/>
  <c r="AH1" i="14"/>
  <c r="R1" i="14"/>
  <c r="T1" i="15"/>
  <c r="AE1" i="14"/>
  <c r="F1" i="14"/>
  <c r="AC1" i="15"/>
  <c r="M1" i="15"/>
  <c r="K1" i="15"/>
  <c r="F1" i="15"/>
  <c r="O1" i="15"/>
  <c r="O1" i="14"/>
  <c r="U1" i="14"/>
  <c r="AG1" i="15"/>
  <c r="G1" i="15"/>
  <c r="AD1" i="15"/>
  <c r="C1" i="14"/>
  <c r="S1" i="14"/>
  <c r="AC1" i="14"/>
  <c r="R1" i="15"/>
  <c r="C1" i="15"/>
  <c r="AF1" i="15"/>
  <c r="Q1" i="15"/>
  <c r="AA1" i="15"/>
  <c r="W1" i="14"/>
  <c r="J1" i="15"/>
  <c r="T1" i="14"/>
  <c r="Z1" i="14"/>
  <c r="V1" i="14"/>
  <c r="AB1" i="14"/>
  <c r="AE1" i="15"/>
  <c r="N1" i="15"/>
  <c r="P1" i="15"/>
  <c r="E1" i="15"/>
  <c r="E1" i="14"/>
  <c r="K1" i="14"/>
  <c r="AH1" i="15"/>
  <c r="L1" i="15"/>
  <c r="X1" i="14"/>
  <c r="J1" i="14"/>
  <c r="B1" i="15"/>
  <c r="G1" i="14"/>
  <c r="D1" i="14"/>
  <c r="AB1" i="15"/>
  <c r="H1" i="14"/>
  <c r="I1" i="14"/>
  <c r="P1" i="14"/>
  <c r="U1" i="15"/>
  <c r="M1" i="14"/>
  <c r="AA1" i="14"/>
  <c r="S1" i="15"/>
  <c r="Q1" i="14"/>
  <c r="AD1" i="14"/>
  <c r="Y1" i="15"/>
  <c r="Z1" i="15"/>
  <c r="N1" i="14"/>
  <c r="D1" i="15"/>
  <c r="V1" i="15"/>
  <c r="I1" i="15"/>
  <c r="L1" i="14"/>
  <c r="B1" i="14"/>
  <c r="Y1" i="14"/>
  <c r="X1" i="15"/>
  <c r="AF1" i="14"/>
  <c r="H1" i="15"/>
  <c r="AI1" i="15" l="1"/>
  <c r="A181" i="14"/>
  <c r="A124" i="14"/>
  <c r="A143" i="14"/>
  <c r="AI189" i="14"/>
  <c r="A146" i="14"/>
  <c r="AI110" i="14"/>
  <c r="A16" i="14"/>
  <c r="A1" i="14"/>
  <c r="A215" i="14"/>
  <c r="AI161" i="14"/>
  <c r="A86" i="14"/>
  <c r="A174" i="14"/>
  <c r="A111" i="14"/>
  <c r="AI212" i="14"/>
  <c r="A203" i="14"/>
  <c r="AI168" i="14"/>
  <c r="A122" i="14"/>
  <c r="AI217" i="14"/>
  <c r="AI195" i="14"/>
  <c r="AI175" i="14"/>
  <c r="A223" i="14"/>
  <c r="AI196" i="14"/>
  <c r="A195" i="14"/>
  <c r="AI123" i="14"/>
  <c r="AI127" i="14"/>
  <c r="A185" i="14"/>
  <c r="A162" i="14"/>
  <c r="A202" i="14"/>
  <c r="AI224" i="14"/>
  <c r="A135" i="14"/>
  <c r="AI159" i="14"/>
  <c r="AI139" i="14"/>
  <c r="A190" i="14"/>
  <c r="A99" i="14"/>
  <c r="AI54" i="14"/>
  <c r="AI147" i="14"/>
  <c r="A164" i="14"/>
  <c r="A211" i="14"/>
  <c r="AI172" i="14"/>
  <c r="AI209" i="14"/>
  <c r="A204" i="14"/>
  <c r="AI143" i="14"/>
  <c r="AI204" i="14"/>
  <c r="A77" i="14"/>
  <c r="AI179" i="14"/>
  <c r="AI214" i="14"/>
  <c r="A117" i="14"/>
  <c r="A94" i="14"/>
  <c r="A183" i="14"/>
  <c r="A187" i="14"/>
  <c r="A157" i="14"/>
  <c r="AI132" i="14"/>
  <c r="A23" i="14"/>
  <c r="A127" i="14"/>
  <c r="A158" i="14"/>
  <c r="AI193" i="14"/>
  <c r="AI165" i="14"/>
  <c r="A210" i="14"/>
  <c r="A100" i="14"/>
  <c r="A129" i="14"/>
  <c r="A168" i="14"/>
  <c r="A144" i="14"/>
  <c r="AI82" i="14"/>
  <c r="A217" i="14"/>
  <c r="AI197" i="14"/>
  <c r="AI142" i="14"/>
  <c r="A118" i="14"/>
  <c r="AI130" i="14"/>
  <c r="AI221" i="14"/>
  <c r="AI188" i="14"/>
  <c r="AI198" i="14"/>
  <c r="AI177" i="14"/>
  <c r="AI207" i="14"/>
  <c r="A119" i="14"/>
  <c r="A192" i="14"/>
  <c r="AI1" i="14"/>
  <c r="AI145" i="14"/>
  <c r="A113" i="14"/>
  <c r="AI126" i="14"/>
  <c r="AI155" i="14"/>
  <c r="A170" i="14"/>
  <c r="AI191" i="14"/>
  <c r="AI94" i="14"/>
  <c r="AI210" i="14"/>
  <c r="A121" i="14"/>
  <c r="AI200" i="14"/>
  <c r="A200" i="14"/>
  <c r="A147" i="14"/>
  <c r="AI183" i="14"/>
  <c r="A172" i="14"/>
  <c r="AI187" i="14"/>
  <c r="AI216" i="14"/>
  <c r="AI153" i="14"/>
  <c r="AI101" i="14"/>
  <c r="A91" i="14"/>
  <c r="A136" i="14"/>
  <c r="A188" i="14"/>
  <c r="A163" i="14"/>
  <c r="A212" i="14"/>
  <c r="AI166" i="14"/>
  <c r="A214" i="14"/>
  <c r="AI157" i="14"/>
  <c r="A205" i="14"/>
  <c r="AI194" i="14"/>
  <c r="A198" i="14"/>
  <c r="A161" i="14"/>
  <c r="AI116" i="14"/>
  <c r="AI131" i="14"/>
  <c r="AI125" i="14"/>
  <c r="AI160" i="14"/>
  <c r="AI141" i="14"/>
  <c r="A154" i="14"/>
  <c r="A199" i="14"/>
  <c r="AI184" i="14"/>
  <c r="AI201" i="14"/>
  <c r="AI222" i="14"/>
  <c r="A222" i="14"/>
  <c r="AI220" i="14"/>
  <c r="A197" i="14"/>
  <c r="AI213" i="14"/>
  <c r="AI185" i="14"/>
  <c r="AI156" i="14"/>
  <c r="AI152" i="14"/>
  <c r="A79" i="14"/>
  <c r="AI225" i="14"/>
  <c r="A123" i="14"/>
  <c r="A128" i="14"/>
  <c r="AI105" i="14"/>
  <c r="AI121" i="14"/>
  <c r="A142" i="14"/>
  <c r="AI182" i="14"/>
  <c r="AI37" i="14"/>
  <c r="A221" i="14"/>
  <c r="A175" i="14"/>
  <c r="A209" i="14"/>
  <c r="AI48" i="14"/>
  <c r="A126" i="14"/>
  <c r="A97" i="14"/>
  <c r="A14" i="14"/>
  <c r="A206" i="14"/>
  <c r="AI169" i="14"/>
  <c r="AI174" i="14"/>
  <c r="A191" i="14"/>
  <c r="AI118" i="14"/>
  <c r="A53" i="14"/>
  <c r="AI192" i="14"/>
  <c r="AI154" i="14"/>
  <c r="AI65" i="14"/>
  <c r="AI85" i="14"/>
  <c r="AI206" i="14"/>
  <c r="A173" i="14"/>
  <c r="AI219" i="14"/>
  <c r="AI135" i="14"/>
  <c r="A150" i="14"/>
  <c r="AI186" i="14"/>
  <c r="A137" i="14"/>
  <c r="A114" i="14"/>
  <c r="A216" i="14"/>
  <c r="AI223" i="14"/>
  <c r="AI171" i="14"/>
  <c r="AI73" i="14"/>
  <c r="AI112" i="14"/>
  <c r="AI74" i="14"/>
  <c r="A103" i="14"/>
  <c r="A177" i="14"/>
  <c r="A180" i="14"/>
  <c r="A224" i="14"/>
  <c r="AI104" i="14"/>
  <c r="A166" i="14"/>
  <c r="A169" i="14"/>
  <c r="AI117" i="14"/>
  <c r="AI146" i="14"/>
  <c r="AI218" i="14"/>
  <c r="AI134" i="14"/>
  <c r="A9" i="14"/>
  <c r="A59" i="14"/>
  <c r="AI138" i="14"/>
  <c r="A116" i="14"/>
  <c r="A201" i="14"/>
  <c r="AI59" i="14"/>
  <c r="AI190" i="14"/>
  <c r="A207" i="14"/>
  <c r="A68" i="14"/>
  <c r="A213" i="14"/>
  <c r="AI119" i="14"/>
  <c r="AI107" i="14"/>
  <c r="AI151" i="14"/>
  <c r="A226" i="14"/>
  <c r="AI162" i="14"/>
  <c r="AI203" i="14"/>
  <c r="A87" i="14"/>
  <c r="AI86" i="14"/>
  <c r="A83" i="14"/>
  <c r="A179" i="14"/>
  <c r="A134" i="14"/>
  <c r="AI170" i="14"/>
  <c r="AI96" i="14"/>
  <c r="A84" i="14"/>
  <c r="AI23" i="14"/>
  <c r="AI173" i="14"/>
  <c r="A153" i="14"/>
  <c r="AI150" i="14"/>
  <c r="AI137" i="14"/>
  <c r="A145" i="14"/>
  <c r="A106" i="14"/>
  <c r="A141" i="14"/>
  <c r="A125" i="14"/>
  <c r="AI40" i="14"/>
  <c r="A159" i="14"/>
  <c r="A130" i="14"/>
  <c r="AI113" i="14"/>
  <c r="A109" i="14"/>
  <c r="A156" i="14"/>
  <c r="A220" i="14"/>
  <c r="AI66" i="14"/>
  <c r="AI148" i="14"/>
  <c r="A57" i="14"/>
  <c r="A115" i="14"/>
  <c r="AI140" i="14"/>
  <c r="A184" i="14"/>
  <c r="A218" i="14"/>
  <c r="AI211" i="14"/>
  <c r="AI122" i="14"/>
  <c r="AI90" i="14"/>
  <c r="A160" i="14"/>
  <c r="A149" i="14"/>
  <c r="A133" i="14"/>
  <c r="A186" i="14"/>
  <c r="A165" i="14"/>
  <c r="AI2" i="14"/>
  <c r="AI58" i="14"/>
  <c r="A21" i="14"/>
  <c r="AI167" i="14"/>
  <c r="AI95" i="14"/>
  <c r="AI149" i="14"/>
  <c r="AI75" i="14"/>
  <c r="AI208" i="14"/>
  <c r="AI180" i="14"/>
  <c r="AI83" i="14"/>
  <c r="A176" i="14"/>
  <c r="A45" i="14"/>
  <c r="AI205" i="14"/>
  <c r="AI158" i="14"/>
  <c r="AI164" i="14"/>
  <c r="A171" i="14"/>
  <c r="A193" i="14"/>
  <c r="AI199" i="14"/>
  <c r="AI178" i="14"/>
  <c r="AI136" i="14"/>
  <c r="AI124" i="14"/>
  <c r="AI226" i="14"/>
  <c r="A63" i="14"/>
  <c r="A110" i="14"/>
  <c r="AI202" i="14"/>
  <c r="A182" i="14"/>
  <c r="AI100" i="14"/>
  <c r="A112" i="14"/>
  <c r="AI79" i="14"/>
  <c r="A155" i="14"/>
  <c r="A225" i="14"/>
  <c r="AI91" i="14"/>
  <c r="A196" i="14"/>
  <c r="AI176" i="14"/>
  <c r="A40" i="14"/>
  <c r="A96" i="14"/>
  <c r="A189" i="14"/>
  <c r="AI88" i="14"/>
  <c r="AI133" i="14"/>
  <c r="AI55" i="14"/>
  <c r="A167" i="14"/>
  <c r="AI120" i="14"/>
  <c r="A11" i="14"/>
  <c r="AI56" i="14"/>
  <c r="AI93" i="14"/>
  <c r="A138" i="14"/>
  <c r="A37" i="14"/>
  <c r="A151" i="14"/>
  <c r="A92" i="14"/>
  <c r="A49" i="14"/>
  <c r="A108" i="14"/>
  <c r="A50" i="14"/>
  <c r="A32" i="14"/>
  <c r="A219" i="14"/>
  <c r="A74" i="14"/>
  <c r="AI14" i="14"/>
  <c r="AI87" i="14"/>
  <c r="A105" i="14"/>
  <c r="A148" i="14"/>
  <c r="A47" i="14"/>
  <c r="AI215" i="14"/>
  <c r="AI97" i="14"/>
  <c r="A55" i="14"/>
  <c r="AI81" i="14"/>
  <c r="A28" i="14"/>
  <c r="A62" i="14"/>
  <c r="A208" i="14"/>
  <c r="A46" i="14"/>
  <c r="A88" i="14"/>
  <c r="A90" i="14"/>
  <c r="A175" i="15"/>
  <c r="AI144" i="14"/>
  <c r="A132" i="14"/>
  <c r="AI128" i="14"/>
  <c r="A152" i="14"/>
  <c r="A52" i="14"/>
  <c r="AI39" i="14"/>
  <c r="A10" i="14"/>
  <c r="A194" i="14"/>
  <c r="AI108" i="14"/>
  <c r="A178" i="14"/>
  <c r="AI181" i="14"/>
  <c r="AI103" i="14"/>
  <c r="A70" i="14"/>
  <c r="AI35" i="14"/>
  <c r="A102" i="14"/>
  <c r="AI63" i="14"/>
  <c r="AI64" i="14"/>
  <c r="A67" i="14"/>
  <c r="A33" i="14"/>
  <c r="A107" i="14"/>
  <c r="AI3" i="14"/>
  <c r="AI15" i="14"/>
  <c r="A19" i="14"/>
  <c r="A81" i="14"/>
  <c r="AI106" i="14"/>
  <c r="A131" i="14"/>
  <c r="A7" i="14"/>
  <c r="A60" i="14"/>
  <c r="AI60" i="14"/>
  <c r="A4" i="14"/>
  <c r="A13" i="14"/>
  <c r="A69" i="14"/>
  <c r="A85" i="14"/>
  <c r="AI109" i="14"/>
  <c r="A120" i="14"/>
  <c r="AI72" i="14"/>
  <c r="A20" i="14"/>
  <c r="A181" i="15"/>
  <c r="A48" i="14"/>
  <c r="AI43" i="14"/>
  <c r="AI49" i="14"/>
  <c r="A220" i="15"/>
  <c r="A75" i="14"/>
  <c r="AI25" i="14"/>
  <c r="A109" i="15"/>
  <c r="A22" i="14"/>
  <c r="AI67" i="14"/>
  <c r="AI98" i="14"/>
  <c r="AI76" i="14"/>
  <c r="A54" i="14"/>
  <c r="A36" i="14"/>
  <c r="A98" i="14"/>
  <c r="AI19" i="14"/>
  <c r="A213" i="15"/>
  <c r="AI22" i="14"/>
  <c r="AI99" i="14"/>
  <c r="AI13" i="14"/>
  <c r="AI53" i="14"/>
  <c r="AI69" i="14"/>
  <c r="AI16" i="14"/>
  <c r="A182" i="15"/>
  <c r="AI129" i="14"/>
  <c r="A58" i="14"/>
  <c r="A41" i="14"/>
  <c r="A18" i="14"/>
  <c r="AI61" i="14"/>
  <c r="A39" i="14"/>
  <c r="A203" i="15"/>
  <c r="A5" i="14"/>
  <c r="A218" i="15"/>
  <c r="A140" i="14"/>
  <c r="AI45" i="14"/>
  <c r="AI89" i="14"/>
  <c r="AI24" i="14"/>
  <c r="A65" i="14"/>
  <c r="AI5" i="14"/>
  <c r="A101" i="14"/>
  <c r="A191" i="15"/>
  <c r="AI17" i="14"/>
  <c r="AI62" i="14"/>
  <c r="A72" i="14"/>
  <c r="A186" i="15"/>
  <c r="A44" i="14"/>
  <c r="A42" i="14"/>
  <c r="AI50" i="14"/>
  <c r="AI71" i="14"/>
  <c r="A64" i="14"/>
  <c r="AI102" i="14"/>
  <c r="AI26" i="14"/>
  <c r="A95" i="14"/>
  <c r="A93" i="14"/>
  <c r="AI115" i="14"/>
  <c r="A89" i="14"/>
  <c r="AI34" i="14"/>
  <c r="AI8" i="14"/>
  <c r="A25" i="14"/>
  <c r="A15" i="14"/>
  <c r="AI21" i="14"/>
  <c r="A139" i="14"/>
  <c r="A6" i="14"/>
  <c r="AI28" i="14"/>
  <c r="A82" i="14"/>
  <c r="A26" i="14"/>
  <c r="AI42" i="14"/>
  <c r="A27" i="14"/>
  <c r="A12" i="14"/>
  <c r="A148" i="15"/>
  <c r="AI163" i="14"/>
  <c r="A61" i="14"/>
  <c r="AI31" i="14"/>
  <c r="AI33" i="14"/>
  <c r="A34" i="14"/>
  <c r="A211" i="15"/>
  <c r="AI29" i="14"/>
  <c r="A222" i="15"/>
  <c r="A76" i="14"/>
  <c r="AI18" i="14"/>
  <c r="A24" i="14"/>
  <c r="A3" i="14"/>
  <c r="A43" i="14"/>
  <c r="A30" i="14"/>
  <c r="AI9" i="14"/>
  <c r="A56" i="14"/>
  <c r="A35" i="14"/>
  <c r="A62" i="15"/>
  <c r="AI77" i="14"/>
  <c r="AI47" i="14"/>
  <c r="AI84" i="14"/>
  <c r="A223" i="15"/>
  <c r="A125" i="15"/>
  <c r="A159" i="15"/>
  <c r="A104" i="14"/>
  <c r="AI114" i="14"/>
  <c r="A209" i="15"/>
  <c r="A51" i="14"/>
  <c r="AI51" i="14"/>
  <c r="AI30" i="14"/>
  <c r="A78" i="14"/>
  <c r="A184" i="15"/>
  <c r="A196" i="15"/>
  <c r="A2" i="14"/>
  <c r="AI6" i="14"/>
  <c r="A173" i="15"/>
  <c r="A145" i="15"/>
  <c r="A150" i="15"/>
  <c r="AI20" i="14"/>
  <c r="AI32" i="14"/>
  <c r="AI111" i="14"/>
  <c r="AI36" i="14"/>
  <c r="AI92" i="14"/>
  <c r="AI27" i="14"/>
  <c r="A212" i="15"/>
  <c r="A208" i="15"/>
  <c r="A95" i="15"/>
  <c r="AI52" i="14"/>
  <c r="AI4" i="14"/>
  <c r="A105" i="15"/>
  <c r="AI68" i="14"/>
  <c r="A66" i="14"/>
  <c r="A167" i="15"/>
  <c r="A217" i="15"/>
  <c r="A151" i="15"/>
  <c r="AI70" i="14"/>
  <c r="A215" i="15"/>
  <c r="A71" i="14"/>
  <c r="A1" i="15"/>
  <c r="A31" i="14"/>
  <c r="A17" i="14"/>
  <c r="AI44" i="14"/>
  <c r="A80" i="14"/>
  <c r="AI7" i="14"/>
  <c r="A225" i="15"/>
  <c r="A73" i="14"/>
  <c r="AI46" i="14"/>
  <c r="AI12" i="14"/>
  <c r="A92" i="15"/>
  <c r="AI10" i="14"/>
  <c r="A113" i="15"/>
  <c r="AI11" i="14"/>
  <c r="A197" i="15"/>
  <c r="A162" i="15"/>
  <c r="A8" i="14"/>
  <c r="A199" i="15"/>
  <c r="A187" i="15"/>
  <c r="A178" i="15"/>
  <c r="A126" i="15"/>
  <c r="A214" i="15"/>
  <c r="AI57" i="14"/>
  <c r="AI41" i="14"/>
  <c r="A135" i="15"/>
  <c r="A164" i="15"/>
  <c r="A85" i="15"/>
  <c r="A194" i="15"/>
  <c r="A29" i="14"/>
  <c r="A183" i="15"/>
  <c r="A143" i="15"/>
  <c r="A137" i="15"/>
  <c r="AI38" i="14"/>
  <c r="A134" i="15"/>
  <c r="AI80" i="14"/>
  <c r="A128" i="15"/>
  <c r="A146" i="15"/>
  <c r="A202" i="15"/>
  <c r="A136" i="15"/>
  <c r="A131" i="15"/>
  <c r="A198" i="15"/>
  <c r="A171" i="15"/>
  <c r="A38" i="14"/>
  <c r="A200" i="15"/>
  <c r="A157" i="15"/>
  <c r="A224" i="15"/>
  <c r="A192" i="15"/>
  <c r="A226" i="15"/>
  <c r="A72" i="15"/>
  <c r="A221" i="15"/>
  <c r="A219" i="15"/>
  <c r="AI78" i="14"/>
  <c r="A66" i="15"/>
  <c r="A111" i="15"/>
  <c r="A189" i="15"/>
  <c r="A170" i="15"/>
  <c r="A57" i="15"/>
  <c r="A97" i="15"/>
  <c r="A193" i="15"/>
  <c r="A206" i="15"/>
  <c r="A61" i="15"/>
  <c r="A188" i="15"/>
  <c r="A195" i="15"/>
  <c r="A120" i="15"/>
  <c r="A91" i="15"/>
  <c r="A142" i="15"/>
  <c r="A160" i="15"/>
  <c r="A190" i="15"/>
  <c r="A63" i="15"/>
  <c r="A70" i="15"/>
  <c r="A155" i="15"/>
  <c r="A166" i="15"/>
  <c r="A165" i="15"/>
  <c r="A107" i="15"/>
  <c r="A210" i="15"/>
  <c r="A133" i="15"/>
  <c r="A140" i="15"/>
  <c r="A80" i="15"/>
  <c r="A42" i="15"/>
  <c r="A139" i="15"/>
  <c r="A22" i="15"/>
  <c r="A205" i="15"/>
  <c r="A94" i="15"/>
  <c r="A163" i="15"/>
  <c r="A201" i="15"/>
  <c r="A176" i="15"/>
  <c r="A177" i="15"/>
  <c r="A114" i="15"/>
  <c r="A20" i="15"/>
  <c r="A56" i="15"/>
  <c r="A102" i="15"/>
  <c r="A6" i="15"/>
  <c r="A81" i="15"/>
  <c r="A98" i="15"/>
  <c r="A45" i="15"/>
  <c r="A180" i="15"/>
  <c r="A179" i="15"/>
  <c r="A138" i="15"/>
  <c r="A49" i="15"/>
  <c r="A110" i="15"/>
  <c r="A64" i="15"/>
  <c r="A216" i="15"/>
  <c r="A21" i="15"/>
  <c r="A158" i="15"/>
  <c r="A83" i="15"/>
  <c r="A115" i="15"/>
  <c r="A185" i="15"/>
  <c r="A168" i="15"/>
  <c r="A207" i="15"/>
  <c r="A67" i="15"/>
  <c r="A124" i="15"/>
  <c r="A25" i="15"/>
  <c r="A153" i="15"/>
  <c r="A122" i="15"/>
  <c r="A10" i="15"/>
  <c r="A103" i="15"/>
  <c r="A37" i="15"/>
  <c r="A172" i="15"/>
  <c r="A52" i="15"/>
  <c r="A40" i="15"/>
  <c r="A32" i="15"/>
  <c r="A101" i="15"/>
  <c r="A141" i="15"/>
  <c r="A17" i="15"/>
  <c r="A156" i="15"/>
  <c r="A47" i="15"/>
  <c r="A104" i="15"/>
  <c r="A16" i="15"/>
  <c r="A149" i="15"/>
  <c r="A3" i="15"/>
  <c r="A74" i="15"/>
  <c r="A75" i="15"/>
  <c r="A68" i="15"/>
  <c r="A84" i="15"/>
  <c r="A54" i="15"/>
  <c r="A29" i="15"/>
  <c r="A152" i="15"/>
  <c r="A41" i="15"/>
  <c r="A93" i="15"/>
  <c r="A119" i="15"/>
  <c r="A144" i="15"/>
  <c r="A169" i="15"/>
  <c r="A106" i="15"/>
  <c r="A34" i="15"/>
  <c r="A174" i="15"/>
  <c r="A130" i="15"/>
  <c r="A58" i="15"/>
  <c r="A108" i="15"/>
  <c r="A24" i="15"/>
  <c r="A88" i="15"/>
  <c r="A99" i="15"/>
  <c r="A96" i="15"/>
  <c r="A30" i="15"/>
  <c r="A73" i="15"/>
  <c r="A161" i="15"/>
  <c r="A18" i="15"/>
  <c r="A60" i="15"/>
  <c r="A69" i="15"/>
  <c r="A59" i="15"/>
  <c r="A39" i="15"/>
  <c r="A132" i="15"/>
  <c r="A204" i="15"/>
  <c r="A100" i="15"/>
  <c r="A118" i="15"/>
  <c r="A123" i="15"/>
  <c r="A53" i="15"/>
  <c r="A26" i="15"/>
  <c r="A129" i="15"/>
  <c r="A12" i="15"/>
  <c r="A87" i="15"/>
  <c r="A5" i="15"/>
  <c r="A121" i="15"/>
  <c r="A8" i="15"/>
  <c r="A65" i="15"/>
  <c r="A9" i="15"/>
  <c r="A11" i="15"/>
  <c r="A46" i="15"/>
  <c r="A4" i="15"/>
  <c r="A89" i="15"/>
  <c r="A33" i="15"/>
  <c r="A35" i="15"/>
  <c r="A2" i="15"/>
  <c r="A13" i="15"/>
  <c r="A82" i="15"/>
  <c r="A76" i="15"/>
  <c r="A77" i="15"/>
  <c r="A14" i="15"/>
  <c r="A127" i="15"/>
  <c r="A48" i="15"/>
  <c r="A27" i="15"/>
  <c r="A90" i="15"/>
  <c r="A15" i="15"/>
  <c r="A147" i="15"/>
  <c r="A44" i="15"/>
  <c r="A7" i="15"/>
  <c r="A28" i="15"/>
  <c r="A31" i="15"/>
  <c r="A154" i="15"/>
  <c r="A36" i="15"/>
  <c r="A43" i="15"/>
  <c r="A55" i="15"/>
  <c r="A19" i="15"/>
  <c r="A38" i="15"/>
  <c r="A23" i="15"/>
  <c r="A78" i="15"/>
  <c r="A50" i="15"/>
  <c r="A71" i="15"/>
  <c r="A112" i="15"/>
  <c r="A51" i="15"/>
  <c r="A117" i="15"/>
  <c r="A86" i="15"/>
  <c r="A79" i="15"/>
  <c r="A116" i="15"/>
  <c r="B9" i="8" l="1"/>
  <c r="I5" i="10" l="1"/>
  <c r="I4" i="10"/>
  <c r="H5" i="10"/>
  <c r="H6" i="10"/>
  <c r="H7" i="10"/>
  <c r="H8" i="10"/>
  <c r="H9" i="10"/>
  <c r="H10" i="10"/>
  <c r="H11" i="10"/>
  <c r="H12" i="10"/>
  <c r="H4" i="10"/>
  <c r="J2" i="4" l="1"/>
  <c r="A125" i="2" l="1"/>
  <c r="A84" i="2"/>
  <c r="A83" i="2"/>
  <c r="AG106" i="2"/>
  <c r="AG96" i="2"/>
  <c r="AG5" i="2"/>
  <c r="AG10" i="2"/>
  <c r="AG141" i="2"/>
  <c r="AG109" i="2"/>
  <c r="A67" i="2"/>
  <c r="AG58" i="2"/>
  <c r="A94" i="2"/>
  <c r="AG55" i="2"/>
  <c r="A5" i="2"/>
  <c r="A87" i="2"/>
  <c r="A17" i="2"/>
  <c r="A66" i="2"/>
  <c r="A20" i="2"/>
  <c r="A129" i="2"/>
  <c r="AG133" i="2"/>
  <c r="A96" i="2"/>
  <c r="A74" i="2"/>
  <c r="AG31" i="2"/>
  <c r="AG18" i="2"/>
  <c r="AG129" i="2"/>
  <c r="A97" i="2"/>
  <c r="A120" i="2"/>
  <c r="A85" i="2"/>
  <c r="AG93" i="2"/>
  <c r="A68" i="2"/>
  <c r="AG6" i="2"/>
  <c r="AG24" i="2"/>
  <c r="A127" i="2"/>
  <c r="A79" i="2"/>
  <c r="AG131" i="2"/>
  <c r="A122" i="2"/>
  <c r="AG111" i="2"/>
  <c r="AG138" i="2"/>
  <c r="A106" i="2"/>
  <c r="AG89" i="2"/>
  <c r="AG50" i="2"/>
  <c r="A80" i="2"/>
  <c r="A56" i="2"/>
  <c r="A76" i="2"/>
  <c r="A55" i="2"/>
  <c r="A104" i="2"/>
  <c r="A107" i="2"/>
  <c r="A101" i="2"/>
  <c r="A136" i="2"/>
  <c r="A14" i="2"/>
  <c r="A141" i="2"/>
  <c r="A18" i="2"/>
  <c r="AG81" i="2"/>
  <c r="AG11" i="2"/>
  <c r="A64" i="2"/>
  <c r="AG94" i="2"/>
  <c r="AG41" i="2"/>
  <c r="AG76" i="2"/>
  <c r="AG67" i="2"/>
  <c r="A48" i="2"/>
  <c r="AG118" i="2"/>
  <c r="A3" i="2"/>
  <c r="AG21" i="2"/>
  <c r="A81" i="2"/>
  <c r="A131" i="2"/>
  <c r="A112" i="2"/>
  <c r="A47" i="2"/>
  <c r="A91" i="2"/>
  <c r="A143" i="2"/>
  <c r="A39" i="2"/>
  <c r="AG142" i="2"/>
  <c r="A53" i="2"/>
  <c r="A72" i="2"/>
  <c r="AG53" i="2"/>
  <c r="A7" i="2"/>
  <c r="A6" i="2"/>
  <c r="AG46" i="2"/>
  <c r="A28" i="2"/>
  <c r="A134" i="2"/>
  <c r="A92" i="2"/>
  <c r="A12" i="2"/>
  <c r="AG83" i="2"/>
  <c r="AG136" i="2"/>
  <c r="A114" i="2"/>
  <c r="A90" i="2"/>
  <c r="AG143" i="2"/>
  <c r="A40" i="2"/>
  <c r="A44" i="2"/>
  <c r="A33" i="2"/>
  <c r="AG64" i="2"/>
  <c r="A16" i="2"/>
  <c r="AG59" i="2"/>
  <c r="AG70" i="2"/>
  <c r="A78" i="2"/>
  <c r="A49" i="2"/>
  <c r="AG97" i="2"/>
  <c r="AG114" i="2"/>
  <c r="AG92" i="2"/>
  <c r="AG121" i="2"/>
  <c r="AG117" i="2"/>
  <c r="AG139" i="2"/>
  <c r="A8" i="2"/>
  <c r="AG105" i="2"/>
  <c r="AG54" i="2"/>
  <c r="A102" i="2"/>
  <c r="AG48" i="2"/>
  <c r="A61" i="2"/>
  <c r="AG84" i="2"/>
  <c r="AG17" i="2"/>
  <c r="A60" i="2"/>
  <c r="AG79" i="2"/>
  <c r="AG99" i="2"/>
  <c r="A100" i="2"/>
  <c r="A62" i="2"/>
  <c r="A42" i="2"/>
  <c r="AG98" i="2"/>
  <c r="A93" i="2"/>
  <c r="AG101" i="2"/>
  <c r="AG77" i="2"/>
  <c r="A43" i="2"/>
  <c r="AG90" i="2"/>
  <c r="AG3" i="2"/>
  <c r="AG69" i="2"/>
  <c r="AG120" i="2"/>
  <c r="A142" i="2"/>
  <c r="AG87" i="2"/>
  <c r="AG71" i="2"/>
  <c r="AG66" i="2"/>
  <c r="A41" i="2"/>
  <c r="A89" i="2"/>
  <c r="AG110" i="2"/>
  <c r="A34" i="2"/>
  <c r="A45" i="2"/>
  <c r="AG26" i="2"/>
  <c r="AG15" i="2"/>
  <c r="A25" i="2"/>
  <c r="AG47" i="2"/>
  <c r="AG12" i="2"/>
  <c r="AG108" i="2"/>
  <c r="AG51" i="2"/>
  <c r="A121" i="2"/>
  <c r="AG128" i="2"/>
  <c r="A108" i="2"/>
  <c r="A98" i="2"/>
  <c r="A110" i="2"/>
  <c r="A11" i="2"/>
  <c r="A139" i="2"/>
  <c r="AG7" i="2"/>
  <c r="AG62" i="2"/>
  <c r="AG140" i="2"/>
  <c r="A124" i="2"/>
  <c r="A103" i="2"/>
  <c r="A23" i="2"/>
  <c r="AG34" i="2"/>
  <c r="AG102" i="2"/>
  <c r="AG52" i="2"/>
  <c r="AG124" i="2"/>
  <c r="AG38" i="2"/>
  <c r="A113" i="2"/>
  <c r="AG126" i="2"/>
  <c r="AG28" i="2"/>
  <c r="A135" i="2"/>
  <c r="AG132" i="2"/>
  <c r="AG30" i="2"/>
  <c r="A115" i="2"/>
  <c r="AG29" i="2"/>
  <c r="A59" i="2"/>
  <c r="A51" i="2"/>
  <c r="AG80" i="2"/>
  <c r="AG44" i="2"/>
  <c r="AG135" i="2"/>
  <c r="AG22" i="2"/>
  <c r="AG116" i="2"/>
  <c r="AG57" i="2"/>
  <c r="AG25" i="2"/>
  <c r="A2" i="2"/>
  <c r="AG122" i="2"/>
  <c r="A123" i="2"/>
  <c r="A132" i="2"/>
  <c r="A58" i="2"/>
  <c r="A36" i="2"/>
  <c r="A130" i="2"/>
  <c r="AG61" i="2"/>
  <c r="AG27" i="2"/>
  <c r="A19" i="2"/>
  <c r="AG65" i="2"/>
  <c r="AG40" i="2"/>
  <c r="AG14" i="2"/>
  <c r="AG127" i="2"/>
  <c r="AG113" i="2"/>
  <c r="AG32" i="2"/>
  <c r="AG13" i="2"/>
  <c r="AG49" i="2"/>
  <c r="AG115" i="2"/>
  <c r="AG88" i="2"/>
  <c r="A32" i="2"/>
  <c r="A9" i="2"/>
  <c r="AG20" i="2"/>
  <c r="AG4" i="2"/>
  <c r="A13" i="2"/>
  <c r="AG82" i="2"/>
  <c r="A65" i="2"/>
  <c r="A4" i="2"/>
  <c r="A30" i="2"/>
  <c r="AG103" i="2"/>
  <c r="A52" i="2"/>
  <c r="AG33" i="2"/>
  <c r="A54" i="2"/>
  <c r="A88" i="2"/>
  <c r="AG2" i="2"/>
  <c r="A111" i="2"/>
  <c r="A10" i="2"/>
  <c r="AG85" i="2"/>
  <c r="AG104" i="2"/>
  <c r="A138" i="2"/>
  <c r="AG35" i="2"/>
  <c r="A50" i="2"/>
  <c r="A35" i="2"/>
  <c r="AG39" i="2"/>
  <c r="A86" i="2"/>
  <c r="A27" i="2"/>
  <c r="AG43" i="2"/>
  <c r="AG119" i="2"/>
  <c r="AG37" i="2"/>
  <c r="AG74" i="2"/>
  <c r="A24" i="2"/>
  <c r="A69" i="2"/>
  <c r="AG73" i="2"/>
  <c r="AG19" i="2"/>
  <c r="A133" i="2"/>
  <c r="A95" i="2"/>
  <c r="A71" i="2"/>
  <c r="A63" i="2"/>
  <c r="AG23" i="2"/>
  <c r="A140" i="2"/>
  <c r="AG107" i="2"/>
  <c r="A31" i="2"/>
  <c r="AG130" i="2"/>
  <c r="AG60" i="2"/>
  <c r="A128" i="2"/>
  <c r="AG91" i="2"/>
  <c r="AG36" i="2"/>
  <c r="AG45" i="2"/>
  <c r="AG123" i="2"/>
  <c r="AG56" i="2"/>
  <c r="AG134" i="2"/>
  <c r="A118" i="2"/>
  <c r="AG137" i="2"/>
  <c r="AG95" i="2"/>
  <c r="A137" i="2"/>
  <c r="A38" i="2"/>
  <c r="A99" i="2"/>
  <c r="AG8" i="2"/>
  <c r="A70" i="2"/>
  <c r="A22" i="2"/>
  <c r="A37" i="2"/>
  <c r="A117" i="2"/>
  <c r="AG75" i="2"/>
  <c r="AG112" i="2"/>
  <c r="A29" i="2"/>
  <c r="A77" i="2"/>
  <c r="A116" i="2"/>
  <c r="A105" i="2"/>
  <c r="AG100" i="2"/>
  <c r="A126" i="2"/>
  <c r="A15" i="2"/>
  <c r="AG42" i="2"/>
  <c r="AG63" i="2"/>
  <c r="AG9" i="2"/>
  <c r="AG125" i="2"/>
  <c r="A75" i="2"/>
  <c r="AG86" i="2"/>
  <c r="A46" i="2"/>
  <c r="A21" i="2"/>
  <c r="A26" i="2"/>
  <c r="AG68" i="2"/>
  <c r="AG16" i="2"/>
  <c r="A82" i="2"/>
  <c r="A57" i="2"/>
  <c r="A119" i="2"/>
  <c r="AG72" i="2"/>
  <c r="A73" i="2"/>
  <c r="AG78" i="2"/>
  <c r="A109" i="2"/>
  <c r="M1" i="7"/>
  <c r="U1" i="2"/>
  <c r="V1" i="2"/>
  <c r="Z1" i="2"/>
  <c r="P1" i="2"/>
  <c r="T1" i="2"/>
  <c r="AC1" i="2"/>
  <c r="U1" i="7"/>
  <c r="Z1" i="7"/>
  <c r="O1" i="7"/>
  <c r="L1" i="2"/>
  <c r="K1" i="2"/>
  <c r="J1" i="7"/>
  <c r="N1" i="7"/>
  <c r="J1" i="2"/>
  <c r="AA1" i="2"/>
  <c r="T1" i="7"/>
  <c r="AH1" i="7"/>
  <c r="S1" i="7"/>
  <c r="AB1" i="7"/>
  <c r="E1" i="2"/>
  <c r="G1" i="2"/>
  <c r="D1" i="2"/>
  <c r="C1" i="2"/>
  <c r="D1" i="7"/>
  <c r="I1" i="2"/>
  <c r="AF1" i="2"/>
  <c r="AF1" i="7"/>
  <c r="Y1" i="2"/>
  <c r="I1" i="7"/>
  <c r="B1" i="7"/>
  <c r="B1" i="2"/>
  <c r="AC1" i="7"/>
  <c r="F1" i="7"/>
  <c r="S1" i="2"/>
  <c r="K1" i="7"/>
  <c r="L1" i="7"/>
  <c r="W1" i="2"/>
  <c r="M1" i="2"/>
  <c r="X1" i="7"/>
  <c r="V1" i="7"/>
  <c r="AB1" i="2"/>
  <c r="AE1" i="2"/>
  <c r="H1" i="7"/>
  <c r="N1" i="2"/>
  <c r="AD1" i="7"/>
  <c r="H1" i="2"/>
  <c r="F1" i="2"/>
  <c r="Q1" i="2"/>
  <c r="Q1" i="7"/>
  <c r="P1" i="7"/>
  <c r="R1" i="2"/>
  <c r="O1" i="2"/>
  <c r="E1" i="7"/>
  <c r="C1" i="7"/>
  <c r="Y1" i="7"/>
  <c r="G1" i="7"/>
  <c r="AE1" i="7"/>
  <c r="AD1" i="2"/>
  <c r="W1" i="7"/>
  <c r="AA1" i="7"/>
  <c r="AG1" i="7"/>
  <c r="X1" i="2"/>
  <c r="R1" i="7"/>
  <c r="AG1" i="2" l="1"/>
  <c r="A1" i="2"/>
  <c r="F6" i="4" l="1"/>
</calcChain>
</file>

<file path=xl/sharedStrings.xml><?xml version="1.0" encoding="utf-8"?>
<sst xmlns="http://schemas.openxmlformats.org/spreadsheetml/2006/main" count="1026" uniqueCount="533">
  <si>
    <t>KAP</t>
  </si>
  <si>
    <t xml:space="preserve"> T,K     </t>
  </si>
  <si>
    <t>***  сталь (ЭП810) коэф теплопроводности и уд теплоемкость ***</t>
  </si>
  <si>
    <t xml:space="preserve"> C, Дж/(кг град) 7</t>
  </si>
  <si>
    <t xml:space="preserve">Т, К   </t>
  </si>
  <si>
    <t xml:space="preserve"> lam,Вт/(м град)</t>
  </si>
  <si>
    <t>GAM_M1</t>
  </si>
  <si>
    <t>Vars</t>
  </si>
  <si>
    <t>TKLO1</t>
  </si>
  <si>
    <t>dTKLO1</t>
  </si>
  <si>
    <t>TKLO2</t>
  </si>
  <si>
    <t>dTKLO2</t>
  </si>
  <si>
    <t>FsechO</t>
  </si>
  <si>
    <t>Ox</t>
  </si>
  <si>
    <t>Fu</t>
  </si>
  <si>
    <t>name</t>
  </si>
  <si>
    <t>Substain</t>
  </si>
  <si>
    <t>Where</t>
  </si>
  <si>
    <t>PumpOx</t>
  </si>
  <si>
    <t>ТНА</t>
  </si>
  <si>
    <t>Value SGS</t>
  </si>
  <si>
    <t>Value SI</t>
  </si>
  <si>
    <t>stepPrint</t>
  </si>
  <si>
    <t>pEnv</t>
  </si>
  <si>
    <t>p,Mpa</t>
  </si>
  <si>
    <t>T,K</t>
  </si>
  <si>
    <t>dt</t>
  </si>
  <si>
    <t>камера</t>
  </si>
  <si>
    <t>газогенератор</t>
  </si>
  <si>
    <t>---------------</t>
  </si>
  <si>
    <t>Вечличина</t>
  </si>
  <si>
    <t>T</t>
  </si>
  <si>
    <t>Агрегат</t>
  </si>
  <si>
    <t>p</t>
  </si>
  <si>
    <t>t</t>
  </si>
  <si>
    <t>начало/конец</t>
  </si>
  <si>
    <t>компонент</t>
  </si>
  <si>
    <t>L</t>
  </si>
  <si>
    <t>D</t>
  </si>
  <si>
    <t>V</t>
  </si>
  <si>
    <t>указатель</t>
  </si>
  <si>
    <t>R</t>
  </si>
  <si>
    <t>k</t>
  </si>
  <si>
    <t>rpm</t>
  </si>
  <si>
    <t>eta</t>
  </si>
  <si>
    <t>Lad</t>
  </si>
  <si>
    <t>km</t>
  </si>
  <si>
    <t>rho</t>
  </si>
  <si>
    <t>omega</t>
  </si>
  <si>
    <t>dpGgTurb</t>
  </si>
  <si>
    <t>Temp</t>
  </si>
  <si>
    <t>tim</t>
  </si>
  <si>
    <t>утечки</t>
  </si>
  <si>
    <t>N</t>
  </si>
  <si>
    <t>мощность</t>
  </si>
  <si>
    <t>Pow</t>
  </si>
  <si>
    <t>In</t>
  </si>
  <si>
    <t>Out</t>
  </si>
  <si>
    <t>Leak</t>
  </si>
  <si>
    <t>Pump</t>
  </si>
  <si>
    <t>Turb</t>
  </si>
  <si>
    <t>Pipe</t>
  </si>
  <si>
    <t>Ch</t>
  </si>
  <si>
    <t>Gg</t>
  </si>
  <si>
    <t>Zu</t>
  </si>
  <si>
    <t>Ball</t>
  </si>
  <si>
    <t>Val</t>
  </si>
  <si>
    <t>m</t>
  </si>
  <si>
    <t>inert</t>
  </si>
  <si>
    <t>resis</t>
  </si>
  <si>
    <t>dp</t>
  </si>
  <si>
    <t>cp</t>
  </si>
  <si>
    <t>cad</t>
  </si>
  <si>
    <t>u</t>
  </si>
  <si>
    <t>pow</t>
  </si>
  <si>
    <t>момент</t>
  </si>
  <si>
    <t>время</t>
  </si>
  <si>
    <t>круговая частота</t>
  </si>
  <si>
    <t>плотность</t>
  </si>
  <si>
    <t>окружная скорость</t>
  </si>
  <si>
    <t>удельная теплоемкость</t>
  </si>
  <si>
    <t>адиабатная работа</t>
  </si>
  <si>
    <t>КПД</t>
  </si>
  <si>
    <t>адиабатная скорость</t>
  </si>
  <si>
    <t>обороты</t>
  </si>
  <si>
    <t>показатель адиабаты</t>
  </si>
  <si>
    <t>газовая постоянная</t>
  </si>
  <si>
    <t>объем</t>
  </si>
  <si>
    <t>площадь</t>
  </si>
  <si>
    <t>соотношение расходов</t>
  </si>
  <si>
    <t>насос</t>
  </si>
  <si>
    <t>турбина</t>
  </si>
  <si>
    <t>труба</t>
  </si>
  <si>
    <t>ГДЗУ</t>
  </si>
  <si>
    <t>баллон с газом</t>
  </si>
  <si>
    <t>Tank</t>
  </si>
  <si>
    <t>клапан</t>
  </si>
  <si>
    <t>податливость</t>
  </si>
  <si>
    <t xml:space="preserve">активные потери (коэф. гидравлического сопротивления) </t>
  </si>
  <si>
    <t>инерционные потери  (коэф. инерционного сопротивления)</t>
  </si>
  <si>
    <t>температура</t>
  </si>
  <si>
    <t>Расход</t>
  </si>
  <si>
    <t>давление</t>
  </si>
  <si>
    <t>mas</t>
  </si>
  <si>
    <t>длина</t>
  </si>
  <si>
    <t>на входе</t>
  </si>
  <si>
    <t>на выходе</t>
  </si>
  <si>
    <t>окислитель</t>
  </si>
  <si>
    <t>горючее</t>
  </si>
  <si>
    <t>газ</t>
  </si>
  <si>
    <t>номинальное значение</t>
  </si>
  <si>
    <t>максимальное значение</t>
  </si>
  <si>
    <t>минимальное значение</t>
  </si>
  <si>
    <t>Cav</t>
  </si>
  <si>
    <t>Примеры записи</t>
  </si>
  <si>
    <t>pTurbOut</t>
  </si>
  <si>
    <t>time</t>
  </si>
  <si>
    <t>dpValChOx</t>
  </si>
  <si>
    <t>dpValGgFu</t>
  </si>
  <si>
    <t>податливость трубы окислителя от бака до насоса</t>
  </si>
  <si>
    <t xml:space="preserve">Branch </t>
  </si>
  <si>
    <t>Rev</t>
  </si>
  <si>
    <t>Узел (точка) разветвления (Branch Point)</t>
  </si>
  <si>
    <t>сосредоточенная податливость (Compliance)</t>
  </si>
  <si>
    <t>каверна (Cavity)</t>
  </si>
  <si>
    <t>обратные течения (Reverce flow)</t>
  </si>
  <si>
    <t>Nom</t>
  </si>
  <si>
    <t>Max</t>
  </si>
  <si>
    <t>Min</t>
  </si>
  <si>
    <t>для расчета мощности</t>
  </si>
  <si>
    <t>torq</t>
  </si>
  <si>
    <t>flag</t>
  </si>
  <si>
    <t>маркер</t>
  </si>
  <si>
    <t>flagZuGg</t>
  </si>
  <si>
    <t>поджиг ГДЗУ в ГГ</t>
  </si>
  <si>
    <t>kgg</t>
  </si>
  <si>
    <t>kch</t>
  </si>
  <si>
    <t>kb</t>
  </si>
  <si>
    <t>показатель адиабаты в газогенераторе</t>
  </si>
  <si>
    <t>показатель адиабаты в камере</t>
  </si>
  <si>
    <t xml:space="preserve">показатель адиабаты в газовом баллоне </t>
  </si>
  <si>
    <t>Rgg</t>
  </si>
  <si>
    <t>Rch</t>
  </si>
  <si>
    <t>Rb</t>
  </si>
  <si>
    <t>газовая постоянная  в ГГ</t>
  </si>
  <si>
    <t>газовая постоянная  в КС</t>
  </si>
  <si>
    <t>газовая постоянная в баллоне</t>
  </si>
  <si>
    <t>объем камеры</t>
  </si>
  <si>
    <t>объем ГГ</t>
  </si>
  <si>
    <t>объем баллона</t>
  </si>
  <si>
    <t>Vch</t>
  </si>
  <si>
    <t>Vgg</t>
  </si>
  <si>
    <t>Vb</t>
  </si>
  <si>
    <t>Tgg</t>
  </si>
  <si>
    <t>Tch</t>
  </si>
  <si>
    <t>Tb</t>
  </si>
  <si>
    <t>температура в ГГ</t>
  </si>
  <si>
    <t>Температура в КС</t>
  </si>
  <si>
    <t>температура в баллоне</t>
  </si>
  <si>
    <t>масса</t>
  </si>
  <si>
    <t>Dturb</t>
  </si>
  <si>
    <t>диаметр лопаток турбины</t>
  </si>
  <si>
    <t xml:space="preserve">Пеневмостартер  (Starting Sistem ), Пусковая турбина, </t>
  </si>
  <si>
    <t>момент иненции</t>
  </si>
  <si>
    <t>Turbopump</t>
  </si>
  <si>
    <t>Env</t>
  </si>
  <si>
    <t>окружающая среда</t>
  </si>
  <si>
    <t>Gas</t>
  </si>
  <si>
    <t>Tenv</t>
  </si>
  <si>
    <t>температура  окружающей среды</t>
  </si>
  <si>
    <t>mu</t>
  </si>
  <si>
    <t>коэффициент расхода</t>
  </si>
  <si>
    <t>f</t>
  </si>
  <si>
    <t>перепад давлений</t>
  </si>
  <si>
    <t>шаг по времени, интервал времени</t>
  </si>
  <si>
    <t>q</t>
  </si>
  <si>
    <t>qTurb</t>
  </si>
  <si>
    <t xml:space="preserve">степень расширения </t>
  </si>
  <si>
    <t xml:space="preserve">степень расширения в турбине </t>
  </si>
  <si>
    <t>qTurbStart</t>
  </si>
  <si>
    <t xml:space="preserve">степень расширения в пусковой турбине </t>
  </si>
  <si>
    <t>Jinert</t>
  </si>
  <si>
    <t>tau</t>
  </si>
  <si>
    <t>текущее время</t>
  </si>
  <si>
    <t>время задержки воспламенения</t>
  </si>
  <si>
    <t>Var</t>
  </si>
  <si>
    <t>переменная</t>
  </si>
  <si>
    <t>Ing</t>
  </si>
  <si>
    <t>форсунки</t>
  </si>
  <si>
    <t>Fcav</t>
  </si>
  <si>
    <t>кавитационная функция</t>
  </si>
  <si>
    <t>Hpump</t>
  </si>
  <si>
    <t>напор насоса</t>
  </si>
  <si>
    <t>производная</t>
  </si>
  <si>
    <r>
      <t>диаметр,</t>
    </r>
    <r>
      <rPr>
        <b/>
        <sz val="11"/>
        <color theme="1"/>
        <rFont val="Calibri"/>
        <family val="2"/>
        <charset val="204"/>
        <scheme val="minor"/>
      </rPr>
      <t xml:space="preserve"> </t>
    </r>
    <r>
      <rPr>
        <b/>
        <sz val="11"/>
        <color rgb="FFFF0000"/>
        <rFont val="Calibri"/>
        <family val="2"/>
        <charset val="204"/>
        <scheme val="minor"/>
      </rPr>
      <t>производная ,  правые части</t>
    </r>
  </si>
  <si>
    <t>давление на выходе из турбины</t>
  </si>
  <si>
    <t>перепад давлений между выходом ГГ и входом в турбину</t>
  </si>
  <si>
    <t>dpComPumpOx</t>
  </si>
  <si>
    <t xml:space="preserve">перепад давлений (потери) на клапане КС окислителя </t>
  </si>
  <si>
    <t>comp</t>
  </si>
  <si>
    <t>compPipeTankToPumpOx</t>
  </si>
  <si>
    <t>compPipePumpToPumpOx</t>
  </si>
  <si>
    <t>mPumpInOx</t>
  </si>
  <si>
    <t>расход  на входе в насос окислителя</t>
  </si>
  <si>
    <t>mPumpOutOx</t>
  </si>
  <si>
    <t>расход  на выходе насоса окислителя</t>
  </si>
  <si>
    <t>Comp</t>
  </si>
  <si>
    <t>StartSys</t>
  </si>
  <si>
    <t>startTime</t>
  </si>
  <si>
    <t>endTime</t>
  </si>
  <si>
    <t>бак Tnk</t>
  </si>
  <si>
    <t>TEnv</t>
  </si>
  <si>
    <t>Баки</t>
  </si>
  <si>
    <t>Камера и сопло</t>
  </si>
  <si>
    <t>pCh</t>
  </si>
  <si>
    <t>ГГ</t>
  </si>
  <si>
    <t>pGg</t>
  </si>
  <si>
    <t>Примечания</t>
  </si>
  <si>
    <t xml:space="preserve">  R,Дж/(кг*K)</t>
  </si>
  <si>
    <t>min F</t>
  </si>
  <si>
    <t>muVal</t>
  </si>
  <si>
    <t xml:space="preserve"> r, Дж/кг</t>
  </si>
  <si>
    <t>Т, К</t>
  </si>
  <si>
    <t>давление насыщенных паров кислорода + теплота парообразования</t>
  </si>
  <si>
    <t>рs, Па</t>
  </si>
  <si>
    <t>pressure</t>
  </si>
  <si>
    <t>inertia</t>
  </si>
  <si>
    <t>compliance</t>
  </si>
  <si>
    <t>type var</t>
  </si>
  <si>
    <t>-</t>
  </si>
  <si>
    <t>давление насыщенных паров керосина + теплота парообразования</t>
  </si>
  <si>
    <t>Окружающая среда</t>
  </si>
  <si>
    <t>Времена</t>
  </si>
  <si>
    <t>SV08.2</t>
  </si>
  <si>
    <t>comp1Fu</t>
  </si>
  <si>
    <t>comp2Fu</t>
  </si>
  <si>
    <t>pTnkOx</t>
  </si>
  <si>
    <t>pTnkFu</t>
  </si>
  <si>
    <t>TTnkOx</t>
  </si>
  <si>
    <t>TTnkFu</t>
  </si>
  <si>
    <t>mTnkOx</t>
  </si>
  <si>
    <t>mTnkFu</t>
  </si>
  <si>
    <t>countPrint</t>
  </si>
  <si>
    <t>diameter</t>
  </si>
  <si>
    <t>volume</t>
  </si>
  <si>
    <t>gas constant</t>
  </si>
  <si>
    <t>area</t>
  </si>
  <si>
    <t>VGg</t>
  </si>
  <si>
    <t>RGg</t>
  </si>
  <si>
    <t>TGg</t>
  </si>
  <si>
    <t>mGg</t>
  </si>
  <si>
    <t>mGgOxMin</t>
  </si>
  <si>
    <t>VCh</t>
  </si>
  <si>
    <t>RCh</t>
  </si>
  <si>
    <t>TCh</t>
  </si>
  <si>
    <t>mCh</t>
  </si>
  <si>
    <t>КС</t>
  </si>
  <si>
    <t>fThroatCh</t>
  </si>
  <si>
    <t>muThroatCh</t>
  </si>
  <si>
    <t>kCh</t>
  </si>
  <si>
    <t>mChIngFuMin</t>
  </si>
  <si>
    <t>timeDelayIgnCh</t>
  </si>
  <si>
    <t>ROxygen</t>
  </si>
  <si>
    <t>timeDelayIgnGg</t>
  </si>
  <si>
    <t>mGgIgnOxMin</t>
  </si>
  <si>
    <t>не влияет на длительность колебаний, лишь чуть чуть на амплитуду</t>
  </si>
  <si>
    <t>увеличение диаметра положительно влияет +2 норм+-(+5 все равно остаются колебания)</t>
  </si>
  <si>
    <t>уменшение в 2 раза дает положительный результат (в 5 раз меньше полностью отсутствуют колебания)</t>
  </si>
  <si>
    <t>увеличение массы в 2 раза практически не влияет, но убирает колебания</t>
  </si>
  <si>
    <t>уменшение хода в 2 раза НЕ влияет, 0.5 мм - тоже самое</t>
  </si>
  <si>
    <t>Тркние сильно увеличивает колебания для клапана на ГГ от баллона</t>
  </si>
  <si>
    <t>PN02</t>
  </si>
  <si>
    <t>PumpFu1</t>
  </si>
  <si>
    <t>PumpFu2</t>
  </si>
  <si>
    <t>напор_А</t>
  </si>
  <si>
    <t>напор_B</t>
  </si>
  <si>
    <t>напор_C</t>
  </si>
  <si>
    <t>инерционность</t>
  </si>
  <si>
    <t>ETA_ном</t>
  </si>
  <si>
    <t>D_шнека</t>
  </si>
  <si>
    <t>D_втулки</t>
  </si>
  <si>
    <t>D_турбины</t>
  </si>
  <si>
    <t>Cтепень расширения турбины</t>
  </si>
  <si>
    <t>BoostOx</t>
  </si>
  <si>
    <t>DH_</t>
  </si>
  <si>
    <t>DB_</t>
  </si>
  <si>
    <t>S_</t>
  </si>
  <si>
    <t>AL_</t>
  </si>
  <si>
    <t>Z_</t>
  </si>
  <si>
    <t>C.I.</t>
  </si>
  <si>
    <t>D_</t>
  </si>
  <si>
    <t>AJ_</t>
  </si>
  <si>
    <t>kmGg</t>
  </si>
  <si>
    <t>CpGg</t>
  </si>
  <si>
    <t>heat capacity</t>
  </si>
  <si>
    <t>Pitch_шаг винтовой линии</t>
  </si>
  <si>
    <t>n_односторонний/двусторонний</t>
  </si>
  <si>
    <t>num_кол-во лопастей снека</t>
  </si>
  <si>
    <t>length_длина шнека на среднем диаметре</t>
  </si>
  <si>
    <t>eta_A</t>
  </si>
  <si>
    <t>eta_B</t>
  </si>
  <si>
    <t>eta_C</t>
  </si>
  <si>
    <t>dCh</t>
  </si>
  <si>
    <t>mChOx</t>
  </si>
  <si>
    <t>mChFu</t>
  </si>
  <si>
    <t>Cp</t>
  </si>
  <si>
    <t>SV04</t>
  </si>
  <si>
    <t>inertRevOx</t>
  </si>
  <si>
    <t>инерционные потери обратных течений на входе в насос окислителя</t>
  </si>
  <si>
    <t>inertRevFu1</t>
  </si>
  <si>
    <t>inertRevFu2</t>
  </si>
  <si>
    <t>comp4Fu</t>
  </si>
  <si>
    <t>comp3Fu</t>
  </si>
  <si>
    <t>pPmpOutOx</t>
  </si>
  <si>
    <t>pPmpInOx</t>
  </si>
  <si>
    <t>p2Fu</t>
  </si>
  <si>
    <t>p1Fu</t>
  </si>
  <si>
    <t>p3Fu</t>
  </si>
  <si>
    <t>pPmp1OutFu</t>
  </si>
  <si>
    <t>pPmp1InFu</t>
  </si>
  <si>
    <t>compCavPmp1Fu</t>
  </si>
  <si>
    <t>compCavPmpOx</t>
  </si>
  <si>
    <t>pTrbOut</t>
  </si>
  <si>
    <t>pPmp2OutFu</t>
  </si>
  <si>
    <t>one name</t>
  </si>
  <si>
    <t>two name</t>
  </si>
  <si>
    <t>component</t>
  </si>
  <si>
    <t>Tnk</t>
  </si>
  <si>
    <t>TrbOut</t>
  </si>
  <si>
    <t>TPmpInOx</t>
  </si>
  <si>
    <t>TPmp1InFu</t>
  </si>
  <si>
    <t>Pmps</t>
  </si>
  <si>
    <t>mPmpOx</t>
  </si>
  <si>
    <t>etaPmpOx</t>
  </si>
  <si>
    <t>mPmp1Fu</t>
  </si>
  <si>
    <t>etaPmp1Fu</t>
  </si>
  <si>
    <t>pPmp2InFu</t>
  </si>
  <si>
    <t>mPmp2Fu</t>
  </si>
  <si>
    <t>etaPmp2Fu</t>
  </si>
  <si>
    <t>TPmp2InFu</t>
  </si>
  <si>
    <t>PmpOx</t>
  </si>
  <si>
    <t>Pmp1Fu</t>
  </si>
  <si>
    <t>Pmp2Fu</t>
  </si>
  <si>
    <t>Обратник CV01</t>
  </si>
  <si>
    <t>Trb</t>
  </si>
  <si>
    <t>pTrbIn</t>
  </si>
  <si>
    <t>muTrb</t>
  </si>
  <si>
    <t>dPTrbNom</t>
  </si>
  <si>
    <t>DTrb</t>
  </si>
  <si>
    <t>etaTrb</t>
  </si>
  <si>
    <t>TCoolTrbStat</t>
  </si>
  <si>
    <t>TTrbIn</t>
  </si>
  <si>
    <t>TTrbOut</t>
  </si>
  <si>
    <t>fTrb</t>
  </si>
  <si>
    <t>estCV01</t>
  </si>
  <si>
    <t>eliqCV01</t>
  </si>
  <si>
    <t>pVaporPressCV01</t>
  </si>
  <si>
    <t>diamSeatCV01</t>
  </si>
  <si>
    <t>myuThrotCV01</t>
  </si>
  <si>
    <t>xFlapMaxCV01</t>
  </si>
  <si>
    <t>masFlapCV01</t>
  </si>
  <si>
    <t>silaFrictStaticCV01</t>
  </si>
  <si>
    <t>silaFrictKineticCV01</t>
  </si>
  <si>
    <t>coefPropFrictViscousCV01</t>
  </si>
  <si>
    <t>lengthJetFlapCV01</t>
  </si>
  <si>
    <t>diamBodyInterCV01</t>
  </si>
  <si>
    <t>diamFlapExterCV01</t>
  </si>
  <si>
    <t>diamStemFlapCV01</t>
  </si>
  <si>
    <t>zSpringCV01</t>
  </si>
  <si>
    <t>silaSpring0CV01</t>
  </si>
  <si>
    <t>masSpringCV01</t>
  </si>
  <si>
    <t>volume10CV01</t>
  </si>
  <si>
    <t>volume20CV01</t>
  </si>
  <si>
    <t>volume30CV01</t>
  </si>
  <si>
    <t>diamPipeInCV01</t>
  </si>
  <si>
    <t>diamPipeOutCV01</t>
  </si>
  <si>
    <t>lengthPipeInCV01</t>
  </si>
  <si>
    <t>lengthPipeOutCV01</t>
  </si>
  <si>
    <t>thicknessPipeInCV01</t>
  </si>
  <si>
    <t>thicknessPipeOutCV01</t>
  </si>
  <si>
    <t>diamConnectorInCV01</t>
  </si>
  <si>
    <t>diamConnectorOutCV01</t>
  </si>
  <si>
    <t>coefSilaFlowCV01</t>
  </si>
  <si>
    <t>comp5Fu</t>
  </si>
  <si>
    <t>compCavPmp2Fu</t>
  </si>
  <si>
    <t>pPN02InOx</t>
  </si>
  <si>
    <t>PN02Ox</t>
  </si>
  <si>
    <t>pPN02OutOx</t>
  </si>
  <si>
    <t>comp1Ox</t>
  </si>
  <si>
    <t>SV04Fu</t>
  </si>
  <si>
    <t>pSV04InFu</t>
  </si>
  <si>
    <t>pSV04OutFu</t>
  </si>
  <si>
    <t>mFilmCoolChFu</t>
  </si>
  <si>
    <t>MassFlow OX</t>
  </si>
  <si>
    <t>MassFlow FU</t>
  </si>
  <si>
    <t>massFlow</t>
  </si>
  <si>
    <t>Pmp1</t>
  </si>
  <si>
    <t>TnkToPmp1</t>
  </si>
  <si>
    <t>Pmp1ToCh</t>
  </si>
  <si>
    <t>Pmp</t>
  </si>
  <si>
    <t>TnkToPmp</t>
  </si>
  <si>
    <t>PmpToGg</t>
  </si>
  <si>
    <t>PmpToTrbOut</t>
  </si>
  <si>
    <t>mTnkToPmp1Fu</t>
  </si>
  <si>
    <t>mPmp1ToChFu</t>
  </si>
  <si>
    <t>mTnkToPmpOx</t>
  </si>
  <si>
    <t>mPmpToGgOx</t>
  </si>
  <si>
    <t>mPmpToTrbOutOx</t>
  </si>
  <si>
    <t>inertTnkToPmp1Fu</t>
  </si>
  <si>
    <t>inertPmp1ToSV04Fu</t>
  </si>
  <si>
    <t>inertSV04ToChFu</t>
  </si>
  <si>
    <t>inertTnkToPmpOx</t>
  </si>
  <si>
    <t>inertPmpToPN02Ox</t>
  </si>
  <si>
    <t>inertPmpToTrbOutOx</t>
  </si>
  <si>
    <t>inertPN02ToGgOx</t>
  </si>
  <si>
    <t>volPN02ToGgOx</t>
  </si>
  <si>
    <t>volSV04ToChFu</t>
  </si>
  <si>
    <t>volG2ToCoolFu</t>
  </si>
  <si>
    <t>volG2ToFilmCoolFu</t>
  </si>
  <si>
    <t>Pressure Fu</t>
  </si>
  <si>
    <t>Pressure Ox</t>
  </si>
  <si>
    <t>pTV01InFu</t>
  </si>
  <si>
    <t>pTV01OutFu</t>
  </si>
  <si>
    <t>Pmp2</t>
  </si>
  <si>
    <t>Pmp2ToCh</t>
  </si>
  <si>
    <t>Pmp2ToGg</t>
  </si>
  <si>
    <t>pAmpInFu</t>
  </si>
  <si>
    <t>pAmpOutFu</t>
  </si>
  <si>
    <t>pTV02InFu</t>
  </si>
  <si>
    <t>pTV02OutFu</t>
  </si>
  <si>
    <t>General</t>
  </si>
  <si>
    <t>TV02</t>
  </si>
  <si>
    <t>CV03</t>
  </si>
  <si>
    <t>Amp</t>
  </si>
  <si>
    <t>TV01</t>
  </si>
  <si>
    <t>GgIgn</t>
  </si>
  <si>
    <t>Ampula</t>
  </si>
  <si>
    <t>pCV03InFu</t>
  </si>
  <si>
    <t>pCV03OutFu</t>
  </si>
  <si>
    <t>mPmp2ToChFu</t>
  </si>
  <si>
    <t>mPmp2ToGgFu</t>
  </si>
  <si>
    <t>mPmp2To1Fu</t>
  </si>
  <si>
    <t>CV01p1</t>
  </si>
  <si>
    <t>CV01p4</t>
  </si>
  <si>
    <t>pCV01p1InFu</t>
  </si>
  <si>
    <t>pCV01p1OutFu</t>
  </si>
  <si>
    <t>pCV01p4InFu</t>
  </si>
  <si>
    <t>pCV01p4OutFu</t>
  </si>
  <si>
    <t>pPN01pInFu</t>
  </si>
  <si>
    <t>pPN01aInFu</t>
  </si>
  <si>
    <t>pPN01aOutFu</t>
  </si>
  <si>
    <t>PN01p</t>
  </si>
  <si>
    <t>PN01a</t>
  </si>
  <si>
    <t>pPN01pOutFu</t>
  </si>
  <si>
    <t>inertPmpToGgOx</t>
  </si>
  <si>
    <t>inertPmp2To1Fu</t>
  </si>
  <si>
    <t>inert1To2Fu</t>
  </si>
  <si>
    <t>inert1To3Fu</t>
  </si>
  <si>
    <t>inert2ToChFu</t>
  </si>
  <si>
    <t>inert3ToGgFu</t>
  </si>
  <si>
    <t>inertPmp1ToTV02Fu</t>
  </si>
  <si>
    <t>inertTV02ToSV04Fu</t>
  </si>
  <si>
    <t>inertSV04ToCV03Fu</t>
  </si>
  <si>
    <t>inertCV03ToChFu</t>
  </si>
  <si>
    <t>inert1ToTV01Fu</t>
  </si>
  <si>
    <t>inertAmpToCV01p1Fu</t>
  </si>
  <si>
    <t>inertCV01p1To2Fu</t>
  </si>
  <si>
    <t>inert2ToCV01p4Fu</t>
  </si>
  <si>
    <t>inertCV01p4ToChFu</t>
  </si>
  <si>
    <t>Fu - All</t>
  </si>
  <si>
    <t>Ox - All</t>
  </si>
  <si>
    <t>Fu - combination</t>
  </si>
  <si>
    <t>inert1ToAmpFu</t>
  </si>
  <si>
    <t>inert2To3Fu</t>
  </si>
  <si>
    <t>inert2ToPN01aFu</t>
  </si>
  <si>
    <t>inertPmp1ToChFu</t>
  </si>
  <si>
    <t>PN01pFu</t>
  </si>
  <si>
    <t>PN01aFu</t>
  </si>
  <si>
    <t>inertTV01ToPN01pInFu</t>
  </si>
  <si>
    <t>AmpFu</t>
  </si>
  <si>
    <t>pAmpFu</t>
  </si>
  <si>
    <t>inertAmpTo2Fu</t>
  </si>
  <si>
    <t>volAmpTo2Fu</t>
  </si>
  <si>
    <t>vol2ToChFu</t>
  </si>
  <si>
    <t>vol2To3Fu</t>
  </si>
  <si>
    <t>vol3ToGgFu</t>
  </si>
  <si>
    <t>compAmp</t>
  </si>
  <si>
    <t>m3ToGgFu</t>
  </si>
  <si>
    <t>m1To3Fu</t>
  </si>
  <si>
    <t>m2ToChFu</t>
  </si>
  <si>
    <t>m2To3Fu</t>
  </si>
  <si>
    <t>inertAmpFu</t>
  </si>
  <si>
    <t>m1To2Fu</t>
  </si>
  <si>
    <t>AmpOut</t>
  </si>
  <si>
    <t>AmpIn</t>
  </si>
  <si>
    <t>mGgFuMin</t>
  </si>
  <si>
    <t>qTrb</t>
  </si>
  <si>
    <t>qGgToTrbIn</t>
  </si>
  <si>
    <t>dztaTrb</t>
  </si>
  <si>
    <t>VGv</t>
  </si>
  <si>
    <t>mChFuGenMin</t>
  </si>
  <si>
    <t>pGv</t>
  </si>
  <si>
    <t>TGv</t>
  </si>
  <si>
    <t>inertia turb</t>
  </si>
  <si>
    <t>JTrbPmp</t>
  </si>
  <si>
    <t>SN06</t>
  </si>
  <si>
    <t>N2</t>
  </si>
  <si>
    <t>StTrb</t>
  </si>
  <si>
    <t>pBalN2</t>
  </si>
  <si>
    <t>pStTrbOut</t>
  </si>
  <si>
    <t>kN2</t>
  </si>
  <si>
    <t>RN2</t>
  </si>
  <si>
    <t>TN2</t>
  </si>
  <si>
    <t>DStTrb</t>
  </si>
  <si>
    <t>dCritStTrb</t>
  </si>
  <si>
    <t>zStTrb</t>
  </si>
  <si>
    <t>dNozStTrb</t>
  </si>
  <si>
    <t>muValStSys</t>
  </si>
  <si>
    <t>SV07Fu</t>
  </si>
  <si>
    <t>fValStSys111</t>
  </si>
  <si>
    <t>SV07</t>
  </si>
  <si>
    <t>pSV07InFu</t>
  </si>
  <si>
    <t>pSV07OutFu</t>
  </si>
  <si>
    <t>max = 52450; min = 45600</t>
  </si>
  <si>
    <t>не заполнен ГГ</t>
  </si>
  <si>
    <t>заполнен ГГ и 0.1с после заполнения</t>
  </si>
  <si>
    <t>до начала открітия клапана PN01 ox</t>
  </si>
  <si>
    <t>в момент открытия PN01</t>
  </si>
  <si>
    <t>после открытия PN01</t>
  </si>
  <si>
    <t>tauPrebGg</t>
  </si>
  <si>
    <t>tauPrebGv</t>
  </si>
  <si>
    <t>tauPrebCh</t>
  </si>
  <si>
    <t>REnv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</si>
</sst>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0"/>
    <numFmt numFmtId="165" formatCode="0.0"/>
    <numFmt numFmtId="166" formatCode="0.000E+00"/>
    <numFmt numFmtId="167" formatCode="0.000"/>
    <numFmt numFmtId="168" formatCode="0.0000"/>
    <numFmt numFmtId="169" formatCode="0.000000"/>
    <numFmt numFmtId="170" formatCode="0.0000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1"/>
      <color rgb="FFC00000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8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7C8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</patternFill>
    </fill>
    <fill>
      <patternFill patternType="solid">
        <fgColor rgb="FFEA60E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800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/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7F7F7F"/>
      </top>
      <bottom style="thin">
        <color rgb="FF7F7F7F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7F7F7F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0">
    <xf numFmtId="0" fontId="0" fillId="0" borderId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8" fillId="5" borderId="0" applyNumberFormat="0" applyBorder="0" applyAlignment="0" applyProtection="0"/>
    <xf numFmtId="0" fontId="11" fillId="7" borderId="0" applyNumberFormat="0" applyBorder="0" applyAlignment="0" applyProtection="0"/>
    <xf numFmtId="0" fontId="12" fillId="8" borderId="14" applyNumberFormat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0" borderId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20" fillId="0" borderId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0" borderId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4" fillId="18" borderId="0" applyNumberFormat="0" applyBorder="0" applyAlignment="0" applyProtection="0"/>
    <xf numFmtId="0" fontId="11" fillId="2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</cellStyleXfs>
  <cellXfs count="196">
    <xf numFmtId="0" fontId="0" fillId="0" borderId="0" xfId="0"/>
    <xf numFmtId="11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center" vertical="center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2" xfId="0" applyBorder="1"/>
    <xf numFmtId="0" fontId="8" fillId="5" borderId="9" xfId="4" applyBorder="1"/>
    <xf numFmtId="0" fontId="8" fillId="5" borderId="13" xfId="4" applyBorder="1"/>
    <xf numFmtId="0" fontId="13" fillId="0" borderId="0" xfId="9" applyFont="1" applyAlignment="1">
      <alignment horizontal="right" vertical="center"/>
    </xf>
    <xf numFmtId="0" fontId="14" fillId="0" borderId="0" xfId="0" applyFont="1"/>
    <xf numFmtId="0" fontId="13" fillId="0" borderId="0" xfId="9" applyFont="1"/>
    <xf numFmtId="0" fontId="13" fillId="0" borderId="0" xfId="9" applyFont="1" applyAlignment="1">
      <alignment horizontal="center" vertical="center"/>
    </xf>
    <xf numFmtId="0" fontId="7" fillId="9" borderId="12" xfId="7" applyBorder="1"/>
    <xf numFmtId="0" fontId="12" fillId="8" borderId="14" xfId="6" applyAlignment="1">
      <alignment horizontal="center" vertical="center"/>
    </xf>
    <xf numFmtId="0" fontId="12" fillId="8" borderId="14" xfId="6" applyAlignment="1">
      <alignment horizontal="center"/>
    </xf>
    <xf numFmtId="165" fontId="14" fillId="0" borderId="0" xfId="0" applyNumberFormat="1" applyFont="1"/>
    <xf numFmtId="0" fontId="0" fillId="0" borderId="15" xfId="0" applyBorder="1"/>
    <xf numFmtId="0" fontId="17" fillId="0" borderId="0" xfId="0" applyFont="1"/>
    <xf numFmtId="0" fontId="0" fillId="11" borderId="0" xfId="0" applyFill="1"/>
    <xf numFmtId="0" fontId="16" fillId="0" borderId="0" xfId="0" applyFont="1"/>
    <xf numFmtId="0" fontId="18" fillId="0" borderId="0" xfId="0" applyFont="1"/>
    <xf numFmtId="0" fontId="12" fillId="8" borderId="16" xfId="6" applyBorder="1" applyAlignment="1">
      <alignment horizontal="center"/>
    </xf>
    <xf numFmtId="49" fontId="12" fillId="8" borderId="16" xfId="6" applyNumberFormat="1" applyBorder="1"/>
    <xf numFmtId="49" fontId="12" fillId="8" borderId="10" xfId="6" applyNumberFormat="1" applyBorder="1"/>
    <xf numFmtId="49" fontId="12" fillId="8" borderId="18" xfId="6" applyNumberFormat="1" applyBorder="1" applyAlignment="1">
      <alignment horizontal="center"/>
    </xf>
    <xf numFmtId="0" fontId="0" fillId="0" borderId="1" xfId="0" applyBorder="1" applyAlignment="1">
      <alignment horizontal="center"/>
    </xf>
    <xf numFmtId="49" fontId="12" fillId="8" borderId="1" xfId="6" applyNumberFormat="1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16" borderId="25" xfId="0" applyFill="1" applyBorder="1" applyAlignment="1">
      <alignment horizontal="center" vertical="center"/>
    </xf>
    <xf numFmtId="0" fontId="0" fillId="17" borderId="25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/>
    <xf numFmtId="0" fontId="7" fillId="10" borderId="26" xfId="8" applyBorder="1"/>
    <xf numFmtId="164" fontId="0" fillId="0" borderId="0" xfId="0" applyNumberFormat="1"/>
    <xf numFmtId="49" fontId="12" fillId="8" borderId="27" xfId="6" applyNumberFormat="1" applyBorder="1"/>
    <xf numFmtId="49" fontId="12" fillId="8" borderId="26" xfId="6" applyNumberFormat="1" applyBorder="1"/>
    <xf numFmtId="0" fontId="3" fillId="10" borderId="1" xfId="8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18" fillId="19" borderId="5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0" xfId="0" applyBorder="1" applyAlignment="1">
      <alignment horizontal="center"/>
    </xf>
    <xf numFmtId="2" fontId="14" fillId="0" borderId="0" xfId="0" applyNumberFormat="1" applyFont="1"/>
    <xf numFmtId="0" fontId="0" fillId="0" borderId="2" xfId="0" applyBorder="1" applyAlignment="1">
      <alignment horizontal="center"/>
    </xf>
    <xf numFmtId="1" fontId="0" fillId="0" borderId="17" xfId="0" applyNumberFormat="1" applyBorder="1"/>
    <xf numFmtId="2" fontId="0" fillId="0" borderId="0" xfId="0" applyNumberFormat="1"/>
    <xf numFmtId="0" fontId="0" fillId="0" borderId="0" xfId="0" applyAlignment="1">
      <alignment horizontal="right"/>
    </xf>
    <xf numFmtId="167" fontId="14" fillId="0" borderId="0" xfId="0" applyNumberFormat="1" applyFont="1"/>
    <xf numFmtId="168" fontId="14" fillId="0" borderId="0" xfId="0" applyNumberFormat="1" applyFont="1"/>
    <xf numFmtId="0" fontId="17" fillId="0" borderId="5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7" fillId="0" borderId="0" xfId="0" applyFont="1" applyAlignment="1">
      <alignment horizontal="left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11" fillId="4" borderId="7" xfId="3" applyBorder="1" applyAlignment="1">
      <alignment horizontal="center"/>
    </xf>
    <xf numFmtId="0" fontId="9" fillId="2" borderId="11" xfId="1" applyBorder="1" applyAlignment="1">
      <alignment horizontal="center"/>
    </xf>
    <xf numFmtId="0" fontId="8" fillId="5" borderId="9" xfId="4" applyBorder="1" applyAlignment="1">
      <alignment horizontal="center"/>
    </xf>
    <xf numFmtId="0" fontId="10" fillId="3" borderId="11" xfId="2" applyBorder="1" applyAlignment="1">
      <alignment horizontal="center"/>
    </xf>
    <xf numFmtId="0" fontId="8" fillId="5" borderId="31" xfId="4" applyBorder="1"/>
    <xf numFmtId="0" fontId="0" fillId="0" borderId="25" xfId="0" applyBorder="1" applyAlignment="1">
      <alignment horizontal="center"/>
    </xf>
    <xf numFmtId="0" fontId="0" fillId="20" borderId="10" xfId="0" applyFill="1" applyBorder="1" applyAlignment="1">
      <alignment horizontal="center"/>
    </xf>
    <xf numFmtId="0" fontId="0" fillId="20" borderId="25" xfId="0" applyFill="1" applyBorder="1" applyAlignment="1">
      <alignment horizontal="center"/>
    </xf>
    <xf numFmtId="0" fontId="0" fillId="20" borderId="1" xfId="0" applyFill="1" applyBorder="1" applyAlignment="1">
      <alignment horizontal="center"/>
    </xf>
    <xf numFmtId="0" fontId="0" fillId="20" borderId="20" xfId="0" applyFill="1" applyBorder="1" applyAlignment="1">
      <alignment horizontal="center"/>
    </xf>
    <xf numFmtId="0" fontId="17" fillId="20" borderId="10" xfId="0" applyFont="1" applyFill="1" applyBorder="1" applyAlignment="1">
      <alignment horizontal="center"/>
    </xf>
    <xf numFmtId="0" fontId="18" fillId="20" borderId="10" xfId="0" applyFont="1" applyFill="1" applyBorder="1" applyAlignment="1">
      <alignment horizontal="center"/>
    </xf>
    <xf numFmtId="0" fontId="12" fillId="8" borderId="1" xfId="6" applyBorder="1" applyAlignment="1">
      <alignment horizontal="center"/>
    </xf>
    <xf numFmtId="0" fontId="17" fillId="0" borderId="15" xfId="0" applyFont="1" applyBorder="1"/>
    <xf numFmtId="0" fontId="21" fillId="0" borderId="5" xfId="0" applyFont="1" applyBorder="1"/>
    <xf numFmtId="49" fontId="12" fillId="8" borderId="32" xfId="6" applyNumberFormat="1" applyBorder="1" applyAlignment="1">
      <alignment horizontal="center"/>
    </xf>
    <xf numFmtId="167" fontId="0" fillId="0" borderId="17" xfId="0" applyNumberFormat="1" applyBorder="1"/>
    <xf numFmtId="49" fontId="12" fillId="8" borderId="1" xfId="6" applyNumberFormat="1" applyBorder="1"/>
    <xf numFmtId="0" fontId="18" fillId="19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49" fontId="0" fillId="0" borderId="1" xfId="0" applyNumberFormat="1" applyBorder="1" applyAlignment="1">
      <alignment horizontal="center" vertical="center"/>
    </xf>
    <xf numFmtId="1" fontId="18" fillId="0" borderId="0" xfId="0" applyNumberFormat="1" applyFont="1"/>
    <xf numFmtId="49" fontId="0" fillId="0" borderId="33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49" fontId="0" fillId="0" borderId="34" xfId="0" applyNumberFormat="1" applyBorder="1" applyAlignment="1">
      <alignment horizontal="center" vertical="center"/>
    </xf>
    <xf numFmtId="49" fontId="0" fillId="0" borderId="23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35" xfId="0" applyBorder="1"/>
    <xf numFmtId="1" fontId="18" fillId="0" borderId="17" xfId="0" applyNumberFormat="1" applyFont="1" applyBorder="1"/>
    <xf numFmtId="1" fontId="18" fillId="0" borderId="36" xfId="0" applyNumberFormat="1" applyFont="1" applyBorder="1"/>
    <xf numFmtId="49" fontId="0" fillId="0" borderId="42" xfId="0" applyNumberFormat="1" applyBorder="1" applyAlignment="1">
      <alignment horizontal="center" vertical="center"/>
    </xf>
    <xf numFmtId="49" fontId="0" fillId="0" borderId="43" xfId="0" applyNumberFormat="1" applyBorder="1" applyAlignment="1">
      <alignment horizontal="center" vertical="center"/>
    </xf>
    <xf numFmtId="49" fontId="0" fillId="0" borderId="44" xfId="0" applyNumberForma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49" fontId="0" fillId="0" borderId="37" xfId="0" applyNumberFormat="1" applyBorder="1" applyAlignment="1">
      <alignment horizontal="left" vertical="center"/>
    </xf>
    <xf numFmtId="49" fontId="0" fillId="0" borderId="39" xfId="0" applyNumberFormat="1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0" fillId="0" borderId="40" xfId="0" applyBorder="1" applyAlignment="1">
      <alignment horizontal="left" vertical="center"/>
    </xf>
    <xf numFmtId="0" fontId="0" fillId="0" borderId="48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1" fontId="0" fillId="0" borderId="0" xfId="0" applyNumberFormat="1"/>
    <xf numFmtId="0" fontId="18" fillId="19" borderId="6" xfId="0" applyFont="1" applyFill="1" applyBorder="1" applyAlignment="1">
      <alignment horizontal="center" vertical="center"/>
    </xf>
    <xf numFmtId="1" fontId="0" fillId="0" borderId="36" xfId="0" applyNumberFormat="1" applyBorder="1"/>
    <xf numFmtId="0" fontId="18" fillId="19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" fontId="0" fillId="0" borderId="6" xfId="0" applyNumberFormat="1" applyBorder="1"/>
    <xf numFmtId="1" fontId="0" fillId="0" borderId="49" xfId="0" applyNumberFormat="1" applyBorder="1"/>
    <xf numFmtId="49" fontId="0" fillId="17" borderId="43" xfId="0" applyNumberFormat="1" applyFill="1" applyBorder="1" applyAlignment="1">
      <alignment horizontal="center" vertical="center"/>
    </xf>
    <xf numFmtId="49" fontId="0" fillId="17" borderId="1" xfId="0" applyNumberFormat="1" applyFill="1" applyBorder="1" applyAlignment="1">
      <alignment horizontal="center" vertical="center"/>
    </xf>
    <xf numFmtId="49" fontId="0" fillId="17" borderId="23" xfId="0" applyNumberFormat="1" applyFill="1" applyBorder="1" applyAlignment="1">
      <alignment horizontal="center" vertical="center"/>
    </xf>
    <xf numFmtId="49" fontId="0" fillId="24" borderId="43" xfId="0" applyNumberFormat="1" applyFill="1" applyBorder="1" applyAlignment="1">
      <alignment horizontal="center" vertical="center"/>
    </xf>
    <xf numFmtId="49" fontId="0" fillId="24" borderId="1" xfId="0" applyNumberFormat="1" applyFill="1" applyBorder="1" applyAlignment="1">
      <alignment horizontal="center" vertical="center"/>
    </xf>
    <xf numFmtId="49" fontId="0" fillId="25" borderId="20" xfId="0" applyNumberFormat="1" applyFill="1" applyBorder="1" applyAlignment="1">
      <alignment horizontal="center" vertical="center"/>
    </xf>
    <xf numFmtId="49" fontId="0" fillId="26" borderId="20" xfId="0" applyNumberFormat="1" applyFill="1" applyBorder="1" applyAlignment="1">
      <alignment horizontal="center" vertical="center"/>
    </xf>
    <xf numFmtId="49" fontId="0" fillId="24" borderId="23" xfId="0" applyNumberFormat="1" applyFill="1" applyBorder="1" applyAlignment="1">
      <alignment horizontal="center" vertical="center"/>
    </xf>
    <xf numFmtId="49" fontId="0" fillId="26" borderId="22" xfId="0" applyNumberFormat="1" applyFill="1" applyBorder="1" applyAlignment="1">
      <alignment horizontal="center" vertical="center"/>
    </xf>
    <xf numFmtId="49" fontId="0" fillId="17" borderId="39" xfId="0" applyNumberFormat="1" applyFill="1" applyBorder="1" applyAlignment="1">
      <alignment horizontal="center" vertical="center"/>
    </xf>
    <xf numFmtId="49" fontId="0" fillId="26" borderId="44" xfId="0" applyNumberFormat="1" applyFill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49" fontId="0" fillId="17" borderId="47" xfId="0" applyNumberFormat="1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49" fontId="0" fillId="24" borderId="39" xfId="0" applyNumberFormat="1" applyFill="1" applyBorder="1" applyAlignment="1">
      <alignment horizontal="center" vertical="center"/>
    </xf>
    <xf numFmtId="49" fontId="0" fillId="25" borderId="40" xfId="0" applyNumberFormat="1" applyFill="1" applyBorder="1" applyAlignment="1">
      <alignment horizontal="center" vertical="center"/>
    </xf>
    <xf numFmtId="49" fontId="0" fillId="24" borderId="5" xfId="0" applyNumberFormat="1" applyFill="1" applyBorder="1" applyAlignment="1">
      <alignment horizontal="center" vertical="center"/>
    </xf>
    <xf numFmtId="49" fontId="0" fillId="25" borderId="41" xfId="0" applyNumberFormat="1" applyFill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49" fontId="0" fillId="24" borderId="47" xfId="0" applyNumberFormat="1" applyFill="1" applyBorder="1" applyAlignment="1">
      <alignment horizontal="center" vertical="center"/>
    </xf>
    <xf numFmtId="49" fontId="0" fillId="26" borderId="41" xfId="0" applyNumberFormat="1" applyFill="1" applyBorder="1" applyAlignment="1">
      <alignment horizontal="center" vertical="center"/>
    </xf>
    <xf numFmtId="0" fontId="18" fillId="19" borderId="10" xfId="0" applyFont="1" applyFill="1" applyBorder="1" applyAlignment="1">
      <alignment horizontal="center" vertical="center"/>
    </xf>
    <xf numFmtId="49" fontId="6" fillId="15" borderId="41" xfId="11" applyNumberFormat="1" applyBorder="1" applyAlignment="1">
      <alignment horizontal="center" vertical="center"/>
    </xf>
    <xf numFmtId="49" fontId="6" fillId="15" borderId="20" xfId="11" applyNumberFormat="1" applyBorder="1" applyAlignment="1">
      <alignment horizontal="center" vertical="center"/>
    </xf>
    <xf numFmtId="167" fontId="0" fillId="0" borderId="35" xfId="0" applyNumberFormat="1" applyBorder="1"/>
    <xf numFmtId="167" fontId="0" fillId="0" borderId="2" xfId="0" applyNumberFormat="1" applyBorder="1"/>
    <xf numFmtId="168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9" fontId="0" fillId="0" borderId="0" xfId="0" applyNumberFormat="1" applyAlignment="1">
      <alignment horizontal="right"/>
    </xf>
    <xf numFmtId="170" fontId="0" fillId="0" borderId="0" xfId="0" applyNumberFormat="1" applyAlignment="1">
      <alignment horizontal="right"/>
    </xf>
    <xf numFmtId="0" fontId="0" fillId="0" borderId="2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16" borderId="51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22" borderId="24" xfId="0" applyFill="1" applyBorder="1" applyAlignment="1">
      <alignment horizontal="center" vertical="center"/>
    </xf>
    <xf numFmtId="0" fontId="0" fillId="22" borderId="52" xfId="0" applyFill="1" applyBorder="1" applyAlignment="1">
      <alignment horizontal="center" vertical="center"/>
    </xf>
    <xf numFmtId="165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8" fillId="5" borderId="0" xfId="4" applyBorder="1"/>
    <xf numFmtId="0" fontId="17" fillId="0" borderId="1" xfId="0" applyFont="1" applyBorder="1" applyAlignment="1">
      <alignment horizontal="center" vertical="center"/>
    </xf>
    <xf numFmtId="0" fontId="0" fillId="17" borderId="12" xfId="0" applyFill="1" applyBorder="1" applyAlignment="1">
      <alignment horizontal="center" vertical="center"/>
    </xf>
    <xf numFmtId="0" fontId="0" fillId="28" borderId="12" xfId="0" applyFill="1" applyBorder="1" applyAlignment="1">
      <alignment horizontal="center" vertical="center"/>
    </xf>
    <xf numFmtId="0" fontId="0" fillId="22" borderId="23" xfId="0" applyFill="1" applyBorder="1" applyAlignment="1">
      <alignment horizontal="center" vertical="center"/>
    </xf>
    <xf numFmtId="0" fontId="0" fillId="23" borderId="0" xfId="0" applyFill="1"/>
    <xf numFmtId="0" fontId="0" fillId="25" borderId="0" xfId="0" applyFill="1"/>
    <xf numFmtId="0" fontId="0" fillId="11" borderId="1" xfId="0" applyFill="1" applyBorder="1" applyAlignment="1">
      <alignment horizontal="center" vertical="center"/>
    </xf>
    <xf numFmtId="0" fontId="0" fillId="29" borderId="12" xfId="0" applyFill="1" applyBorder="1" applyAlignment="1">
      <alignment horizontal="center" vertical="center"/>
    </xf>
    <xf numFmtId="0" fontId="0" fillId="30" borderId="12" xfId="0" applyFill="1" applyBorder="1" applyAlignment="1">
      <alignment horizontal="center" vertical="center"/>
    </xf>
    <xf numFmtId="0" fontId="17" fillId="27" borderId="12" xfId="0" applyFont="1" applyFill="1" applyBorder="1" applyAlignment="1">
      <alignment horizontal="center" vertical="center"/>
    </xf>
    <xf numFmtId="11" fontId="0" fillId="0" borderId="5" xfId="0" applyNumberFormat="1" applyBorder="1"/>
    <xf numFmtId="0" fontId="17" fillId="0" borderId="25" xfId="0" applyFont="1" applyBorder="1" applyAlignment="1">
      <alignment horizontal="center" vertical="center"/>
    </xf>
    <xf numFmtId="0" fontId="17" fillId="16" borderId="25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18" fillId="0" borderId="25" xfId="0" applyFont="1" applyBorder="1" applyAlignment="1">
      <alignment horizontal="center" vertical="center"/>
    </xf>
    <xf numFmtId="0" fontId="18" fillId="16" borderId="25" xfId="0" applyFont="1" applyFill="1" applyBorder="1" applyAlignment="1">
      <alignment horizontal="center" vertical="center"/>
    </xf>
    <xf numFmtId="0" fontId="18" fillId="27" borderId="12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18" fillId="0" borderId="20" xfId="0" applyFont="1" applyBorder="1" applyAlignment="1">
      <alignment horizontal="center"/>
    </xf>
    <xf numFmtId="0" fontId="0" fillId="0" borderId="0" xfId="0" applyFill="1" applyBorder="1"/>
    <xf numFmtId="0" fontId="0" fillId="0" borderId="15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4" fillId="18" borderId="0" xfId="22" applyAlignment="1">
      <alignment horizontal="center" vertical="center" wrapText="1"/>
    </xf>
    <xf numFmtId="0" fontId="6" fillId="12" borderId="0" xfId="10" applyAlignment="1">
      <alignment horizontal="center" vertical="center" wrapText="1"/>
    </xf>
    <xf numFmtId="0" fontId="2" fillId="15" borderId="0" xfId="11" applyFont="1" applyAlignment="1">
      <alignment horizontal="center" vertical="center"/>
    </xf>
    <xf numFmtId="0" fontId="6" fillId="15" borderId="0" xfId="11" applyAlignment="1">
      <alignment horizontal="center" vertical="center"/>
    </xf>
    <xf numFmtId="0" fontId="11" fillId="21" borderId="0" xfId="23" applyAlignment="1">
      <alignment horizontal="center" vertical="center" wrapText="1"/>
    </xf>
    <xf numFmtId="0" fontId="11" fillId="7" borderId="0" xfId="5" applyAlignment="1">
      <alignment horizontal="center" vertical="center" wrapText="1"/>
    </xf>
    <xf numFmtId="0" fontId="0" fillId="22" borderId="0" xfId="0" applyFill="1" applyAlignment="1">
      <alignment horizontal="center" vertical="center" wrapText="1"/>
    </xf>
    <xf numFmtId="0" fontId="0" fillId="17" borderId="45" xfId="0" applyFill="1" applyBorder="1" applyAlignment="1">
      <alignment horizontal="center" vertical="center" wrapText="1"/>
    </xf>
    <xf numFmtId="0" fontId="0" fillId="23" borderId="0" xfId="0" applyFill="1" applyAlignment="1">
      <alignment horizontal="center" vertical="center"/>
    </xf>
  </cellXfs>
  <cellStyles count="40">
    <cellStyle name="20% — акцент2 2" xfId="14" xr:uid="{55A8CF8C-B780-44B2-9089-27D23B4A1CF2}"/>
    <cellStyle name="20% — акцент2 2 2" xfId="31" xr:uid="{B37BF1BE-6235-4086-868C-1AA8A7FA29C1}"/>
    <cellStyle name="20% — акцент4" xfId="7" builtinId="42"/>
    <cellStyle name="20% — акцент4 2" xfId="15" xr:uid="{C3A2B7FB-2D10-4B1E-A55A-E5FE755D33BC}"/>
    <cellStyle name="20% — акцент4 2 2" xfId="32" xr:uid="{2F8F049A-3E3E-4A43-8ADF-F591956FDE12}"/>
    <cellStyle name="20% — акцент4 3" xfId="25" xr:uid="{D20B595A-BCBA-44E1-82D4-B4C0B62D01C4}"/>
    <cellStyle name="20% — акцент5" xfId="8" builtinId="46"/>
    <cellStyle name="20% — акцент5 2" xfId="16" xr:uid="{766247B5-D8FD-4A04-9A35-E7E39AEA79C7}"/>
    <cellStyle name="20% — акцент5 2 2" xfId="33" xr:uid="{202DADAE-2693-4C02-BC76-4861A09A56B4}"/>
    <cellStyle name="20% — акцент5 3" xfId="26" xr:uid="{D5CD1E65-BE70-4F42-98BA-23799F89AA9E}"/>
    <cellStyle name="20% — акцент6" xfId="4" builtinId="50"/>
    <cellStyle name="20% — акцент6 2" xfId="13" xr:uid="{5A501F1A-2928-4F59-972C-8ED4295AFC56}"/>
    <cellStyle name="20% — акцент6 2 2" xfId="30" xr:uid="{6FA52BD9-C7E8-419F-BE6E-F9ADCACD977D}"/>
    <cellStyle name="20% — акцент6 3" xfId="24" xr:uid="{3273C08E-89D2-4912-B51B-EEF56CFABFD4}"/>
    <cellStyle name="40% — акцент5 2" xfId="20" xr:uid="{9387D0C0-0A70-456B-8748-16331DCE1934}"/>
    <cellStyle name="40% — акцент5 2 2" xfId="37" xr:uid="{775FF08B-F30D-4026-8CFD-0C868482AA39}"/>
    <cellStyle name="60% — акцент2" xfId="10" builtinId="36"/>
    <cellStyle name="60% — акцент2 2" xfId="18" xr:uid="{8FB3CFE0-327C-48C3-B6C1-01C81014C595}"/>
    <cellStyle name="60% — акцент2 2 2" xfId="35" xr:uid="{13388C88-2469-460D-AA0B-42FA601758D3}"/>
    <cellStyle name="60% — акцент2 3" xfId="28" xr:uid="{A3CF1D45-B9AF-4BAA-9BCE-43738E0AA447}"/>
    <cellStyle name="60% — акцент4 2" xfId="19" xr:uid="{5373B9C3-479D-4234-9DA7-FE1D0E85B7CA}"/>
    <cellStyle name="60% — акцент4 2 2" xfId="36" xr:uid="{4F05E0D6-E88D-4486-B068-E493D2C28F54}"/>
    <cellStyle name="60% — акцент5" xfId="22" builtinId="48"/>
    <cellStyle name="60% — акцент5 2" xfId="39" xr:uid="{7B18872D-D3B5-4DCC-8DE8-3248B880A440}"/>
    <cellStyle name="60% — акцент6" xfId="11" builtinId="52"/>
    <cellStyle name="60% — акцент6 2" xfId="21" xr:uid="{895C8D4A-0B8E-4B41-8499-B4F951BB8FA4}"/>
    <cellStyle name="60% — акцент6 2 2" xfId="38" xr:uid="{77E1F01D-1C31-4DEA-8C16-2DCF407A8FD5}"/>
    <cellStyle name="60% — акцент6 3" xfId="29" xr:uid="{FEA8C013-1504-4F8A-80EF-739AC8A522C6}"/>
    <cellStyle name="Акцент4" xfId="23" builtinId="41"/>
    <cellStyle name="Акцент5" xfId="3" builtinId="45"/>
    <cellStyle name="Акцент6" xfId="5" builtinId="49"/>
    <cellStyle name="Вычисление" xfId="6" builtinId="22"/>
    <cellStyle name="Нейтральный" xfId="2" builtinId="28"/>
    <cellStyle name="Обычный" xfId="0" builtinId="0"/>
    <cellStyle name="Обычный 2" xfId="9" xr:uid="{5A98FB6A-5DCF-418F-BE5B-6BD237868D11}"/>
    <cellStyle name="Обычный 2 2" xfId="17" xr:uid="{6B2DCE22-424C-4F08-B441-0A188A7411B5}"/>
    <cellStyle name="Обычный 2 2 2" xfId="34" xr:uid="{DF9D2588-EAF9-495E-B086-9EAB6EB1B649}"/>
    <cellStyle name="Обычный 2 3" xfId="27" xr:uid="{891EE650-8042-4A93-8265-C72BDA00E581}"/>
    <cellStyle name="Обычный 2_Лист5" xfId="12" xr:uid="{DB9D01F4-9272-4920-92E5-9D7A9E075671}"/>
    <cellStyle name="Плохой" xfId="1" builtinId="27"/>
  </cellStyles>
  <dxfs count="0"/>
  <tableStyles count="0" defaultTableStyle="TableStyleMedium2" defaultPivotStyle="PivotStyleLight16"/>
  <colors>
    <mruColors>
      <color rgb="FFDFF50B"/>
      <color rgb="FFEA60EA"/>
      <color rgb="FFFF8001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oft/REFPROP/REFPROP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definedNames>
      <definedName name="cp"/>
      <definedName name="cv"/>
      <definedName name="Density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B7309-4AAD-4FBD-B091-64DC93DA8BBA}">
  <sheetPr>
    <tabColor theme="1"/>
  </sheetPr>
  <dimension ref="A1:H232"/>
  <sheetViews>
    <sheetView tabSelected="1" zoomScale="85" zoomScaleNormal="85" workbookViewId="0">
      <pane ySplit="1" topLeftCell="A2" activePane="bottomLeft" state="frozen"/>
      <selection pane="bottomLeft" activeCell="B6" sqref="B6"/>
    </sheetView>
  </sheetViews>
  <sheetFormatPr defaultColWidth="8.85546875" defaultRowHeight="15" x14ac:dyDescent="0.25"/>
  <cols>
    <col min="1" max="1" width="40.42578125" style="3" bestFit="1" customWidth="1"/>
    <col min="2" max="2" width="12.140625" customWidth="1"/>
    <col min="3" max="3" width="18.28515625" style="46" bestFit="1" customWidth="1"/>
    <col min="4" max="4" width="11.42578125" style="3" customWidth="1"/>
    <col min="5" max="5" width="92.42578125" customWidth="1"/>
    <col min="6" max="6" width="9.28515625" bestFit="1" customWidth="1"/>
    <col min="7" max="7" width="10.42578125" bestFit="1" customWidth="1"/>
    <col min="8" max="8" width="11.42578125" bestFit="1" customWidth="1"/>
  </cols>
  <sheetData>
    <row r="1" spans="1:5" x14ac:dyDescent="0.25">
      <c r="A1" s="4" t="s">
        <v>7</v>
      </c>
      <c r="B1" s="41" t="s">
        <v>21</v>
      </c>
      <c r="C1" s="45" t="s">
        <v>228</v>
      </c>
      <c r="D1" s="17" t="s">
        <v>20</v>
      </c>
      <c r="E1" s="30" t="s">
        <v>217</v>
      </c>
    </row>
    <row r="2" spans="1:5" x14ac:dyDescent="0.25">
      <c r="A2" s="18" t="s">
        <v>232</v>
      </c>
      <c r="B2" s="27" t="s">
        <v>29</v>
      </c>
      <c r="C2" s="29" t="s">
        <v>29</v>
      </c>
      <c r="D2" s="43" t="s">
        <v>29</v>
      </c>
      <c r="E2" s="31" t="s">
        <v>29</v>
      </c>
    </row>
    <row r="3" spans="1:5" x14ac:dyDescent="0.25">
      <c r="A3" s="3" t="s">
        <v>208</v>
      </c>
      <c r="B3">
        <v>0</v>
      </c>
      <c r="C3" s="46" t="s">
        <v>229</v>
      </c>
      <c r="D3"/>
      <c r="E3" s="6"/>
    </row>
    <row r="4" spans="1:5" x14ac:dyDescent="0.25">
      <c r="A4" s="3" t="s">
        <v>209</v>
      </c>
      <c r="B4">
        <v>3</v>
      </c>
      <c r="C4" s="46" t="s">
        <v>229</v>
      </c>
      <c r="D4">
        <f>B4/B5</f>
        <v>60000</v>
      </c>
      <c r="E4" s="6"/>
    </row>
    <row r="5" spans="1:5" x14ac:dyDescent="0.25">
      <c r="A5" s="3" t="s">
        <v>26</v>
      </c>
      <c r="B5" s="42">
        <f>5*10^-5</f>
        <v>5.0000000000000002E-5</v>
      </c>
      <c r="C5" s="46" t="s">
        <v>229</v>
      </c>
      <c r="D5">
        <f>D4/B7</f>
        <v>1000</v>
      </c>
      <c r="E5" s="6"/>
    </row>
    <row r="6" spans="1:5" x14ac:dyDescent="0.25">
      <c r="A6" t="s">
        <v>242</v>
      </c>
      <c r="B6">
        <v>1000</v>
      </c>
      <c r="C6" s="46" t="s">
        <v>229</v>
      </c>
      <c r="D6"/>
      <c r="E6" s="6"/>
    </row>
    <row r="7" spans="1:5" x14ac:dyDescent="0.25">
      <c r="A7" s="5" t="s">
        <v>22</v>
      </c>
      <c r="B7" s="57">
        <f>INT(B4/B5/B6)</f>
        <v>60</v>
      </c>
      <c r="C7" s="46" t="s">
        <v>229</v>
      </c>
      <c r="D7"/>
      <c r="E7" s="168"/>
    </row>
    <row r="8" spans="1:5" x14ac:dyDescent="0.25">
      <c r="A8" s="19" t="s">
        <v>231</v>
      </c>
      <c r="B8" s="27" t="s">
        <v>29</v>
      </c>
      <c r="C8" s="29" t="s">
        <v>29</v>
      </c>
      <c r="D8" s="43" t="s">
        <v>29</v>
      </c>
      <c r="E8" s="29" t="s">
        <v>29</v>
      </c>
    </row>
    <row r="9" spans="1:5" x14ac:dyDescent="0.25">
      <c r="A9" s="3" t="s">
        <v>23</v>
      </c>
      <c r="B9">
        <f>1*10^5</f>
        <v>100000</v>
      </c>
      <c r="C9" s="46" t="s">
        <v>225</v>
      </c>
      <c r="D9"/>
      <c r="E9" s="6"/>
    </row>
    <row r="10" spans="1:5" x14ac:dyDescent="0.25">
      <c r="A10" s="3" t="s">
        <v>211</v>
      </c>
      <c r="B10">
        <v>293</v>
      </c>
      <c r="C10" s="46" t="s">
        <v>229</v>
      </c>
      <c r="D10"/>
      <c r="E10" s="6"/>
    </row>
    <row r="11" spans="1:5" x14ac:dyDescent="0.25">
      <c r="A11" s="183" t="s">
        <v>532</v>
      </c>
      <c r="B11">
        <v>287</v>
      </c>
      <c r="C11" s="56" t="s">
        <v>245</v>
      </c>
      <c r="D11"/>
      <c r="E11" s="6"/>
    </row>
    <row r="12" spans="1:5" x14ac:dyDescent="0.25">
      <c r="A12" s="26" t="s">
        <v>212</v>
      </c>
      <c r="B12" s="28" t="s">
        <v>29</v>
      </c>
      <c r="C12" s="29" t="s">
        <v>29</v>
      </c>
      <c r="D12" s="44" t="s">
        <v>29</v>
      </c>
      <c r="E12" s="29" t="s">
        <v>29</v>
      </c>
    </row>
    <row r="13" spans="1:5" x14ac:dyDescent="0.25">
      <c r="A13" t="s">
        <v>236</v>
      </c>
      <c r="B13" s="21">
        <f>3.8*10^5</f>
        <v>380000</v>
      </c>
      <c r="C13" s="46" t="s">
        <v>225</v>
      </c>
      <c r="D13"/>
      <c r="E13" s="6"/>
    </row>
    <row r="14" spans="1:5" x14ac:dyDescent="0.25">
      <c r="A14" t="s">
        <v>237</v>
      </c>
      <c r="B14" s="21">
        <f>2.24*10^5</f>
        <v>224000.00000000003</v>
      </c>
      <c r="C14" s="46" t="s">
        <v>225</v>
      </c>
      <c r="D14"/>
      <c r="E14" s="6"/>
    </row>
    <row r="15" spans="1:5" x14ac:dyDescent="0.25">
      <c r="A15" t="s">
        <v>238</v>
      </c>
      <c r="B15" s="21">
        <v>91</v>
      </c>
      <c r="C15" s="46" t="s">
        <v>229</v>
      </c>
      <c r="D15"/>
      <c r="E15" s="6"/>
    </row>
    <row r="16" spans="1:5" x14ac:dyDescent="0.25">
      <c r="A16" t="s">
        <v>239</v>
      </c>
      <c r="B16" s="21">
        <v>278</v>
      </c>
      <c r="C16" s="46" t="s">
        <v>229</v>
      </c>
      <c r="D16"/>
      <c r="E16" s="6"/>
    </row>
    <row r="17" spans="1:8" x14ac:dyDescent="0.25">
      <c r="A17" s="3" t="s">
        <v>240</v>
      </c>
      <c r="B17" s="3">
        <v>6.2</v>
      </c>
      <c r="C17" s="56" t="s">
        <v>229</v>
      </c>
      <c r="D17"/>
    </row>
    <row r="18" spans="1:8" x14ac:dyDescent="0.25">
      <c r="A18" s="3" t="s">
        <v>241</v>
      </c>
      <c r="B18" s="3">
        <v>2.2149999999999999</v>
      </c>
      <c r="C18" s="56" t="s">
        <v>229</v>
      </c>
      <c r="D18"/>
      <c r="F18" s="58"/>
      <c r="G18" s="58"/>
      <c r="H18" s="58"/>
    </row>
    <row r="19" spans="1:8" x14ac:dyDescent="0.25">
      <c r="A19" t="s">
        <v>262</v>
      </c>
      <c r="B19" s="3">
        <f>8314/32</f>
        <v>259.8125</v>
      </c>
      <c r="C19" s="56" t="s">
        <v>245</v>
      </c>
      <c r="D19"/>
      <c r="F19" s="58"/>
      <c r="G19" s="58"/>
      <c r="H19" s="58"/>
    </row>
    <row r="20" spans="1:8" x14ac:dyDescent="0.25">
      <c r="A20" s="26" t="s">
        <v>394</v>
      </c>
      <c r="B20" s="28" t="s">
        <v>29</v>
      </c>
      <c r="C20" s="29" t="s">
        <v>29</v>
      </c>
      <c r="D20" s="44" t="s">
        <v>29</v>
      </c>
      <c r="F20" s="58"/>
      <c r="G20" s="58"/>
      <c r="H20" s="58"/>
    </row>
    <row r="21" spans="1:8" x14ac:dyDescent="0.25">
      <c r="A21" t="s">
        <v>403</v>
      </c>
      <c r="B21" s="141">
        <v>2.2149999999999999</v>
      </c>
      <c r="C21" s="46" t="s">
        <v>229</v>
      </c>
      <c r="D21"/>
      <c r="F21" s="58"/>
      <c r="G21" s="58"/>
      <c r="H21" s="58"/>
    </row>
    <row r="22" spans="1:8" x14ac:dyDescent="0.25">
      <c r="A22" t="s">
        <v>404</v>
      </c>
      <c r="B22" s="142">
        <v>1.8120000000000001</v>
      </c>
      <c r="C22" s="46" t="s">
        <v>229</v>
      </c>
      <c r="D22"/>
      <c r="F22" s="58"/>
      <c r="G22" s="58"/>
      <c r="H22" s="58"/>
    </row>
    <row r="23" spans="1:8" x14ac:dyDescent="0.25">
      <c r="A23" t="s">
        <v>392</v>
      </c>
      <c r="B23">
        <v>0.252</v>
      </c>
      <c r="C23" s="46" t="s">
        <v>229</v>
      </c>
      <c r="D23"/>
      <c r="F23" s="58"/>
      <c r="G23" s="58"/>
      <c r="H23" s="58"/>
    </row>
    <row r="24" spans="1:8" x14ac:dyDescent="0.25">
      <c r="A24" t="s">
        <v>439</v>
      </c>
      <c r="B24">
        <v>5.5E-2</v>
      </c>
      <c r="C24" s="46" t="s">
        <v>229</v>
      </c>
      <c r="D24"/>
      <c r="F24" s="58"/>
      <c r="G24" s="58"/>
      <c r="H24" s="58"/>
    </row>
    <row r="25" spans="1:8" x14ac:dyDescent="0.25">
      <c r="A25" t="s">
        <v>440</v>
      </c>
      <c r="B25">
        <v>9.5000000000000001E-2</v>
      </c>
      <c r="C25" s="46" t="s">
        <v>229</v>
      </c>
      <c r="D25"/>
      <c r="F25" s="58"/>
      <c r="G25" s="58"/>
      <c r="H25" s="58"/>
    </row>
    <row r="26" spans="1:8" x14ac:dyDescent="0.25">
      <c r="A26" t="s">
        <v>441</v>
      </c>
      <c r="B26">
        <v>0.15</v>
      </c>
      <c r="C26" s="46" t="s">
        <v>229</v>
      </c>
      <c r="D26"/>
      <c r="F26" s="58"/>
      <c r="G26" s="58"/>
      <c r="H26" s="58"/>
    </row>
    <row r="27" spans="1:8" x14ac:dyDescent="0.25">
      <c r="A27" t="s">
        <v>487</v>
      </c>
      <c r="B27">
        <v>9.5000000000000001E-2</v>
      </c>
      <c r="C27" s="46" t="s">
        <v>229</v>
      </c>
      <c r="D27"/>
      <c r="F27" s="58"/>
      <c r="G27" s="58"/>
      <c r="H27" s="58"/>
    </row>
    <row r="28" spans="1:8" x14ac:dyDescent="0.25">
      <c r="A28" t="s">
        <v>488</v>
      </c>
      <c r="B28">
        <v>9.5000000000000001E-2</v>
      </c>
      <c r="C28" s="46" t="s">
        <v>229</v>
      </c>
      <c r="D28"/>
      <c r="F28" s="58"/>
      <c r="G28" s="58"/>
      <c r="H28" s="58"/>
    </row>
    <row r="29" spans="1:8" x14ac:dyDescent="0.25">
      <c r="A29" t="s">
        <v>492</v>
      </c>
      <c r="B29">
        <v>5.5E-2</v>
      </c>
      <c r="C29" s="46" t="s">
        <v>229</v>
      </c>
      <c r="D29"/>
      <c r="F29" s="58"/>
      <c r="G29" s="58"/>
      <c r="H29" s="58"/>
    </row>
    <row r="30" spans="1:8" x14ac:dyDescent="0.25">
      <c r="A30" t="s">
        <v>489</v>
      </c>
      <c r="B30">
        <v>5.5E-2</v>
      </c>
      <c r="C30" s="46" t="s">
        <v>229</v>
      </c>
      <c r="D30"/>
      <c r="F30" s="58"/>
      <c r="G30" s="58"/>
      <c r="H30" s="58"/>
    </row>
    <row r="31" spans="1:8" x14ac:dyDescent="0.25">
      <c r="A31" t="s">
        <v>490</v>
      </c>
      <c r="B31">
        <v>9.5000000000000001E-2</v>
      </c>
      <c r="C31" s="46" t="s">
        <v>229</v>
      </c>
      <c r="D31"/>
      <c r="F31" s="58"/>
      <c r="G31" s="58"/>
      <c r="H31" s="58"/>
    </row>
    <row r="32" spans="1:8" x14ac:dyDescent="0.25">
      <c r="A32" s="26" t="s">
        <v>393</v>
      </c>
      <c r="B32" s="28" t="s">
        <v>29</v>
      </c>
      <c r="C32" s="29" t="s">
        <v>29</v>
      </c>
      <c r="D32" s="44" t="s">
        <v>29</v>
      </c>
      <c r="F32" s="58"/>
      <c r="G32" s="58"/>
      <c r="H32" s="58"/>
    </row>
    <row r="33" spans="1:8" x14ac:dyDescent="0.25">
      <c r="A33" t="s">
        <v>405</v>
      </c>
      <c r="B33" s="83">
        <v>6.2</v>
      </c>
      <c r="C33" s="46" t="s">
        <v>229</v>
      </c>
      <c r="D33"/>
      <c r="F33" s="58"/>
      <c r="G33" s="58"/>
      <c r="H33" s="58"/>
    </row>
    <row r="34" spans="1:8" x14ac:dyDescent="0.25">
      <c r="A34" t="s">
        <v>406</v>
      </c>
      <c r="B34" s="83">
        <v>5.9</v>
      </c>
      <c r="C34" s="46" t="s">
        <v>229</v>
      </c>
      <c r="D34"/>
      <c r="F34" s="58"/>
      <c r="G34" s="58"/>
      <c r="H34" s="58"/>
    </row>
    <row r="35" spans="1:8" x14ac:dyDescent="0.25">
      <c r="A35" t="s">
        <v>407</v>
      </c>
      <c r="B35" s="83">
        <v>0.3</v>
      </c>
      <c r="C35" s="46" t="s">
        <v>229</v>
      </c>
      <c r="D35"/>
      <c r="F35" s="58"/>
      <c r="G35" s="58"/>
      <c r="H35" s="58"/>
    </row>
    <row r="36" spans="1:8" x14ac:dyDescent="0.25">
      <c r="A36" s="26" t="s">
        <v>344</v>
      </c>
      <c r="B36" s="28" t="s">
        <v>29</v>
      </c>
      <c r="C36" s="29" t="s">
        <v>29</v>
      </c>
      <c r="D36" s="44" t="s">
        <v>29</v>
      </c>
      <c r="F36" s="58"/>
      <c r="G36" s="58"/>
      <c r="H36" s="58"/>
    </row>
    <row r="37" spans="1:8" x14ac:dyDescent="0.25">
      <c r="A37" t="s">
        <v>345</v>
      </c>
      <c r="B37">
        <f>170.684*10^5</f>
        <v>17068400</v>
      </c>
      <c r="C37" s="46" t="s">
        <v>225</v>
      </c>
      <c r="D37"/>
      <c r="F37" s="58"/>
      <c r="G37" s="58"/>
      <c r="H37" s="58"/>
    </row>
    <row r="38" spans="1:8" x14ac:dyDescent="0.25">
      <c r="A38" t="s">
        <v>322</v>
      </c>
      <c r="B38">
        <f>95.588*10^5</f>
        <v>9558800</v>
      </c>
      <c r="C38" s="46" t="s">
        <v>225</v>
      </c>
      <c r="D38"/>
      <c r="F38" s="58"/>
      <c r="G38" s="58"/>
      <c r="H38" s="58"/>
    </row>
    <row r="39" spans="1:8" x14ac:dyDescent="0.25">
      <c r="A39" t="s">
        <v>501</v>
      </c>
      <c r="B39">
        <f>95.588*10^5</f>
        <v>9558800</v>
      </c>
      <c r="C39" s="46" t="s">
        <v>225</v>
      </c>
      <c r="D39"/>
      <c r="F39" s="58"/>
      <c r="G39" s="58"/>
      <c r="H39" s="58"/>
    </row>
    <row r="40" spans="1:8" x14ac:dyDescent="0.25">
      <c r="A40" t="s">
        <v>346</v>
      </c>
      <c r="B40" s="59">
        <v>1</v>
      </c>
      <c r="C40" s="56" t="s">
        <v>229</v>
      </c>
      <c r="D40"/>
      <c r="F40" s="58"/>
      <c r="G40" s="58"/>
      <c r="H40" s="58"/>
    </row>
    <row r="41" spans="1:8" x14ac:dyDescent="0.25">
      <c r="A41" t="s">
        <v>347</v>
      </c>
      <c r="B41" s="59">
        <f>B37-B38</f>
        <v>7509600</v>
      </c>
      <c r="C41" s="46" t="s">
        <v>225</v>
      </c>
      <c r="D41"/>
      <c r="F41" s="58"/>
      <c r="G41" s="58"/>
      <c r="H41" s="58"/>
    </row>
    <row r="42" spans="1:8" x14ac:dyDescent="0.25">
      <c r="A42" t="s">
        <v>348</v>
      </c>
      <c r="B42" s="59">
        <v>7.9000000000000001E-2</v>
      </c>
      <c r="C42" s="52" t="s">
        <v>243</v>
      </c>
      <c r="D42"/>
      <c r="F42" s="58"/>
      <c r="G42" s="58"/>
      <c r="H42" s="58"/>
    </row>
    <row r="43" spans="1:8" x14ac:dyDescent="0.25">
      <c r="A43" t="s">
        <v>43</v>
      </c>
      <c r="B43" s="59">
        <v>48311</v>
      </c>
      <c r="C43" s="56" t="s">
        <v>229</v>
      </c>
      <c r="D43"/>
      <c r="E43" t="s">
        <v>523</v>
      </c>
      <c r="F43" s="58"/>
      <c r="G43" s="58"/>
      <c r="H43" s="58"/>
    </row>
    <row r="44" spans="1:8" x14ac:dyDescent="0.25">
      <c r="A44" t="s">
        <v>349</v>
      </c>
      <c r="B44" s="59">
        <v>0.62009999999999998</v>
      </c>
      <c r="C44" s="56" t="s">
        <v>229</v>
      </c>
      <c r="D44"/>
      <c r="F44" s="58"/>
      <c r="G44" s="58"/>
      <c r="H44" s="58"/>
    </row>
    <row r="45" spans="1:8" x14ac:dyDescent="0.25">
      <c r="A45" t="s">
        <v>350</v>
      </c>
      <c r="B45" s="59">
        <v>359</v>
      </c>
      <c r="C45" s="56" t="s">
        <v>229</v>
      </c>
      <c r="D45"/>
      <c r="F45" s="58"/>
      <c r="G45" s="58"/>
      <c r="H45" s="58"/>
    </row>
    <row r="46" spans="1:8" x14ac:dyDescent="0.25">
      <c r="A46" t="s">
        <v>351</v>
      </c>
      <c r="B46" s="59">
        <v>722</v>
      </c>
      <c r="C46" s="56" t="s">
        <v>229</v>
      </c>
      <c r="D46" s="143"/>
      <c r="F46" s="58"/>
      <c r="G46" s="58"/>
      <c r="H46" s="58"/>
    </row>
    <row r="47" spans="1:8" x14ac:dyDescent="0.25">
      <c r="A47" t="s">
        <v>352</v>
      </c>
      <c r="B47" s="59">
        <v>663</v>
      </c>
      <c r="C47" s="56" t="s">
        <v>229</v>
      </c>
      <c r="D47">
        <v>1.01</v>
      </c>
      <c r="F47" s="58"/>
      <c r="G47" s="58"/>
      <c r="H47" s="58"/>
    </row>
    <row r="48" spans="1:8" x14ac:dyDescent="0.25">
      <c r="A48" t="s">
        <v>502</v>
      </c>
      <c r="B48" s="59">
        <f>B47</f>
        <v>663</v>
      </c>
      <c r="C48" s="56" t="s">
        <v>229</v>
      </c>
      <c r="D48"/>
      <c r="F48" s="58"/>
      <c r="G48" s="58"/>
      <c r="H48" s="58"/>
    </row>
    <row r="49" spans="1:8" x14ac:dyDescent="0.25">
      <c r="A49" t="s">
        <v>496</v>
      </c>
      <c r="B49">
        <v>1.2499980100000001</v>
      </c>
      <c r="C49" s="56" t="s">
        <v>229</v>
      </c>
      <c r="D49">
        <v>0.99920070642403203</v>
      </c>
      <c r="F49" s="58"/>
      <c r="G49" s="58"/>
      <c r="H49" s="58"/>
    </row>
    <row r="50" spans="1:8" x14ac:dyDescent="0.25">
      <c r="A50" t="s">
        <v>497</v>
      </c>
      <c r="B50" s="143">
        <v>6.3376134918493005E-2</v>
      </c>
      <c r="C50" s="56" t="s">
        <v>229</v>
      </c>
      <c r="D50">
        <v>1.2499980100000001</v>
      </c>
      <c r="F50" s="58"/>
      <c r="G50" s="58"/>
      <c r="H50" s="58"/>
    </row>
    <row r="51" spans="1:8" x14ac:dyDescent="0.25">
      <c r="A51" t="s">
        <v>498</v>
      </c>
      <c r="B51" s="144">
        <f>0.985763</f>
        <v>0.98576299999999994</v>
      </c>
      <c r="C51" s="56" t="s">
        <v>229</v>
      </c>
      <c r="D51"/>
      <c r="F51" s="58"/>
      <c r="G51" s="58"/>
      <c r="H51" s="58"/>
    </row>
    <row r="52" spans="1:8" x14ac:dyDescent="0.25">
      <c r="A52" t="s">
        <v>504</v>
      </c>
      <c r="B52" s="147">
        <v>7.5290000000000003E-4</v>
      </c>
      <c r="C52" s="56" t="s">
        <v>503</v>
      </c>
      <c r="D52"/>
      <c r="F52" s="58"/>
      <c r="G52" s="58"/>
      <c r="H52" s="58"/>
    </row>
    <row r="53" spans="1:8" x14ac:dyDescent="0.25">
      <c r="A53" s="26" t="s">
        <v>507</v>
      </c>
      <c r="B53" s="28" t="s">
        <v>29</v>
      </c>
      <c r="C53" s="29" t="s">
        <v>29</v>
      </c>
      <c r="D53" s="44" t="s">
        <v>29</v>
      </c>
      <c r="F53" s="58"/>
      <c r="G53" s="58"/>
      <c r="H53" s="58"/>
    </row>
    <row r="54" spans="1:8" x14ac:dyDescent="0.25">
      <c r="A54" t="s">
        <v>508</v>
      </c>
      <c r="B54" s="156">
        <f>160*10^5</f>
        <v>16000000</v>
      </c>
      <c r="C54" s="56" t="s">
        <v>225</v>
      </c>
      <c r="D54"/>
      <c r="E54">
        <f>6.2*0.01</f>
        <v>6.2000000000000006E-2</v>
      </c>
      <c r="F54" s="58"/>
      <c r="G54" s="58"/>
      <c r="H54" s="58"/>
    </row>
    <row r="55" spans="1:8" x14ac:dyDescent="0.25">
      <c r="A55" t="s">
        <v>509</v>
      </c>
      <c r="B55" s="156">
        <f>2*10^5</f>
        <v>200000</v>
      </c>
      <c r="C55" s="56" t="s">
        <v>225</v>
      </c>
      <c r="D55"/>
      <c r="F55" s="58"/>
      <c r="G55" s="58"/>
      <c r="H55" s="58"/>
    </row>
    <row r="56" spans="1:8" x14ac:dyDescent="0.25">
      <c r="A56" t="s">
        <v>510</v>
      </c>
      <c r="B56" s="155">
        <v>1.4</v>
      </c>
      <c r="C56" s="56" t="s">
        <v>229</v>
      </c>
      <c r="D56"/>
      <c r="F56" s="58"/>
      <c r="G56" s="58"/>
      <c r="H56" s="58"/>
    </row>
    <row r="57" spans="1:8" x14ac:dyDescent="0.25">
      <c r="A57" t="s">
        <v>511</v>
      </c>
      <c r="B57" s="156">
        <v>297</v>
      </c>
      <c r="C57" s="56" t="s">
        <v>245</v>
      </c>
      <c r="D57"/>
      <c r="F57" s="58"/>
      <c r="G57" s="58"/>
      <c r="H57" s="58"/>
    </row>
    <row r="58" spans="1:8" x14ac:dyDescent="0.25">
      <c r="A58" t="s">
        <v>512</v>
      </c>
      <c r="B58" s="156">
        <v>250</v>
      </c>
      <c r="C58" s="56" t="s">
        <v>229</v>
      </c>
      <c r="D58"/>
      <c r="F58" s="58"/>
      <c r="G58" s="58"/>
      <c r="H58" s="58"/>
    </row>
    <row r="59" spans="1:8" x14ac:dyDescent="0.25">
      <c r="A59" t="s">
        <v>513</v>
      </c>
      <c r="B59" s="145">
        <v>8.3000000000000004E-2</v>
      </c>
      <c r="C59" s="56" t="s">
        <v>243</v>
      </c>
      <c r="D59"/>
      <c r="F59" s="58"/>
      <c r="G59" s="58"/>
      <c r="H59" s="58"/>
    </row>
    <row r="60" spans="1:8" x14ac:dyDescent="0.25">
      <c r="A60" t="s">
        <v>514</v>
      </c>
      <c r="B60" s="146">
        <v>1.9449999999999999E-3</v>
      </c>
      <c r="C60" s="56" t="s">
        <v>243</v>
      </c>
      <c r="D60"/>
      <c r="F60" s="58"/>
      <c r="G60" s="58"/>
      <c r="H60" s="58"/>
    </row>
    <row r="61" spans="1:8" x14ac:dyDescent="0.25">
      <c r="A61" t="s">
        <v>515</v>
      </c>
      <c r="B61" s="156">
        <v>11</v>
      </c>
      <c r="C61" s="56" t="s">
        <v>229</v>
      </c>
      <c r="D61"/>
      <c r="F61" s="58"/>
      <c r="G61" s="58"/>
      <c r="H61" s="58"/>
    </row>
    <row r="62" spans="1:8" x14ac:dyDescent="0.25">
      <c r="A62" t="s">
        <v>516</v>
      </c>
      <c r="B62" s="146">
        <v>4.9779999999999998E-3</v>
      </c>
      <c r="C62" s="56" t="s">
        <v>243</v>
      </c>
      <c r="D62"/>
      <c r="F62" s="58"/>
      <c r="G62" s="58"/>
      <c r="H62" s="58"/>
    </row>
    <row r="63" spans="1:8" x14ac:dyDescent="0.25">
      <c r="A63" t="s">
        <v>519</v>
      </c>
      <c r="B63" s="146">
        <f>PI()*B62^2*0.25*2</f>
        <v>3.89250932433997E-5</v>
      </c>
      <c r="C63" s="56" t="s">
        <v>246</v>
      </c>
      <c r="D63"/>
      <c r="F63" s="58"/>
      <c r="G63" s="58"/>
      <c r="H63" s="58"/>
    </row>
    <row r="64" spans="1:8" x14ac:dyDescent="0.25">
      <c r="A64" t="s">
        <v>517</v>
      </c>
      <c r="B64" s="146">
        <v>1</v>
      </c>
      <c r="C64" s="56" t="s">
        <v>229</v>
      </c>
      <c r="D64"/>
      <c r="F64" s="58"/>
      <c r="G64" s="58"/>
      <c r="H64" s="58"/>
    </row>
    <row r="65" spans="1:8" x14ac:dyDescent="0.25">
      <c r="A65" s="79" t="s">
        <v>331</v>
      </c>
      <c r="B65" s="84" t="s">
        <v>29</v>
      </c>
      <c r="C65" s="29" t="s">
        <v>29</v>
      </c>
      <c r="D65" s="44" t="s">
        <v>29</v>
      </c>
      <c r="E65" s="29" t="s">
        <v>29</v>
      </c>
      <c r="F65" s="58"/>
      <c r="G65" s="58"/>
      <c r="H65" s="58"/>
    </row>
    <row r="66" spans="1:8" x14ac:dyDescent="0.25">
      <c r="A66" t="s">
        <v>314</v>
      </c>
      <c r="B66">
        <f>5.616*10^5</f>
        <v>561600</v>
      </c>
      <c r="C66" s="46" t="s">
        <v>225</v>
      </c>
      <c r="D66" s="185" t="s">
        <v>340</v>
      </c>
      <c r="F66" s="58"/>
      <c r="G66" s="58"/>
      <c r="H66" s="58"/>
    </row>
    <row r="67" spans="1:8" x14ac:dyDescent="0.25">
      <c r="A67" t="s">
        <v>313</v>
      </c>
      <c r="B67">
        <f>239.624*10^5</f>
        <v>23962400</v>
      </c>
      <c r="C67" s="46" t="s">
        <v>225</v>
      </c>
      <c r="D67" s="186"/>
      <c r="F67" s="58"/>
      <c r="G67" s="58"/>
      <c r="H67" s="58"/>
    </row>
    <row r="68" spans="1:8" x14ac:dyDescent="0.25">
      <c r="A68" t="s">
        <v>332</v>
      </c>
      <c r="B68">
        <v>6.2</v>
      </c>
      <c r="C68" s="56" t="s">
        <v>229</v>
      </c>
      <c r="D68" s="186"/>
      <c r="F68" s="58"/>
      <c r="G68" s="58"/>
      <c r="H68" s="58"/>
    </row>
    <row r="69" spans="1:8" x14ac:dyDescent="0.25">
      <c r="A69" t="s">
        <v>333</v>
      </c>
      <c r="B69">
        <v>0.48353000000000002</v>
      </c>
      <c r="C69" s="56" t="s">
        <v>229</v>
      </c>
      <c r="D69" s="186"/>
      <c r="F69" s="58"/>
      <c r="G69" s="58"/>
      <c r="H69" s="58"/>
    </row>
    <row r="70" spans="1:8" x14ac:dyDescent="0.25">
      <c r="A70" t="s">
        <v>329</v>
      </c>
      <c r="B70">
        <v>91</v>
      </c>
      <c r="C70" s="56" t="s">
        <v>229</v>
      </c>
      <c r="D70" s="186"/>
      <c r="F70" s="58"/>
      <c r="G70" s="58"/>
      <c r="H70" s="58"/>
    </row>
    <row r="71" spans="1:8" x14ac:dyDescent="0.25">
      <c r="A71" t="s">
        <v>319</v>
      </c>
      <c r="B71">
        <f>1.85*10^5</f>
        <v>185000</v>
      </c>
      <c r="C71" s="46" t="s">
        <v>225</v>
      </c>
      <c r="D71" s="186" t="s">
        <v>341</v>
      </c>
      <c r="F71" s="58"/>
      <c r="G71" s="58"/>
      <c r="H71" s="58"/>
    </row>
    <row r="72" spans="1:8" x14ac:dyDescent="0.25">
      <c r="A72" t="s">
        <v>318</v>
      </c>
      <c r="B72">
        <f>152.653*10^5</f>
        <v>15265300</v>
      </c>
      <c r="C72" s="46" t="s">
        <v>225</v>
      </c>
      <c r="D72" s="186"/>
      <c r="F72" s="58"/>
      <c r="G72" s="58"/>
      <c r="H72" s="58"/>
    </row>
    <row r="73" spans="1:8" x14ac:dyDescent="0.25">
      <c r="A73" t="s">
        <v>334</v>
      </c>
      <c r="B73">
        <v>2.2149999999999999</v>
      </c>
      <c r="C73" s="56" t="s">
        <v>229</v>
      </c>
      <c r="D73" s="186"/>
      <c r="F73" s="58"/>
      <c r="G73" s="58"/>
      <c r="H73" s="58"/>
    </row>
    <row r="74" spans="1:8" x14ac:dyDescent="0.25">
      <c r="A74" t="s">
        <v>335</v>
      </c>
      <c r="B74">
        <v>0.43753999999999998</v>
      </c>
      <c r="C74" s="56" t="s">
        <v>229</v>
      </c>
      <c r="D74" s="186"/>
      <c r="F74" s="58"/>
      <c r="G74" s="58"/>
      <c r="H74" s="58"/>
    </row>
    <row r="75" spans="1:8" x14ac:dyDescent="0.25">
      <c r="A75" t="s">
        <v>330</v>
      </c>
      <c r="B75">
        <v>278</v>
      </c>
      <c r="C75" s="56" t="s">
        <v>229</v>
      </c>
      <c r="D75" s="186"/>
      <c r="F75" s="58"/>
      <c r="G75" s="58"/>
      <c r="H75" s="58"/>
    </row>
    <row r="76" spans="1:8" x14ac:dyDescent="0.25">
      <c r="A76" t="s">
        <v>336</v>
      </c>
      <c r="B76">
        <f>151.652*10^5</f>
        <v>15165199.999999998</v>
      </c>
      <c r="C76" s="46" t="s">
        <v>225</v>
      </c>
      <c r="D76" s="186" t="s">
        <v>342</v>
      </c>
      <c r="F76" s="58"/>
      <c r="G76" s="58"/>
      <c r="H76" s="58"/>
    </row>
    <row r="77" spans="1:8" x14ac:dyDescent="0.25">
      <c r="A77" t="s">
        <v>323</v>
      </c>
      <c r="B77">
        <f>218.602*10^5</f>
        <v>21860200</v>
      </c>
      <c r="C77" s="46" t="s">
        <v>225</v>
      </c>
      <c r="D77" s="186"/>
      <c r="F77" s="58"/>
      <c r="G77" s="58"/>
      <c r="H77" s="58"/>
    </row>
    <row r="78" spans="1:8" x14ac:dyDescent="0.25">
      <c r="A78" t="s">
        <v>337</v>
      </c>
      <c r="B78">
        <v>0.15</v>
      </c>
      <c r="C78" s="56" t="s">
        <v>229</v>
      </c>
      <c r="D78" s="186"/>
      <c r="F78" s="58"/>
      <c r="G78" s="58"/>
      <c r="H78" s="58"/>
    </row>
    <row r="79" spans="1:8" x14ac:dyDescent="0.25">
      <c r="A79" t="s">
        <v>338</v>
      </c>
      <c r="B79">
        <v>0.11624</v>
      </c>
      <c r="C79" s="56" t="s">
        <v>229</v>
      </c>
      <c r="D79" s="186"/>
      <c r="F79" s="58"/>
      <c r="G79" s="58"/>
      <c r="H79" s="58"/>
    </row>
    <row r="80" spans="1:8" x14ac:dyDescent="0.25">
      <c r="A80" t="s">
        <v>339</v>
      </c>
      <c r="B80">
        <v>291</v>
      </c>
      <c r="C80" s="56" t="s">
        <v>229</v>
      </c>
      <c r="D80" s="186"/>
      <c r="F80" s="58"/>
      <c r="G80" s="58"/>
      <c r="H80" s="58"/>
    </row>
    <row r="81" spans="1:8" x14ac:dyDescent="0.25">
      <c r="A81" t="s">
        <v>307</v>
      </c>
      <c r="B81">
        <v>98.1</v>
      </c>
      <c r="C81" s="56" t="s">
        <v>226</v>
      </c>
      <c r="D81"/>
      <c r="E81" s="81" t="s">
        <v>308</v>
      </c>
      <c r="F81" s="58"/>
      <c r="G81" s="58"/>
      <c r="H81" s="58"/>
    </row>
    <row r="82" spans="1:8" x14ac:dyDescent="0.25">
      <c r="A82" t="s">
        <v>309</v>
      </c>
      <c r="B82">
        <v>9.8000000000000007</v>
      </c>
      <c r="C82" s="56" t="s">
        <v>226</v>
      </c>
      <c r="D82"/>
      <c r="E82" s="81" t="s">
        <v>308</v>
      </c>
      <c r="F82" s="58"/>
      <c r="G82" s="58"/>
      <c r="H82" s="58"/>
    </row>
    <row r="83" spans="1:8" x14ac:dyDescent="0.25">
      <c r="A83" t="s">
        <v>310</v>
      </c>
      <c r="B83">
        <v>9.8000000000000007</v>
      </c>
      <c r="C83" s="56" t="s">
        <v>226</v>
      </c>
      <c r="D83"/>
      <c r="E83" s="81" t="s">
        <v>308</v>
      </c>
      <c r="F83" s="58"/>
      <c r="G83" s="58"/>
      <c r="H83" s="58"/>
    </row>
    <row r="84" spans="1:8" x14ac:dyDescent="0.25">
      <c r="A84" s="79" t="s">
        <v>213</v>
      </c>
      <c r="B84" s="84" t="s">
        <v>29</v>
      </c>
      <c r="C84" s="31" t="s">
        <v>29</v>
      </c>
      <c r="D84" s="84" t="s">
        <v>29</v>
      </c>
      <c r="E84" s="31" t="s">
        <v>29</v>
      </c>
    </row>
    <row r="85" spans="1:8" x14ac:dyDescent="0.25">
      <c r="A85" t="s">
        <v>214</v>
      </c>
      <c r="B85" s="21">
        <f>78.45*10^5</f>
        <v>7845000</v>
      </c>
      <c r="C85" s="46" t="s">
        <v>225</v>
      </c>
      <c r="D85"/>
      <c r="E85" s="6"/>
    </row>
    <row r="86" spans="1:8" x14ac:dyDescent="0.25">
      <c r="A86" s="26" t="s">
        <v>215</v>
      </c>
      <c r="B86" s="28" t="s">
        <v>29</v>
      </c>
      <c r="C86" s="29" t="s">
        <v>29</v>
      </c>
      <c r="D86" s="44" t="s">
        <v>29</v>
      </c>
      <c r="E86" s="29" t="s">
        <v>29</v>
      </c>
    </row>
    <row r="87" spans="1:8" x14ac:dyDescent="0.25">
      <c r="A87" t="s">
        <v>216</v>
      </c>
      <c r="B87" s="21">
        <f>175.65*10^5</f>
        <v>17565000</v>
      </c>
      <c r="C87" s="46" t="s">
        <v>225</v>
      </c>
      <c r="D87"/>
      <c r="E87" s="6"/>
    </row>
    <row r="88" spans="1:8" x14ac:dyDescent="0.25">
      <c r="A88" t="s">
        <v>353</v>
      </c>
      <c r="B88" s="80">
        <f>2.69*5*(10^-3)^2*21</f>
        <v>2.8244999999999995E-4</v>
      </c>
      <c r="C88" s="46" t="s">
        <v>246</v>
      </c>
      <c r="D88"/>
      <c r="E88" s="6"/>
    </row>
    <row r="89" spans="1:8" x14ac:dyDescent="0.25">
      <c r="A89" t="s">
        <v>247</v>
      </c>
      <c r="B89" s="21">
        <f>(143+648)*(10^-6)</f>
        <v>7.9099999999999993E-4</v>
      </c>
      <c r="C89" s="46" t="s">
        <v>244</v>
      </c>
      <c r="D89"/>
      <c r="E89" s="6"/>
    </row>
    <row r="90" spans="1:8" x14ac:dyDescent="0.25">
      <c r="A90" t="s">
        <v>248</v>
      </c>
      <c r="B90" s="21">
        <v>260.27</v>
      </c>
      <c r="C90" s="46" t="s">
        <v>245</v>
      </c>
      <c r="D90"/>
      <c r="E90" s="6"/>
    </row>
    <row r="91" spans="1:8" x14ac:dyDescent="0.25">
      <c r="A91" t="s">
        <v>249</v>
      </c>
      <c r="B91" s="21">
        <v>744</v>
      </c>
      <c r="C91" s="46" t="s">
        <v>229</v>
      </c>
      <c r="D91"/>
      <c r="E91" s="6"/>
    </row>
    <row r="92" spans="1:8" x14ac:dyDescent="0.25">
      <c r="A92" t="s">
        <v>293</v>
      </c>
      <c r="B92" s="21">
        <v>1067</v>
      </c>
      <c r="C92" s="46" t="s">
        <v>294</v>
      </c>
      <c r="D92"/>
      <c r="E92" s="6"/>
    </row>
    <row r="93" spans="1:8" x14ac:dyDescent="0.25">
      <c r="A93" t="s">
        <v>250</v>
      </c>
      <c r="B93" s="21">
        <f>5.9+0.095</f>
        <v>5.9950000000000001</v>
      </c>
      <c r="C93" s="46" t="s">
        <v>229</v>
      </c>
      <c r="D93"/>
      <c r="E93" s="6"/>
    </row>
    <row r="94" spans="1:8" x14ac:dyDescent="0.25">
      <c r="A94" t="s">
        <v>264</v>
      </c>
      <c r="B94" s="21">
        <v>1E-3</v>
      </c>
      <c r="C94" s="46" t="s">
        <v>229</v>
      </c>
      <c r="D94">
        <f>5.9*0.1</f>
        <v>0.59000000000000008</v>
      </c>
      <c r="E94" s="6"/>
    </row>
    <row r="95" spans="1:8" x14ac:dyDescent="0.25">
      <c r="A95" t="s">
        <v>251</v>
      </c>
      <c r="B95" s="21">
        <f>5.9*0.4</f>
        <v>2.3600000000000003</v>
      </c>
      <c r="C95" s="46" t="s">
        <v>229</v>
      </c>
      <c r="D95"/>
      <c r="E95" s="6"/>
    </row>
    <row r="96" spans="1:8" x14ac:dyDescent="0.25">
      <c r="A96" t="s">
        <v>495</v>
      </c>
      <c r="B96" s="21">
        <f>0.095*0.1</f>
        <v>9.5000000000000015E-3</v>
      </c>
      <c r="C96" s="46" t="s">
        <v>229</v>
      </c>
      <c r="D96"/>
      <c r="E96" s="6"/>
    </row>
    <row r="97" spans="1:5" x14ac:dyDescent="0.25">
      <c r="A97" t="s">
        <v>263</v>
      </c>
      <c r="B97" s="21">
        <v>0.1</v>
      </c>
      <c r="C97" s="46" t="s">
        <v>229</v>
      </c>
      <c r="D97"/>
      <c r="E97" s="6"/>
    </row>
    <row r="98" spans="1:5" x14ac:dyDescent="0.25">
      <c r="A98" t="s">
        <v>292</v>
      </c>
      <c r="B98" s="21">
        <v>59.771000000000001</v>
      </c>
      <c r="C98" s="46" t="s">
        <v>229</v>
      </c>
      <c r="D98"/>
      <c r="E98" s="6"/>
    </row>
    <row r="99" spans="1:5" x14ac:dyDescent="0.25">
      <c r="A99" s="26" t="s">
        <v>256</v>
      </c>
      <c r="B99" s="28" t="s">
        <v>29</v>
      </c>
      <c r="C99" s="29" t="s">
        <v>29</v>
      </c>
      <c r="D99" s="44" t="s">
        <v>29</v>
      </c>
      <c r="E99" s="29" t="s">
        <v>29</v>
      </c>
    </row>
    <row r="100" spans="1:5" x14ac:dyDescent="0.25">
      <c r="A100" t="s">
        <v>214</v>
      </c>
      <c r="B100" s="21">
        <f>78.45*10^5</f>
        <v>7845000</v>
      </c>
      <c r="C100" s="46" t="s">
        <v>225</v>
      </c>
      <c r="D100"/>
      <c r="E100" s="6"/>
    </row>
    <row r="101" spans="1:5" x14ac:dyDescent="0.25">
      <c r="A101" s="22" t="s">
        <v>257</v>
      </c>
      <c r="B101">
        <v>1.3193600000000001E-3</v>
      </c>
      <c r="C101" s="46" t="s">
        <v>246</v>
      </c>
      <c r="D101">
        <v>1.3193600000000001E-3</v>
      </c>
      <c r="E101" s="6">
        <f>(48.4*10^-3)^2*PI()*0.25</f>
        <v>1.8398423216483264E-3</v>
      </c>
    </row>
    <row r="102" spans="1:5" x14ac:dyDescent="0.25">
      <c r="A102" t="s">
        <v>252</v>
      </c>
      <c r="B102" s="21">
        <f>1775*(10^-6)</f>
        <v>1.7749999999999999E-3</v>
      </c>
      <c r="C102" s="46" t="s">
        <v>244</v>
      </c>
      <c r="D102"/>
      <c r="E102" s="6"/>
    </row>
    <row r="103" spans="1:5" x14ac:dyDescent="0.25">
      <c r="A103" t="s">
        <v>259</v>
      </c>
      <c r="B103" s="21">
        <v>1.2053499999999999</v>
      </c>
      <c r="C103" s="46" t="s">
        <v>229</v>
      </c>
      <c r="D103"/>
      <c r="E103" s="6"/>
    </row>
    <row r="104" spans="1:5" x14ac:dyDescent="0.25">
      <c r="A104" t="s">
        <v>253</v>
      </c>
      <c r="B104" s="21">
        <f>341.77</f>
        <v>341.77</v>
      </c>
      <c r="C104" s="46" t="s">
        <v>245</v>
      </c>
      <c r="D104"/>
      <c r="E104" s="6"/>
    </row>
    <row r="105" spans="1:5" x14ac:dyDescent="0.25">
      <c r="A105" t="s">
        <v>254</v>
      </c>
      <c r="B105" s="21">
        <f>3717</f>
        <v>3717</v>
      </c>
      <c r="C105" s="46" t="s">
        <v>229</v>
      </c>
      <c r="D105"/>
      <c r="E105" s="6"/>
    </row>
    <row r="106" spans="1:5" x14ac:dyDescent="0.25">
      <c r="A106" t="s">
        <v>255</v>
      </c>
      <c r="B106" s="21">
        <v>8.4149999999999991</v>
      </c>
      <c r="C106" s="46" t="s">
        <v>229</v>
      </c>
      <c r="D106">
        <f>5.9+2.064+0.095+0.055</f>
        <v>8.1140000000000008</v>
      </c>
      <c r="E106" s="6"/>
    </row>
    <row r="107" spans="1:5" x14ac:dyDescent="0.25">
      <c r="A107" t="s">
        <v>303</v>
      </c>
      <c r="B107" s="21">
        <f>6.2</f>
        <v>6.2</v>
      </c>
      <c r="C107" s="46" t="s">
        <v>229</v>
      </c>
      <c r="D107"/>
      <c r="E107" s="6"/>
    </row>
    <row r="108" spans="1:5" x14ac:dyDescent="0.25">
      <c r="A108" t="s">
        <v>304</v>
      </c>
      <c r="B108" s="21">
        <f>2.215</f>
        <v>2.2149999999999999</v>
      </c>
      <c r="C108" s="46" t="s">
        <v>229</v>
      </c>
      <c r="D108"/>
      <c r="E108" s="6"/>
    </row>
    <row r="109" spans="1:5" x14ac:dyDescent="0.25">
      <c r="A109" t="s">
        <v>258</v>
      </c>
      <c r="B109" s="21">
        <v>1</v>
      </c>
      <c r="C109" s="46" t="s">
        <v>229</v>
      </c>
      <c r="D109"/>
      <c r="E109" s="6"/>
    </row>
    <row r="110" spans="1:5" x14ac:dyDescent="0.25">
      <c r="A110" t="s">
        <v>258</v>
      </c>
      <c r="B110" s="21">
        <v>0.1</v>
      </c>
      <c r="C110" s="46" t="s">
        <v>229</v>
      </c>
      <c r="D110"/>
      <c r="E110" s="6"/>
    </row>
    <row r="111" spans="1:5" x14ac:dyDescent="0.25">
      <c r="A111" t="s">
        <v>260</v>
      </c>
      <c r="B111" s="21">
        <f>0.055*0.1</f>
        <v>5.5000000000000005E-3</v>
      </c>
      <c r="C111" s="46" t="s">
        <v>229</v>
      </c>
      <c r="D111"/>
      <c r="E111" s="6"/>
    </row>
    <row r="112" spans="1:5" x14ac:dyDescent="0.25">
      <c r="A112" t="s">
        <v>500</v>
      </c>
      <c r="B112" s="21">
        <f>2.064*0.1</f>
        <v>0.20640000000000003</v>
      </c>
      <c r="C112" s="46" t="s">
        <v>229</v>
      </c>
      <c r="D112"/>
      <c r="E112" s="6"/>
    </row>
    <row r="113" spans="1:5" x14ac:dyDescent="0.25">
      <c r="A113" t="s">
        <v>261</v>
      </c>
      <c r="B113" s="21">
        <v>0.1</v>
      </c>
      <c r="C113" s="46" t="s">
        <v>229</v>
      </c>
      <c r="D113"/>
      <c r="E113" s="6"/>
    </row>
    <row r="114" spans="1:5" x14ac:dyDescent="0.25">
      <c r="A114" t="s">
        <v>302</v>
      </c>
      <c r="B114" s="21">
        <v>0.48399999999999999</v>
      </c>
      <c r="C114" s="46" t="s">
        <v>243</v>
      </c>
      <c r="D114"/>
      <c r="E114" s="6"/>
    </row>
    <row r="115" spans="1:5" x14ac:dyDescent="0.25">
      <c r="A115" s="79" t="s">
        <v>419</v>
      </c>
      <c r="B115" s="28" t="s">
        <v>29</v>
      </c>
      <c r="C115" s="29" t="s">
        <v>29</v>
      </c>
      <c r="D115" s="44" t="s">
        <v>29</v>
      </c>
      <c r="E115" s="82" t="s">
        <v>29</v>
      </c>
    </row>
    <row r="116" spans="1:5" x14ac:dyDescent="0.25">
      <c r="A116" s="3" t="s">
        <v>319</v>
      </c>
      <c r="B116">
        <f>1.85*10^5</f>
        <v>185000</v>
      </c>
      <c r="C116" s="46" t="s">
        <v>225</v>
      </c>
    </row>
    <row r="117" spans="1:5" x14ac:dyDescent="0.25">
      <c r="A117" s="3" t="s">
        <v>318</v>
      </c>
      <c r="B117">
        <f>152.653*10^5</f>
        <v>15265300</v>
      </c>
      <c r="C117" s="46" t="s">
        <v>225</v>
      </c>
    </row>
    <row r="118" spans="1:5" x14ac:dyDescent="0.25">
      <c r="A118" s="3" t="s">
        <v>428</v>
      </c>
      <c r="B118">
        <f>152.171*10^5</f>
        <v>15217100</v>
      </c>
      <c r="C118" s="46" t="s">
        <v>225</v>
      </c>
    </row>
    <row r="119" spans="1:5" x14ac:dyDescent="0.25">
      <c r="A119" s="3" t="s">
        <v>429</v>
      </c>
      <c r="B119">
        <f>128.46*10^5</f>
        <v>12846000</v>
      </c>
      <c r="C119" s="46" t="s">
        <v>225</v>
      </c>
    </row>
    <row r="120" spans="1:5" x14ac:dyDescent="0.25">
      <c r="A120" s="3" t="s">
        <v>390</v>
      </c>
      <c r="B120">
        <f>127.939*10^5</f>
        <v>12793900</v>
      </c>
      <c r="C120" s="46" t="s">
        <v>225</v>
      </c>
    </row>
    <row r="121" spans="1:5" x14ac:dyDescent="0.25">
      <c r="A121" s="3" t="s">
        <v>391</v>
      </c>
      <c r="B121" s="6">
        <f>125.46*10^5</f>
        <v>12546000</v>
      </c>
      <c r="C121" s="46" t="s">
        <v>225</v>
      </c>
    </row>
    <row r="122" spans="1:5" x14ac:dyDescent="0.25">
      <c r="A122" s="3" t="s">
        <v>437</v>
      </c>
      <c r="B122" s="6">
        <f>125.456*10^5</f>
        <v>12545600</v>
      </c>
      <c r="C122" s="46" t="s">
        <v>225</v>
      </c>
    </row>
    <row r="123" spans="1:5" x14ac:dyDescent="0.25">
      <c r="A123" s="5" t="s">
        <v>438</v>
      </c>
      <c r="B123" s="7">
        <f>120.217*10^5</f>
        <v>12021700</v>
      </c>
      <c r="C123" s="8" t="s">
        <v>225</v>
      </c>
    </row>
    <row r="124" spans="1:5" x14ac:dyDescent="0.25">
      <c r="A124" s="3" t="s">
        <v>336</v>
      </c>
      <c r="B124">
        <f>B117</f>
        <v>15265300</v>
      </c>
      <c r="C124" s="46" t="s">
        <v>225</v>
      </c>
    </row>
    <row r="125" spans="1:5" x14ac:dyDescent="0.25">
      <c r="A125" s="3" t="s">
        <v>323</v>
      </c>
      <c r="B125">
        <f>218.602*10^5</f>
        <v>21860200</v>
      </c>
      <c r="C125" s="46" t="s">
        <v>225</v>
      </c>
    </row>
    <row r="126" spans="1:5" x14ac:dyDescent="0.25">
      <c r="A126" s="5" t="s">
        <v>316</v>
      </c>
      <c r="B126" s="57">
        <f>(218.602-0.19761620607)*10^5</f>
        <v>21840438.379393</v>
      </c>
      <c r="C126" s="8" t="s">
        <v>225</v>
      </c>
    </row>
    <row r="127" spans="1:5" x14ac:dyDescent="0.25">
      <c r="A127" s="94" t="s">
        <v>421</v>
      </c>
      <c r="B127" s="96">
        <f>(218.602-1.5195024)*10^5</f>
        <v>21708249.760000002</v>
      </c>
      <c r="C127" s="53" t="s">
        <v>225</v>
      </c>
      <c r="D127"/>
      <c r="E127" s="21"/>
    </row>
    <row r="128" spans="1:5" x14ac:dyDescent="0.25">
      <c r="A128" s="3" t="s">
        <v>422</v>
      </c>
      <c r="B128" s="88">
        <f>(218.602-21.88936031)*10^5</f>
        <v>19671263.969000001</v>
      </c>
      <c r="C128" s="46" t="s">
        <v>225</v>
      </c>
      <c r="D128" s="6"/>
    </row>
    <row r="129" spans="1:5" x14ac:dyDescent="0.25">
      <c r="A129" s="3" t="s">
        <v>448</v>
      </c>
      <c r="B129" s="88">
        <f>(218.602-23.37803152)*10^5</f>
        <v>19522396.848000001</v>
      </c>
      <c r="C129" s="46" t="s">
        <v>225</v>
      </c>
    </row>
    <row r="130" spans="1:5" x14ac:dyDescent="0.25">
      <c r="A130" s="3" t="s">
        <v>453</v>
      </c>
      <c r="B130" s="88">
        <f>(218.602-23.4890541356629)*10^5</f>
        <v>19511294.586433709</v>
      </c>
      <c r="C130" s="46" t="s">
        <v>225</v>
      </c>
    </row>
    <row r="131" spans="1:5" x14ac:dyDescent="0.25">
      <c r="A131" s="5" t="s">
        <v>317</v>
      </c>
      <c r="B131" s="95">
        <f>(218.602-23.4890541356629)*10^5</f>
        <v>19511294.586433709</v>
      </c>
      <c r="C131" s="8" t="s">
        <v>225</v>
      </c>
    </row>
    <row r="132" spans="1:5" x14ac:dyDescent="0.25">
      <c r="A132" s="3" t="s">
        <v>480</v>
      </c>
      <c r="B132" s="88">
        <v>20841200</v>
      </c>
      <c r="C132" s="46" t="s">
        <v>225</v>
      </c>
    </row>
    <row r="133" spans="1:5" x14ac:dyDescent="0.25">
      <c r="A133" s="3" t="s">
        <v>444</v>
      </c>
      <c r="B133" s="88">
        <f>(218.602-20.24587)*10^5</f>
        <v>19835613</v>
      </c>
      <c r="C133" s="46" t="s">
        <v>225</v>
      </c>
    </row>
    <row r="134" spans="1:5" x14ac:dyDescent="0.25">
      <c r="A134" s="3" t="s">
        <v>445</v>
      </c>
      <c r="B134" s="88">
        <f>(218.602-20.53515532)*10^5</f>
        <v>19806684.467999998</v>
      </c>
      <c r="C134" s="46" t="s">
        <v>225</v>
      </c>
    </row>
    <row r="135" spans="1:5" x14ac:dyDescent="0.25">
      <c r="A135" s="3" t="s">
        <v>315</v>
      </c>
      <c r="B135" s="88">
        <f>(218.602-20.56902)*10^5</f>
        <v>19803298</v>
      </c>
      <c r="C135" s="46" t="s">
        <v>225</v>
      </c>
    </row>
    <row r="136" spans="1:5" x14ac:dyDescent="0.25">
      <c r="A136" s="3" t="s">
        <v>446</v>
      </c>
      <c r="B136" s="88">
        <f>(218.602-20.931095)*10^5</f>
        <v>19767090.5</v>
      </c>
      <c r="C136" s="46" t="s">
        <v>225</v>
      </c>
    </row>
    <row r="137" spans="1:5" x14ac:dyDescent="0.25">
      <c r="A137" s="5" t="s">
        <v>447</v>
      </c>
      <c r="B137" s="95">
        <f>(218.602-21.211114115)*10^5</f>
        <v>19739088.588500001</v>
      </c>
      <c r="C137" s="8" t="s">
        <v>225</v>
      </c>
    </row>
    <row r="138" spans="1:5" x14ac:dyDescent="0.25">
      <c r="A138" s="3" t="s">
        <v>449</v>
      </c>
      <c r="B138" s="88">
        <f>(198.03298-0.07734)*10^5</f>
        <v>19795564</v>
      </c>
      <c r="C138" s="46" t="s">
        <v>225</v>
      </c>
    </row>
    <row r="139" spans="1:5" x14ac:dyDescent="0.25">
      <c r="A139" s="3" t="s">
        <v>450</v>
      </c>
      <c r="B139" s="88">
        <f>(198.03298-0.63797)*10^5</f>
        <v>19739501</v>
      </c>
      <c r="C139" s="46" t="s">
        <v>225</v>
      </c>
      <c r="D139" s="6"/>
    </row>
    <row r="140" spans="1:5" x14ac:dyDescent="0.25">
      <c r="A140" s="3" t="s">
        <v>426</v>
      </c>
      <c r="B140" s="88">
        <v>20841200</v>
      </c>
      <c r="C140" s="46" t="s">
        <v>225</v>
      </c>
      <c r="D140"/>
    </row>
    <row r="141" spans="1:5" x14ac:dyDescent="0.25">
      <c r="A141" s="3" t="s">
        <v>427</v>
      </c>
      <c r="B141" s="88">
        <f>(198.512)*10^5</f>
        <v>19851200</v>
      </c>
      <c r="C141" s="46" t="s">
        <v>225</v>
      </c>
      <c r="D141"/>
    </row>
    <row r="142" spans="1:5" x14ac:dyDescent="0.25">
      <c r="A142" s="3" t="s">
        <v>521</v>
      </c>
      <c r="B142" s="88">
        <v>18165000</v>
      </c>
      <c r="C142" s="46" t="s">
        <v>225</v>
      </c>
      <c r="D142"/>
    </row>
    <row r="143" spans="1:5" x14ac:dyDescent="0.25">
      <c r="A143" s="3" t="s">
        <v>522</v>
      </c>
      <c r="B143" s="88">
        <v>18065000</v>
      </c>
      <c r="C143" s="46" t="s">
        <v>225</v>
      </c>
      <c r="D143"/>
    </row>
    <row r="144" spans="1:5" x14ac:dyDescent="0.25">
      <c r="A144" s="79" t="s">
        <v>420</v>
      </c>
      <c r="B144" s="28" t="s">
        <v>29</v>
      </c>
      <c r="C144" s="29" t="s">
        <v>29</v>
      </c>
      <c r="D144" s="44" t="s">
        <v>29</v>
      </c>
      <c r="E144" s="82" t="s">
        <v>29</v>
      </c>
    </row>
    <row r="145" spans="1:5" x14ac:dyDescent="0.25">
      <c r="A145" s="3" t="s">
        <v>314</v>
      </c>
      <c r="B145" s="22">
        <f>3.47*10^5</f>
        <v>347000</v>
      </c>
      <c r="C145" s="46" t="s">
        <v>225</v>
      </c>
    </row>
    <row r="146" spans="1:5" x14ac:dyDescent="0.25">
      <c r="A146" s="3" t="s">
        <v>313</v>
      </c>
      <c r="B146">
        <f>239.624*10^5</f>
        <v>23962400</v>
      </c>
      <c r="C146" s="46" t="s">
        <v>225</v>
      </c>
    </row>
    <row r="147" spans="1:5" x14ac:dyDescent="0.25">
      <c r="A147" t="s">
        <v>385</v>
      </c>
      <c r="B147">
        <f>239.097*10^5</f>
        <v>23909700</v>
      </c>
      <c r="C147" s="46" t="s">
        <v>225</v>
      </c>
      <c r="D147"/>
    </row>
    <row r="148" spans="1:5" x14ac:dyDescent="0.25">
      <c r="A148" t="s">
        <v>387</v>
      </c>
      <c r="B148">
        <f>237.483*10^5</f>
        <v>23748300</v>
      </c>
      <c r="C148" s="46" t="s">
        <v>225</v>
      </c>
      <c r="D148"/>
    </row>
    <row r="149" spans="1:5" x14ac:dyDescent="0.25">
      <c r="A149" s="79" t="s">
        <v>244</v>
      </c>
      <c r="B149" s="28" t="s">
        <v>29</v>
      </c>
      <c r="C149" s="29" t="s">
        <v>29</v>
      </c>
      <c r="D149" s="44" t="s">
        <v>29</v>
      </c>
      <c r="E149" s="82" t="s">
        <v>29</v>
      </c>
    </row>
    <row r="150" spans="1:5" x14ac:dyDescent="0.25">
      <c r="A150" s="86" t="s">
        <v>417</v>
      </c>
      <c r="B150" s="40">
        <v>3.4388200000000004E-5</v>
      </c>
      <c r="C150" s="46" t="s">
        <v>244</v>
      </c>
      <c r="D150"/>
      <c r="E150" s="3"/>
    </row>
    <row r="151" spans="1:5" x14ac:dyDescent="0.25">
      <c r="A151" s="86" t="s">
        <v>418</v>
      </c>
      <c r="B151" s="40">
        <v>3.9269908169872419E-6</v>
      </c>
      <c r="C151" s="46" t="s">
        <v>244</v>
      </c>
      <c r="D151"/>
      <c r="E151" s="3"/>
    </row>
    <row r="152" spans="1:5" x14ac:dyDescent="0.25">
      <c r="A152" s="86" t="s">
        <v>415</v>
      </c>
      <c r="B152" s="40">
        <v>4.8195499870145589E-4</v>
      </c>
      <c r="C152" s="46" t="s">
        <v>244</v>
      </c>
      <c r="D152"/>
      <c r="E152" s="3"/>
    </row>
    <row r="153" spans="1:5" x14ac:dyDescent="0.25">
      <c r="A153" s="86" t="s">
        <v>416</v>
      </c>
      <c r="B153" s="40">
        <v>7.8219700702884798E-5</v>
      </c>
      <c r="C153" s="46" t="s">
        <v>244</v>
      </c>
      <c r="D153"/>
      <c r="E153" s="3"/>
    </row>
    <row r="154" spans="1:5" x14ac:dyDescent="0.25">
      <c r="A154" s="86" t="s">
        <v>482</v>
      </c>
      <c r="B154" s="40">
        <v>3.375955465547592E-5</v>
      </c>
      <c r="C154" s="46" t="s">
        <v>244</v>
      </c>
      <c r="D154"/>
      <c r="E154" s="3"/>
    </row>
    <row r="155" spans="1:5" x14ac:dyDescent="0.25">
      <c r="A155" s="86" t="s">
        <v>483</v>
      </c>
      <c r="B155" s="40">
        <f>8.09274267564731E-06</f>
        <v>8.0927426756473106E-6</v>
      </c>
      <c r="C155" s="46" t="s">
        <v>244</v>
      </c>
      <c r="D155"/>
      <c r="E155" s="3"/>
    </row>
    <row r="156" spans="1:5" x14ac:dyDescent="0.25">
      <c r="A156" s="86" t="s">
        <v>484</v>
      </c>
      <c r="B156" s="40">
        <f>1.41371669411541E-06</f>
        <v>1.41371669411541E-6</v>
      </c>
      <c r="C156" s="46" t="s">
        <v>244</v>
      </c>
      <c r="D156"/>
      <c r="E156" s="3"/>
    </row>
    <row r="157" spans="1:5" x14ac:dyDescent="0.25">
      <c r="A157" s="86" t="s">
        <v>485</v>
      </c>
      <c r="B157" s="40">
        <f>0.0000244855731420788</f>
        <v>2.44855731420788E-5</v>
      </c>
      <c r="C157" s="46" t="s">
        <v>244</v>
      </c>
      <c r="D157"/>
      <c r="E157" s="3"/>
    </row>
    <row r="158" spans="1:5" x14ac:dyDescent="0.25">
      <c r="A158" s="86" t="s">
        <v>499</v>
      </c>
      <c r="B158" s="21">
        <f>(366)*(10^-6)</f>
        <v>3.6600000000000001E-4</v>
      </c>
      <c r="C158" s="46" t="s">
        <v>244</v>
      </c>
      <c r="D158"/>
      <c r="E158" s="3"/>
    </row>
    <row r="159" spans="1:5" x14ac:dyDescent="0.25">
      <c r="A159" s="79" t="s">
        <v>227</v>
      </c>
      <c r="B159" s="28" t="s">
        <v>29</v>
      </c>
      <c r="C159" s="29" t="s">
        <v>29</v>
      </c>
      <c r="D159" s="44" t="s">
        <v>29</v>
      </c>
      <c r="E159" s="82" t="s">
        <v>29</v>
      </c>
    </row>
    <row r="160" spans="1:5" x14ac:dyDescent="0.25">
      <c r="A160" s="3" t="s">
        <v>234</v>
      </c>
      <c r="B160" s="63">
        <f>9.09576*10^-11</f>
        <v>9.0957599999999999E-11</v>
      </c>
      <c r="C160" s="62" t="s">
        <v>227</v>
      </c>
      <c r="D160" s="85">
        <f>1.27465*10^-9</f>
        <v>1.2746500000000001E-9</v>
      </c>
      <c r="E160" s="3" t="s">
        <v>234</v>
      </c>
    </row>
    <row r="161" spans="1:5" x14ac:dyDescent="0.25">
      <c r="A161" s="3" t="s">
        <v>235</v>
      </c>
      <c r="B161" s="63">
        <f>4.52721*10^-12</f>
        <v>4.5272100000000005E-12</v>
      </c>
      <c r="C161" s="62" t="s">
        <v>227</v>
      </c>
      <c r="D161" s="85">
        <f>1.10129*10^-9</f>
        <v>1.1012900000000002E-9</v>
      </c>
      <c r="E161" s="3" t="s">
        <v>235</v>
      </c>
    </row>
    <row r="162" spans="1:5" x14ac:dyDescent="0.25">
      <c r="A162" s="3" t="s">
        <v>320</v>
      </c>
      <c r="B162" s="63">
        <f>2.39359*10^-10</f>
        <v>2.3935900000000003E-10</v>
      </c>
      <c r="C162" s="62" t="s">
        <v>227</v>
      </c>
      <c r="D162" s="63">
        <f>2.39359*10^-10</f>
        <v>2.3935900000000003E-10</v>
      </c>
      <c r="E162" s="3" t="s">
        <v>320</v>
      </c>
    </row>
    <row r="163" spans="1:5" x14ac:dyDescent="0.25">
      <c r="A163" s="3" t="s">
        <v>384</v>
      </c>
      <c r="B163" s="63">
        <f>2.39359*10^-10</f>
        <v>2.3935900000000003E-10</v>
      </c>
      <c r="C163" s="62" t="s">
        <v>227</v>
      </c>
      <c r="D163" s="63"/>
      <c r="E163" s="3"/>
    </row>
    <row r="164" spans="1:5" x14ac:dyDescent="0.25">
      <c r="A164" s="3" t="s">
        <v>312</v>
      </c>
      <c r="B164" s="85">
        <f>1.27465*10^-9</f>
        <v>1.2746500000000001E-9</v>
      </c>
      <c r="C164" s="62" t="s">
        <v>227</v>
      </c>
      <c r="D164" s="63">
        <f>9.09576*10^-11</f>
        <v>9.0957599999999999E-11</v>
      </c>
      <c r="E164" s="3" t="s">
        <v>312</v>
      </c>
    </row>
    <row r="165" spans="1:5" x14ac:dyDescent="0.25">
      <c r="A165" s="3" t="s">
        <v>311</v>
      </c>
      <c r="B165" s="85">
        <f>1.10129*10^-9</f>
        <v>1.1012900000000002E-9</v>
      </c>
      <c r="C165" s="62" t="s">
        <v>227</v>
      </c>
      <c r="D165" s="63">
        <f>4.52721*10^-12</f>
        <v>4.5272100000000005E-12</v>
      </c>
      <c r="E165" s="3" t="s">
        <v>311</v>
      </c>
    </row>
    <row r="166" spans="1:5" x14ac:dyDescent="0.25">
      <c r="A166" s="3" t="s">
        <v>383</v>
      </c>
      <c r="B166" s="63">
        <f>B165/2</f>
        <v>5.5064500000000012E-10</v>
      </c>
      <c r="C166" s="62" t="s">
        <v>227</v>
      </c>
      <c r="D166" s="63"/>
      <c r="E166" s="3"/>
    </row>
    <row r="167" spans="1:5" x14ac:dyDescent="0.25">
      <c r="A167" s="3" t="s">
        <v>321</v>
      </c>
      <c r="B167" s="63">
        <f>2.39359*10^-10</f>
        <v>2.3935900000000003E-10</v>
      </c>
      <c r="C167" s="62" t="s">
        <v>227</v>
      </c>
      <c r="D167" s="63">
        <f>2.39359*10^-10</f>
        <v>2.3935900000000003E-10</v>
      </c>
      <c r="E167" s="3" t="s">
        <v>321</v>
      </c>
    </row>
    <row r="168" spans="1:5" x14ac:dyDescent="0.25">
      <c r="A168" t="s">
        <v>388</v>
      </c>
      <c r="B168" s="85">
        <f>1.27465*10^-9</f>
        <v>1.2746500000000001E-9</v>
      </c>
      <c r="C168" s="62" t="s">
        <v>227</v>
      </c>
      <c r="D168" s="63"/>
      <c r="E168" s="3"/>
    </row>
    <row r="169" spans="1:5" x14ac:dyDescent="0.25">
      <c r="A169" t="s">
        <v>486</v>
      </c>
      <c r="B169" s="138">
        <f>1.20654*10^-10</f>
        <v>1.20654E-10</v>
      </c>
      <c r="C169" s="62" t="s">
        <v>227</v>
      </c>
      <c r="D169" s="63"/>
      <c r="E169" s="3"/>
    </row>
    <row r="170" spans="1:5" x14ac:dyDescent="0.25">
      <c r="A170" s="79" t="s">
        <v>226</v>
      </c>
      <c r="B170" s="28" t="s">
        <v>29</v>
      </c>
      <c r="C170" s="29" t="s">
        <v>29</v>
      </c>
      <c r="D170" s="44" t="s">
        <v>29</v>
      </c>
      <c r="E170" s="82" t="s">
        <v>29</v>
      </c>
    </row>
    <row r="171" spans="1:5" x14ac:dyDescent="0.25">
      <c r="A171" s="3" t="s">
        <v>411</v>
      </c>
      <c r="B171" s="110">
        <v>1175.2149743878281</v>
      </c>
      <c r="C171" s="50" t="s">
        <v>226</v>
      </c>
      <c r="D171" s="185" t="s">
        <v>470</v>
      </c>
      <c r="E171" s="3"/>
    </row>
    <row r="172" spans="1:5" x14ac:dyDescent="0.25">
      <c r="A172" s="3" t="s">
        <v>412</v>
      </c>
      <c r="B172" s="57">
        <v>1099.6159704530949</v>
      </c>
      <c r="C172" s="50" t="s">
        <v>226</v>
      </c>
      <c r="D172" s="186"/>
      <c r="E172" s="3"/>
    </row>
    <row r="173" spans="1:5" x14ac:dyDescent="0.25">
      <c r="A173" s="3" t="s">
        <v>413</v>
      </c>
      <c r="B173" s="57">
        <v>541.12680651244409</v>
      </c>
      <c r="C173" s="50" t="s">
        <v>226</v>
      </c>
      <c r="D173" s="186"/>
      <c r="E173" s="3"/>
    </row>
    <row r="174" spans="1:5" x14ac:dyDescent="0.25">
      <c r="A174" s="3" t="s">
        <v>414</v>
      </c>
      <c r="B174" s="110">
        <v>1570.7593120553597</v>
      </c>
      <c r="C174" s="50" t="s">
        <v>226</v>
      </c>
      <c r="D174" s="186"/>
      <c r="E174" s="3"/>
    </row>
    <row r="175" spans="1:5" x14ac:dyDescent="0.25">
      <c r="A175" s="5" t="s">
        <v>454</v>
      </c>
      <c r="B175" s="57">
        <v>2670.3752825084543</v>
      </c>
      <c r="C175" s="111" t="s">
        <v>226</v>
      </c>
      <c r="D175" s="186"/>
      <c r="E175" s="3"/>
    </row>
    <row r="176" spans="1:5" x14ac:dyDescent="0.25">
      <c r="A176" s="94" t="s">
        <v>408</v>
      </c>
      <c r="B176" s="112">
        <v>2719.7744528369258</v>
      </c>
      <c r="C176" s="113" t="s">
        <v>226</v>
      </c>
      <c r="D176" s="186" t="s">
        <v>469</v>
      </c>
      <c r="E176" s="3"/>
    </row>
    <row r="177" spans="1:5" x14ac:dyDescent="0.25">
      <c r="A177" s="3" t="s">
        <v>460</v>
      </c>
      <c r="B177" s="110">
        <v>348.15143801352104</v>
      </c>
      <c r="C177" s="50" t="s">
        <v>226</v>
      </c>
      <c r="D177" s="186"/>
      <c r="E177" s="3"/>
    </row>
    <row r="178" spans="1:5" x14ac:dyDescent="0.25">
      <c r="A178" s="3" t="s">
        <v>461</v>
      </c>
      <c r="B178" s="110">
        <v>2700.6604405905987</v>
      </c>
      <c r="C178" s="50" t="s">
        <v>226</v>
      </c>
      <c r="D178" s="186"/>
      <c r="E178" s="3"/>
    </row>
    <row r="179" spans="1:5" x14ac:dyDescent="0.25">
      <c r="A179" s="3" t="s">
        <v>462</v>
      </c>
      <c r="B179" s="110">
        <v>755.98597968650279</v>
      </c>
      <c r="C179" s="50" t="s">
        <v>226</v>
      </c>
      <c r="D179" s="186"/>
      <c r="E179" s="3"/>
    </row>
    <row r="180" spans="1:5" x14ac:dyDescent="0.25">
      <c r="A180" s="3" t="s">
        <v>463</v>
      </c>
      <c r="B180" s="110">
        <v>1018.3170687781637</v>
      </c>
      <c r="C180" s="50" t="s">
        <v>226</v>
      </c>
      <c r="D180" s="186"/>
      <c r="E180" s="3"/>
    </row>
    <row r="181" spans="1:5" x14ac:dyDescent="0.25">
      <c r="A181" s="3" t="s">
        <v>455</v>
      </c>
      <c r="B181" s="110">
        <v>1945.2270822342764</v>
      </c>
      <c r="C181" s="50" t="s">
        <v>226</v>
      </c>
      <c r="D181" s="186"/>
      <c r="E181" s="3"/>
    </row>
    <row r="182" spans="1:5" x14ac:dyDescent="0.25">
      <c r="A182" s="3" t="s">
        <v>464</v>
      </c>
      <c r="B182" s="110">
        <v>27692.960097989788</v>
      </c>
      <c r="C182" s="50" t="s">
        <v>226</v>
      </c>
      <c r="D182" s="186"/>
      <c r="E182" s="3"/>
    </row>
    <row r="183" spans="1:5" x14ac:dyDescent="0.25">
      <c r="A183" s="3" t="s">
        <v>478</v>
      </c>
      <c r="B183" s="110">
        <v>32388.030919200704</v>
      </c>
      <c r="C183" s="50" t="s">
        <v>226</v>
      </c>
      <c r="D183" s="186"/>
      <c r="E183" s="3"/>
    </row>
    <row r="184" spans="1:5" x14ac:dyDescent="0.25">
      <c r="A184" s="3" t="s">
        <v>459</v>
      </c>
      <c r="B184" s="110">
        <v>30628.484603906971</v>
      </c>
      <c r="C184" s="50" t="s">
        <v>226</v>
      </c>
      <c r="D184" s="186"/>
      <c r="E184" s="3"/>
    </row>
    <row r="185" spans="1:5" x14ac:dyDescent="0.25">
      <c r="A185" s="3" t="s">
        <v>472</v>
      </c>
      <c r="B185" s="110">
        <v>15491.081127611147</v>
      </c>
      <c r="C185" s="50" t="s">
        <v>226</v>
      </c>
      <c r="D185" s="186"/>
      <c r="E185" s="3"/>
    </row>
    <row r="186" spans="1:5" x14ac:dyDescent="0.25">
      <c r="A186" s="3" t="s">
        <v>465</v>
      </c>
      <c r="B186" s="110">
        <v>35509.236192058423</v>
      </c>
      <c r="C186" s="50" t="s">
        <v>226</v>
      </c>
      <c r="D186" s="186"/>
      <c r="E186" s="3"/>
    </row>
    <row r="187" spans="1:5" x14ac:dyDescent="0.25">
      <c r="A187" s="3" t="s">
        <v>466</v>
      </c>
      <c r="B187" s="110">
        <v>6719.8753749911375</v>
      </c>
      <c r="C187" s="50" t="s">
        <v>226</v>
      </c>
      <c r="D187" s="186"/>
      <c r="E187" s="3"/>
    </row>
    <row r="188" spans="1:5" x14ac:dyDescent="0.25">
      <c r="A188" s="3" t="s">
        <v>467</v>
      </c>
      <c r="B188" s="110">
        <v>22520.424447503188</v>
      </c>
      <c r="C188" s="50" t="s">
        <v>226</v>
      </c>
      <c r="D188" s="186"/>
      <c r="E188" s="3"/>
    </row>
    <row r="189" spans="1:5" x14ac:dyDescent="0.25">
      <c r="A189" s="3" t="s">
        <v>468</v>
      </c>
      <c r="B189" s="110">
        <v>28727.467228087109</v>
      </c>
      <c r="C189" s="50" t="s">
        <v>226</v>
      </c>
      <c r="D189" s="186"/>
      <c r="E189" s="3"/>
    </row>
    <row r="190" spans="1:5" x14ac:dyDescent="0.25">
      <c r="A190" s="5" t="s">
        <v>473</v>
      </c>
      <c r="B190" s="57">
        <v>1768.388256576615</v>
      </c>
      <c r="C190" s="111" t="s">
        <v>226</v>
      </c>
      <c r="D190" s="186"/>
      <c r="E190" s="3"/>
    </row>
    <row r="191" spans="1:5" x14ac:dyDescent="0.25">
      <c r="A191" s="94" t="s">
        <v>409</v>
      </c>
      <c r="B191" s="112">
        <f>B177+B178</f>
        <v>3048.8118786041196</v>
      </c>
      <c r="C191" s="113" t="s">
        <v>226</v>
      </c>
      <c r="D191" s="184" t="s">
        <v>471</v>
      </c>
      <c r="E191" s="3"/>
    </row>
    <row r="192" spans="1:5" x14ac:dyDescent="0.25">
      <c r="A192" s="3" t="s">
        <v>410</v>
      </c>
      <c r="B192" s="110">
        <f>B179+B180</f>
        <v>1774.3030484646665</v>
      </c>
      <c r="C192" s="50" t="s">
        <v>226</v>
      </c>
      <c r="D192" s="184"/>
      <c r="E192" s="3"/>
    </row>
    <row r="193" spans="1:5" x14ac:dyDescent="0.25">
      <c r="A193" s="3" t="s">
        <v>475</v>
      </c>
      <c r="B193" s="110">
        <f>B191+B192</f>
        <v>4823.1149270687856</v>
      </c>
      <c r="C193" s="50" t="s">
        <v>226</v>
      </c>
      <c r="D193" s="184"/>
    </row>
    <row r="194" spans="1:5" x14ac:dyDescent="0.25">
      <c r="A194" s="3" t="s">
        <v>456</v>
      </c>
      <c r="B194" s="110">
        <f>B185+B186+B187</f>
        <v>57720.192694660713</v>
      </c>
      <c r="C194" s="50" t="s">
        <v>226</v>
      </c>
      <c r="D194" s="184"/>
    </row>
    <row r="195" spans="1:5" x14ac:dyDescent="0.25">
      <c r="A195" s="3" t="s">
        <v>457</v>
      </c>
      <c r="B195" s="110">
        <f>B182+B183</f>
        <v>60080.991017190492</v>
      </c>
      <c r="C195" s="50" t="s">
        <v>226</v>
      </c>
      <c r="D195" s="184"/>
    </row>
    <row r="196" spans="1:5" x14ac:dyDescent="0.25">
      <c r="A196" s="3" t="s">
        <v>458</v>
      </c>
      <c r="B196" s="110">
        <f>B188+B189</f>
        <v>51247.891675590297</v>
      </c>
      <c r="C196" s="50" t="s">
        <v>226</v>
      </c>
      <c r="D196" s="184"/>
    </row>
    <row r="197" spans="1:5" x14ac:dyDescent="0.25">
      <c r="A197" s="5" t="s">
        <v>474</v>
      </c>
      <c r="B197" s="115">
        <v>1768.388256576615</v>
      </c>
      <c r="C197" s="111" t="s">
        <v>226</v>
      </c>
      <c r="D197" s="114"/>
    </row>
    <row r="198" spans="1:5" x14ac:dyDescent="0.25">
      <c r="A198" s="5" t="s">
        <v>481</v>
      </c>
      <c r="B198" s="116">
        <f>B186+B187</f>
        <v>42229.111567049564</v>
      </c>
      <c r="C198" s="111" t="s">
        <v>226</v>
      </c>
      <c r="D198" s="114"/>
    </row>
    <row r="199" spans="1:5" x14ac:dyDescent="0.25">
      <c r="A199" s="5" t="s">
        <v>491</v>
      </c>
      <c r="B199" s="116">
        <v>95.492965855137186</v>
      </c>
      <c r="C199" s="111" t="s">
        <v>226</v>
      </c>
      <c r="D199" s="114"/>
    </row>
    <row r="200" spans="1:5" x14ac:dyDescent="0.25">
      <c r="A200" s="79" t="s">
        <v>343</v>
      </c>
      <c r="B200" s="28" t="s">
        <v>29</v>
      </c>
      <c r="C200" s="29" t="s">
        <v>29</v>
      </c>
      <c r="D200" s="44" t="s">
        <v>29</v>
      </c>
      <c r="E200" s="29" t="s">
        <v>29</v>
      </c>
    </row>
    <row r="201" spans="1:5" x14ac:dyDescent="0.25">
      <c r="A201" s="3" t="s">
        <v>354</v>
      </c>
      <c r="B201">
        <f>2.1*10^11</f>
        <v>210000000000</v>
      </c>
      <c r="C201" s="46" t="s">
        <v>229</v>
      </c>
    </row>
    <row r="202" spans="1:5" x14ac:dyDescent="0.25">
      <c r="A202" s="3" t="s">
        <v>355</v>
      </c>
      <c r="B202">
        <f>1.275*10^9</f>
        <v>1275000000</v>
      </c>
      <c r="C202" s="46" t="s">
        <v>229</v>
      </c>
    </row>
    <row r="203" spans="1:5" x14ac:dyDescent="0.25">
      <c r="A203" s="3" t="s">
        <v>356</v>
      </c>
      <c r="B203">
        <f>15*10^3</f>
        <v>15000</v>
      </c>
      <c r="C203" s="46" t="s">
        <v>225</v>
      </c>
    </row>
    <row r="204" spans="1:5" x14ac:dyDescent="0.25">
      <c r="A204" s="3" t="s">
        <v>357</v>
      </c>
      <c r="B204">
        <f>10*10^-3</f>
        <v>0.01</v>
      </c>
      <c r="C204" s="46" t="s">
        <v>243</v>
      </c>
      <c r="E204" s="64" t="s">
        <v>266</v>
      </c>
    </row>
    <row r="205" spans="1:5" x14ac:dyDescent="0.25">
      <c r="A205" s="3" t="s">
        <v>358</v>
      </c>
      <c r="B205">
        <f>0.8</f>
        <v>0.8</v>
      </c>
      <c r="C205" s="46" t="s">
        <v>229</v>
      </c>
      <c r="E205" s="64"/>
    </row>
    <row r="206" spans="1:5" x14ac:dyDescent="0.25">
      <c r="A206" s="3" t="s">
        <v>359</v>
      </c>
      <c r="B206">
        <f>2.6*10^-3</f>
        <v>2.6000000000000003E-3</v>
      </c>
      <c r="C206" s="46" t="s">
        <v>229</v>
      </c>
      <c r="D206" s="3">
        <f>2.6*10^-3</f>
        <v>2.6000000000000003E-3</v>
      </c>
      <c r="E206" s="64" t="s">
        <v>269</v>
      </c>
    </row>
    <row r="207" spans="1:5" x14ac:dyDescent="0.25">
      <c r="A207" s="3" t="s">
        <v>360</v>
      </c>
      <c r="B207">
        <f>18*10^-3</f>
        <v>1.8000000000000002E-2</v>
      </c>
      <c r="C207" s="46" t="s">
        <v>229</v>
      </c>
      <c r="E207" s="64" t="s">
        <v>268</v>
      </c>
    </row>
    <row r="208" spans="1:5" x14ac:dyDescent="0.25">
      <c r="A208" s="3" t="s">
        <v>361</v>
      </c>
      <c r="B208">
        <f>0.1*0</f>
        <v>0</v>
      </c>
      <c r="C208" s="46" t="s">
        <v>229</v>
      </c>
      <c r="E208" s="64" t="s">
        <v>270</v>
      </c>
    </row>
    <row r="209" spans="1:5" x14ac:dyDescent="0.25">
      <c r="A209" s="3" t="s">
        <v>362</v>
      </c>
      <c r="B209">
        <f>0.1*0</f>
        <v>0</v>
      </c>
      <c r="C209" s="46" t="s">
        <v>229</v>
      </c>
      <c r="E209" s="64"/>
    </row>
    <row r="210" spans="1:5" x14ac:dyDescent="0.25">
      <c r="A210" s="3" t="s">
        <v>363</v>
      </c>
      <c r="B210">
        <v>0</v>
      </c>
      <c r="C210" s="46" t="s">
        <v>229</v>
      </c>
      <c r="E210" s="64"/>
    </row>
    <row r="211" spans="1:5" x14ac:dyDescent="0.25">
      <c r="A211" s="3" t="s">
        <v>364</v>
      </c>
      <c r="B211">
        <f>2.5*10^-3</f>
        <v>2.5000000000000001E-3</v>
      </c>
      <c r="C211" s="46" t="s">
        <v>243</v>
      </c>
      <c r="E211" s="64"/>
    </row>
    <row r="212" spans="1:5" x14ac:dyDescent="0.25">
      <c r="A212" s="3" t="s">
        <v>365</v>
      </c>
      <c r="B212">
        <f>18*10^-3</f>
        <v>1.8000000000000002E-2</v>
      </c>
      <c r="C212" s="46" t="s">
        <v>243</v>
      </c>
      <c r="E212" s="64"/>
    </row>
    <row r="213" spans="1:5" x14ac:dyDescent="0.25">
      <c r="A213" s="3" t="s">
        <v>366</v>
      </c>
      <c r="B213">
        <f>17.6*10^-3</f>
        <v>1.7600000000000001E-2</v>
      </c>
      <c r="C213" s="46" t="s">
        <v>243</v>
      </c>
      <c r="E213" s="64"/>
    </row>
    <row r="214" spans="1:5" x14ac:dyDescent="0.25">
      <c r="A214" s="3" t="s">
        <v>367</v>
      </c>
      <c r="B214">
        <f>5*10^-3</f>
        <v>5.0000000000000001E-3</v>
      </c>
      <c r="C214" s="46" t="s">
        <v>243</v>
      </c>
      <c r="E214" s="64"/>
    </row>
    <row r="215" spans="1:5" x14ac:dyDescent="0.25">
      <c r="A215" s="3" t="s">
        <v>368</v>
      </c>
      <c r="B215">
        <f>0.13*10^3</f>
        <v>130</v>
      </c>
      <c r="C215" s="46" t="s">
        <v>229</v>
      </c>
      <c r="E215" s="64" t="s">
        <v>265</v>
      </c>
    </row>
    <row r="216" spans="1:5" x14ac:dyDescent="0.25">
      <c r="A216" s="3" t="s">
        <v>369</v>
      </c>
      <c r="B216">
        <f>1.96</f>
        <v>1.96</v>
      </c>
      <c r="C216" s="46" t="s">
        <v>229</v>
      </c>
      <c r="D216" s="6"/>
      <c r="E216" s="64" t="s">
        <v>267</v>
      </c>
    </row>
    <row r="217" spans="1:5" x14ac:dyDescent="0.25">
      <c r="A217" s="3" t="s">
        <v>370</v>
      </c>
      <c r="B217">
        <v>2.9999999999999997E-4</v>
      </c>
      <c r="C217" s="46" t="s">
        <v>229</v>
      </c>
    </row>
    <row r="218" spans="1:5" x14ac:dyDescent="0.25">
      <c r="A218" s="3" t="s">
        <v>371</v>
      </c>
      <c r="B218">
        <f>0.53*10^-5</f>
        <v>5.3000000000000009E-6</v>
      </c>
      <c r="C218" s="46" t="s">
        <v>244</v>
      </c>
    </row>
    <row r="219" spans="1:5" x14ac:dyDescent="0.25">
      <c r="A219" s="3" t="s">
        <v>372</v>
      </c>
      <c r="B219">
        <f>0.23*10^-5</f>
        <v>2.3000000000000004E-6</v>
      </c>
      <c r="C219" s="46" t="s">
        <v>244</v>
      </c>
    </row>
    <row r="220" spans="1:5" x14ac:dyDescent="0.25">
      <c r="A220" s="3" t="s">
        <v>373</v>
      </c>
      <c r="B220">
        <f>9.03*10^-5</f>
        <v>9.0299999999999999E-5</v>
      </c>
      <c r="C220" s="46" t="s">
        <v>244</v>
      </c>
    </row>
    <row r="221" spans="1:5" x14ac:dyDescent="0.25">
      <c r="A221" s="3" t="s">
        <v>374</v>
      </c>
      <c r="B221">
        <f>4*10^-3</f>
        <v>4.0000000000000001E-3</v>
      </c>
      <c r="C221" s="46" t="s">
        <v>243</v>
      </c>
    </row>
    <row r="222" spans="1:5" x14ac:dyDescent="0.25">
      <c r="A222" s="3" t="s">
        <v>375</v>
      </c>
      <c r="B222">
        <f>4*10^-3</f>
        <v>4.0000000000000001E-3</v>
      </c>
      <c r="C222" s="46" t="s">
        <v>243</v>
      </c>
    </row>
    <row r="223" spans="1:5" x14ac:dyDescent="0.25">
      <c r="A223" s="3" t="s">
        <v>376</v>
      </c>
      <c r="B223">
        <f>200*10^-3</f>
        <v>0.2</v>
      </c>
      <c r="C223" s="46" t="s">
        <v>243</v>
      </c>
    </row>
    <row r="224" spans="1:5" x14ac:dyDescent="0.25">
      <c r="A224" s="3" t="s">
        <v>377</v>
      </c>
      <c r="B224">
        <f>200*10^-3</f>
        <v>0.2</v>
      </c>
      <c r="C224" s="46" t="s">
        <v>243</v>
      </c>
    </row>
    <row r="225" spans="1:4" x14ac:dyDescent="0.25">
      <c r="A225" s="3" t="s">
        <v>378</v>
      </c>
      <c r="B225">
        <f xml:space="preserve"> 1*10^-3</f>
        <v>1E-3</v>
      </c>
      <c r="C225" s="46" t="s">
        <v>229</v>
      </c>
    </row>
    <row r="226" spans="1:4" x14ac:dyDescent="0.25">
      <c r="A226" s="3" t="s">
        <v>379</v>
      </c>
      <c r="B226">
        <f xml:space="preserve"> 1*10^-3</f>
        <v>1E-3</v>
      </c>
      <c r="C226" s="46" t="s">
        <v>229</v>
      </c>
    </row>
    <row r="227" spans="1:4" x14ac:dyDescent="0.25">
      <c r="A227" s="3" t="s">
        <v>380</v>
      </c>
      <c r="B227">
        <f xml:space="preserve"> 6*10^-3</f>
        <v>6.0000000000000001E-3</v>
      </c>
      <c r="C227" s="46" t="s">
        <v>243</v>
      </c>
    </row>
    <row r="228" spans="1:4" ht="15.75" customHeight="1" x14ac:dyDescent="0.25">
      <c r="A228" s="3" t="s">
        <v>381</v>
      </c>
      <c r="B228">
        <f xml:space="preserve"> 8*10^-3</f>
        <v>8.0000000000000002E-3</v>
      </c>
      <c r="C228" s="46" t="s">
        <v>243</v>
      </c>
    </row>
    <row r="229" spans="1:4" ht="15.75" customHeight="1" x14ac:dyDescent="0.25">
      <c r="A229" s="3" t="s">
        <v>382</v>
      </c>
      <c r="B229">
        <v>0</v>
      </c>
      <c r="C229" s="46" t="s">
        <v>229</v>
      </c>
      <c r="D229"/>
    </row>
    <row r="230" spans="1:4" x14ac:dyDescent="0.25">
      <c r="A230" s="3" t="s">
        <v>529</v>
      </c>
      <c r="B230">
        <f>0.0029+0.0106</f>
        <v>1.35E-2</v>
      </c>
      <c r="C230" s="46" t="s">
        <v>229</v>
      </c>
    </row>
    <row r="231" spans="1:4" x14ac:dyDescent="0.25">
      <c r="A231" s="3" t="s">
        <v>530</v>
      </c>
      <c r="B231">
        <v>3.2000000000000001E-2</v>
      </c>
      <c r="C231" s="46" t="s">
        <v>229</v>
      </c>
    </row>
    <row r="232" spans="1:4" x14ac:dyDescent="0.25">
      <c r="A232" s="3" t="s">
        <v>531</v>
      </c>
      <c r="B232" s="22">
        <v>1E-4</v>
      </c>
      <c r="C232" s="46" t="s">
        <v>229</v>
      </c>
    </row>
  </sheetData>
  <mergeCells count="6">
    <mergeCell ref="D191:D196"/>
    <mergeCell ref="D66:D70"/>
    <mergeCell ref="D71:D75"/>
    <mergeCell ref="D76:D80"/>
    <mergeCell ref="D171:D175"/>
    <mergeCell ref="D176:D190"/>
  </mergeCells>
  <phoneticPr fontId="1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019F2-9682-4C85-AB11-8CD9010302FF}">
  <sheetPr>
    <tabColor rgb="FFFF0000"/>
  </sheetPr>
  <dimension ref="A1:K18"/>
  <sheetViews>
    <sheetView zoomScale="175" zoomScaleNormal="175" workbookViewId="0">
      <selection activeCell="A22" sqref="A22:A23"/>
    </sheetView>
  </sheetViews>
  <sheetFormatPr defaultColWidth="8.85546875" defaultRowHeight="15" x14ac:dyDescent="0.25"/>
  <cols>
    <col min="1" max="1" width="41" bestFit="1" customWidth="1"/>
    <col min="2" max="2" width="13.28515625" bestFit="1" customWidth="1"/>
    <col min="3" max="5" width="12.28515625" bestFit="1" customWidth="1"/>
    <col min="6" max="6" width="2" style="12" customWidth="1"/>
    <col min="7" max="7" width="10.42578125" bestFit="1" customWidth="1"/>
    <col min="8" max="8" width="2" style="12" customWidth="1"/>
    <col min="9" max="9" width="10.42578125" bestFit="1" customWidth="1"/>
    <col min="10" max="10" width="2" style="157" customWidth="1"/>
  </cols>
  <sheetData>
    <row r="1" spans="1:11" ht="15.75" thickBot="1" x14ac:dyDescent="0.3">
      <c r="B1" s="67" t="s">
        <v>283</v>
      </c>
      <c r="C1" s="67" t="s">
        <v>18</v>
      </c>
      <c r="D1" s="68" t="s">
        <v>272</v>
      </c>
      <c r="E1" s="68" t="s">
        <v>273</v>
      </c>
      <c r="F1" s="69"/>
      <c r="G1" s="70" t="s">
        <v>19</v>
      </c>
      <c r="H1" s="11"/>
      <c r="I1" s="70" t="s">
        <v>507</v>
      </c>
      <c r="K1" t="s">
        <v>289</v>
      </c>
    </row>
    <row r="2" spans="1:11" x14ac:dyDescent="0.25">
      <c r="A2" s="7" t="s">
        <v>279</v>
      </c>
      <c r="B2" s="73">
        <v>4.9000000000000002E-2</v>
      </c>
      <c r="C2" s="73">
        <v>3.6999999999999998E-2</v>
      </c>
      <c r="D2" s="73">
        <v>0.03</v>
      </c>
      <c r="E2" s="65" t="s">
        <v>229</v>
      </c>
      <c r="G2" s="66"/>
      <c r="I2" s="66"/>
      <c r="K2" t="s">
        <v>284</v>
      </c>
    </row>
    <row r="3" spans="1:11" x14ac:dyDescent="0.25">
      <c r="A3" s="2" t="s">
        <v>280</v>
      </c>
      <c r="B3" s="73">
        <v>1.2E-2</v>
      </c>
      <c r="C3" s="73">
        <v>0.02</v>
      </c>
      <c r="D3" s="73">
        <v>1.7399999999999999E-2</v>
      </c>
      <c r="E3" s="65" t="s">
        <v>229</v>
      </c>
      <c r="G3" s="30"/>
      <c r="I3" s="30"/>
      <c r="K3" t="s">
        <v>285</v>
      </c>
    </row>
    <row r="4" spans="1:11" x14ac:dyDescent="0.25">
      <c r="A4" s="5" t="s">
        <v>281</v>
      </c>
      <c r="B4" s="73" t="s">
        <v>229</v>
      </c>
      <c r="C4" s="73">
        <v>2.8000000000000001E-2</v>
      </c>
      <c r="D4" s="73" t="s">
        <v>229</v>
      </c>
      <c r="E4" s="65" t="s">
        <v>229</v>
      </c>
      <c r="G4" s="73">
        <v>7.9000000000000001E-2</v>
      </c>
      <c r="I4" s="73">
        <v>8.3000000000000004E-2</v>
      </c>
      <c r="K4" t="s">
        <v>290</v>
      </c>
    </row>
    <row r="5" spans="1:11" x14ac:dyDescent="0.25">
      <c r="A5" s="2" t="s">
        <v>295</v>
      </c>
      <c r="B5" s="73">
        <v>4.1500000000000002E-2</v>
      </c>
      <c r="C5" s="73">
        <v>1.9E-2</v>
      </c>
      <c r="D5" s="73">
        <v>1.6E-2</v>
      </c>
      <c r="E5" s="65" t="s">
        <v>229</v>
      </c>
      <c r="G5" s="66"/>
      <c r="I5" s="66"/>
      <c r="K5" t="s">
        <v>286</v>
      </c>
    </row>
    <row r="6" spans="1:11" x14ac:dyDescent="0.25">
      <c r="A6" s="2" t="s">
        <v>298</v>
      </c>
      <c r="B6" s="73">
        <v>4.4999999999999998E-2</v>
      </c>
      <c r="C6" s="73">
        <v>0.10199999999999999</v>
      </c>
      <c r="D6" s="73">
        <v>0.09</v>
      </c>
      <c r="E6" s="65" t="s">
        <v>229</v>
      </c>
      <c r="G6" s="30"/>
      <c r="I6" s="30"/>
      <c r="K6" t="s">
        <v>287</v>
      </c>
    </row>
    <row r="7" spans="1:11" x14ac:dyDescent="0.25">
      <c r="A7" s="2" t="s">
        <v>297</v>
      </c>
      <c r="B7" s="73">
        <v>3</v>
      </c>
      <c r="C7" s="73">
        <v>2</v>
      </c>
      <c r="D7" s="73">
        <v>2</v>
      </c>
      <c r="E7" s="65" t="s">
        <v>229</v>
      </c>
      <c r="G7" s="72"/>
      <c r="H7" s="71"/>
      <c r="I7" s="72"/>
      <c r="K7" t="s">
        <v>288</v>
      </c>
    </row>
    <row r="8" spans="1:11" x14ac:dyDescent="0.25">
      <c r="A8" s="2" t="s">
        <v>43</v>
      </c>
      <c r="B8" s="73">
        <v>10000</v>
      </c>
      <c r="C8" s="73">
        <v>48311</v>
      </c>
      <c r="D8" s="73">
        <v>48311</v>
      </c>
      <c r="E8" s="73">
        <v>48311</v>
      </c>
      <c r="G8" s="72"/>
      <c r="H8" s="71"/>
      <c r="I8" s="72"/>
    </row>
    <row r="9" spans="1:11" x14ac:dyDescent="0.25">
      <c r="A9" s="2" t="s">
        <v>274</v>
      </c>
      <c r="B9" s="73">
        <f>1.3998*10^-5</f>
        <v>1.3998E-5</v>
      </c>
      <c r="C9" s="73">
        <f>9.27*10^-5</f>
        <v>9.2700000000000004E-5</v>
      </c>
      <c r="D9" s="73">
        <f>7.96*10^-5</f>
        <v>7.960000000000001E-5</v>
      </c>
      <c r="E9" s="73">
        <f>4.37*10^-5</f>
        <v>4.3700000000000005E-5</v>
      </c>
      <c r="G9" s="72"/>
      <c r="H9" s="71"/>
      <c r="I9" s="72"/>
    </row>
    <row r="10" spans="1:11" x14ac:dyDescent="0.25">
      <c r="A10" s="2" t="s">
        <v>275</v>
      </c>
      <c r="B10" s="73">
        <f>3.753*10^-5</f>
        <v>3.7530000000000002E-5</v>
      </c>
      <c r="C10" s="73">
        <f>2.594*10^-4</f>
        <v>2.5940000000000002E-4</v>
      </c>
      <c r="D10" s="73">
        <f>4.785*10^-4</f>
        <v>4.7850000000000003E-4</v>
      </c>
      <c r="E10" s="73">
        <f>1.05*10^-3</f>
        <v>1.0500000000000002E-3</v>
      </c>
      <c r="G10" s="72"/>
      <c r="H10" s="71"/>
      <c r="I10" s="72"/>
    </row>
    <row r="11" spans="1:11" x14ac:dyDescent="0.25">
      <c r="A11" s="2" t="s">
        <v>276</v>
      </c>
      <c r="B11" s="73">
        <f>-5.6402*10^-5</f>
        <v>-5.6402000000000006E-5</v>
      </c>
      <c r="C11" s="73">
        <f>-2.165*10^-3</f>
        <v>-2.1650000000000003E-3</v>
      </c>
      <c r="D11" s="73">
        <f>-7.84*10^-3</f>
        <v>-7.8399999999999997E-3</v>
      </c>
      <c r="E11" s="73">
        <f>-7.37*10^-1</f>
        <v>-0.7370000000000001</v>
      </c>
      <c r="G11" s="72"/>
      <c r="H11" s="71"/>
      <c r="I11" s="72"/>
    </row>
    <row r="12" spans="1:11" x14ac:dyDescent="0.25">
      <c r="A12" s="2" t="s">
        <v>277</v>
      </c>
      <c r="B12" s="73">
        <f>1*10^-8</f>
        <v>1E-8</v>
      </c>
      <c r="C12" s="73">
        <f>1*10^-8</f>
        <v>1E-8</v>
      </c>
      <c r="D12" s="73">
        <f>1*10^-8</f>
        <v>1E-8</v>
      </c>
      <c r="E12" s="73">
        <f>1*10^-8</f>
        <v>1E-8</v>
      </c>
      <c r="G12" s="74">
        <f>0.0007529*10^-4</f>
        <v>7.5290000000000008E-8</v>
      </c>
      <c r="H12" s="71"/>
      <c r="I12" s="73">
        <f>1*10^-8</f>
        <v>1E-8</v>
      </c>
      <c r="K12" t="s">
        <v>291</v>
      </c>
    </row>
    <row r="13" spans="1:11" x14ac:dyDescent="0.25">
      <c r="A13" s="2" t="s">
        <v>278</v>
      </c>
      <c r="B13" s="77">
        <v>0.61899999999999999</v>
      </c>
      <c r="C13" s="73">
        <v>0.48353000000000002</v>
      </c>
      <c r="D13" s="73">
        <v>0.43753999999999998</v>
      </c>
      <c r="E13" s="73">
        <v>0.11624</v>
      </c>
      <c r="G13" s="72"/>
      <c r="H13" s="71"/>
      <c r="I13" s="72"/>
    </row>
    <row r="14" spans="1:11" x14ac:dyDescent="0.25">
      <c r="A14" s="2" t="s">
        <v>299</v>
      </c>
      <c r="B14" s="78">
        <v>0.625</v>
      </c>
      <c r="C14" s="73">
        <v>0.51400000000000001</v>
      </c>
      <c r="D14" s="73">
        <v>0.46100000000000002</v>
      </c>
      <c r="E14" s="73">
        <v>0.12470000000000001</v>
      </c>
      <c r="G14" s="72" t="s">
        <v>229</v>
      </c>
      <c r="H14" s="71"/>
      <c r="I14" s="72" t="s">
        <v>229</v>
      </c>
    </row>
    <row r="15" spans="1:11" x14ac:dyDescent="0.25">
      <c r="A15" s="2" t="s">
        <v>300</v>
      </c>
      <c r="B15" s="73">
        <v>0.6</v>
      </c>
      <c r="C15" s="73">
        <v>0.15</v>
      </c>
      <c r="D15" s="73">
        <v>7.3599999999999999E-2</v>
      </c>
      <c r="E15" s="73">
        <v>5.1999999999999998E-3</v>
      </c>
      <c r="G15" s="74">
        <v>2.8140000000000001</v>
      </c>
      <c r="H15" s="71"/>
      <c r="I15" s="74">
        <v>3.1819000000000002</v>
      </c>
    </row>
    <row r="16" spans="1:11" x14ac:dyDescent="0.25">
      <c r="A16" s="2" t="s">
        <v>301</v>
      </c>
      <c r="B16" s="75">
        <v>1.2</v>
      </c>
      <c r="C16" s="75">
        <v>0.30690000000000001</v>
      </c>
      <c r="D16" s="75">
        <v>0.14768000000000001</v>
      </c>
      <c r="E16" s="76">
        <v>1.0278000000000001E-2</v>
      </c>
      <c r="F16" s="71"/>
      <c r="G16" s="73">
        <v>-3.1930000000000001</v>
      </c>
      <c r="I16" s="73">
        <v>-3.2724000000000002</v>
      </c>
    </row>
    <row r="17" spans="1:9" x14ac:dyDescent="0.25">
      <c r="A17" s="10" t="s">
        <v>282</v>
      </c>
      <c r="B17" s="30" t="s">
        <v>229</v>
      </c>
      <c r="C17" s="30" t="s">
        <v>229</v>
      </c>
      <c r="D17" s="30" t="s">
        <v>229</v>
      </c>
      <c r="E17" s="54" t="s">
        <v>229</v>
      </c>
      <c r="F17" s="71"/>
      <c r="G17" s="65" t="s">
        <v>229</v>
      </c>
      <c r="I17" s="65" t="s">
        <v>229</v>
      </c>
    </row>
    <row r="18" spans="1:9" x14ac:dyDescent="0.25">
      <c r="A18" s="2" t="s">
        <v>296</v>
      </c>
      <c r="B18" s="30">
        <v>1</v>
      </c>
      <c r="C18" s="30">
        <v>1</v>
      </c>
      <c r="D18" s="30">
        <v>1</v>
      </c>
      <c r="E18" s="54">
        <v>1</v>
      </c>
      <c r="G18" s="72" t="s">
        <v>229</v>
      </c>
      <c r="I18" s="72" t="s">
        <v>229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965C6-6B5A-46A6-983D-D2AD5F134F2A}">
  <sheetPr>
    <tabColor rgb="FFFFFF00"/>
  </sheetPr>
  <dimension ref="A1:R31"/>
  <sheetViews>
    <sheetView zoomScale="145" zoomScaleNormal="145" workbookViewId="0">
      <selection activeCell="D16" sqref="D16"/>
    </sheetView>
  </sheetViews>
  <sheetFormatPr defaultColWidth="8.85546875" defaultRowHeight="15" x14ac:dyDescent="0.25"/>
  <cols>
    <col min="1" max="1" width="14.28515625" customWidth="1"/>
    <col min="2" max="2" width="12.42578125" customWidth="1"/>
    <col min="3" max="3" width="24.140625" customWidth="1"/>
    <col min="8" max="8" width="12.85546875" bestFit="1" customWidth="1"/>
    <col min="19" max="19" width="15" bestFit="1" customWidth="1"/>
    <col min="20" max="20" width="7.28515625" bestFit="1" customWidth="1"/>
    <col min="21" max="21" width="5.42578125" bestFit="1" customWidth="1"/>
    <col min="22" max="24" width="10.42578125" bestFit="1" customWidth="1"/>
    <col min="25" max="25" width="5" bestFit="1" customWidth="1"/>
    <col min="26" max="26" width="6" bestFit="1" customWidth="1"/>
    <col min="27" max="27" width="4" bestFit="1" customWidth="1"/>
  </cols>
  <sheetData>
    <row r="1" spans="1:15" ht="15.75" thickBot="1" x14ac:dyDescent="0.3">
      <c r="A1" s="35" t="s">
        <v>15</v>
      </c>
      <c r="B1" s="35" t="s">
        <v>16</v>
      </c>
      <c r="C1" s="35" t="s">
        <v>17</v>
      </c>
      <c r="D1" s="32" t="s">
        <v>8</v>
      </c>
      <c r="E1" s="9" t="s">
        <v>9</v>
      </c>
      <c r="F1" s="9" t="s">
        <v>10</v>
      </c>
      <c r="G1" s="9" t="s">
        <v>11</v>
      </c>
      <c r="H1" s="9" t="s">
        <v>12</v>
      </c>
      <c r="I1" s="49" t="s">
        <v>219</v>
      </c>
      <c r="J1" s="48" t="s">
        <v>220</v>
      </c>
    </row>
    <row r="2" spans="1:15" x14ac:dyDescent="0.25">
      <c r="A2" s="175" t="s">
        <v>233</v>
      </c>
      <c r="B2" s="176" t="s">
        <v>14</v>
      </c>
      <c r="C2" s="177" t="s">
        <v>518</v>
      </c>
      <c r="D2" s="177">
        <v>1.9</v>
      </c>
      <c r="E2" s="178">
        <v>0.1</v>
      </c>
      <c r="F2" s="179">
        <v>100</v>
      </c>
      <c r="G2" s="8">
        <f>E3</f>
        <v>0.1</v>
      </c>
      <c r="H2" s="180">
        <v>7.44367E-6</v>
      </c>
      <c r="I2" s="181">
        <f>1*10^-15</f>
        <v>1.0000000000000001E-15</v>
      </c>
      <c r="J2" s="182">
        <f>1</f>
        <v>1</v>
      </c>
      <c r="L2">
        <v>1.6</v>
      </c>
      <c r="N2" s="177">
        <v>1.9</v>
      </c>
      <c r="O2" s="177">
        <v>2</v>
      </c>
    </row>
    <row r="3" spans="1:15" x14ac:dyDescent="0.25">
      <c r="A3" s="36" t="s">
        <v>271</v>
      </c>
      <c r="B3" s="38" t="s">
        <v>13</v>
      </c>
      <c r="C3" s="159" t="s">
        <v>386</v>
      </c>
      <c r="D3" s="159">
        <v>1.6</v>
      </c>
      <c r="E3" s="4">
        <v>0.1</v>
      </c>
      <c r="F3" s="8">
        <v>100</v>
      </c>
      <c r="G3" s="8">
        <f>E4</f>
        <v>0.1</v>
      </c>
      <c r="H3" s="47">
        <f>10*10^-7</f>
        <v>9.9999999999999995E-7</v>
      </c>
      <c r="I3" s="30">
        <f t="shared" ref="I3:I8" si="0">1*10^-15</f>
        <v>1.0000000000000001E-15</v>
      </c>
      <c r="J3" s="54">
        <f>1</f>
        <v>1</v>
      </c>
      <c r="L3">
        <v>1.3</v>
      </c>
      <c r="N3" s="159">
        <v>1.6</v>
      </c>
      <c r="O3" s="159">
        <v>2</v>
      </c>
    </row>
    <row r="4" spans="1:15" x14ac:dyDescent="0.25">
      <c r="A4" s="36" t="s">
        <v>306</v>
      </c>
      <c r="B4" s="37" t="s">
        <v>14</v>
      </c>
      <c r="C4" s="160" t="s">
        <v>389</v>
      </c>
      <c r="D4" s="160">
        <v>2.2999999999999998</v>
      </c>
      <c r="E4" s="8">
        <v>0.1</v>
      </c>
      <c r="F4" s="8">
        <v>100</v>
      </c>
      <c r="G4" s="8">
        <f>E5</f>
        <v>0.1</v>
      </c>
      <c r="H4" s="47">
        <v>1.0271499999999999E-4</v>
      </c>
      <c r="I4" s="30">
        <f t="shared" si="0"/>
        <v>1.0000000000000001E-15</v>
      </c>
      <c r="J4" s="54">
        <v>1</v>
      </c>
      <c r="L4">
        <v>2.0499999999999998</v>
      </c>
      <c r="N4" s="160">
        <v>2.35</v>
      </c>
      <c r="O4" s="160">
        <v>2.35</v>
      </c>
    </row>
    <row r="5" spans="1:15" x14ac:dyDescent="0.25">
      <c r="A5" s="36" t="s">
        <v>451</v>
      </c>
      <c r="B5" s="37" t="s">
        <v>14</v>
      </c>
      <c r="C5" s="165" t="s">
        <v>476</v>
      </c>
      <c r="D5" s="165">
        <v>2.2999999999999998</v>
      </c>
      <c r="E5" s="8">
        <v>0.1</v>
      </c>
      <c r="F5" s="8">
        <v>100</v>
      </c>
      <c r="G5" s="8">
        <v>0.1</v>
      </c>
      <c r="H5" s="47">
        <v>2.2339899999999999E-5</v>
      </c>
      <c r="I5" s="30">
        <f t="shared" si="0"/>
        <v>1.0000000000000001E-15</v>
      </c>
      <c r="J5" s="54">
        <v>1</v>
      </c>
      <c r="L5">
        <v>2.0499999999999998</v>
      </c>
      <c r="N5" s="165">
        <v>2.2999999999999998</v>
      </c>
      <c r="O5" s="165">
        <v>2.2999999999999998</v>
      </c>
    </row>
    <row r="6" spans="1:15" x14ac:dyDescent="0.25">
      <c r="A6" s="51" t="s">
        <v>452</v>
      </c>
      <c r="B6" s="37" t="s">
        <v>14</v>
      </c>
      <c r="C6" s="166" t="s">
        <v>477</v>
      </c>
      <c r="D6" s="166">
        <v>0</v>
      </c>
      <c r="E6" s="8">
        <v>0</v>
      </c>
      <c r="F6" s="53">
        <f>D5</f>
        <v>2.2999999999999998</v>
      </c>
      <c r="G6" s="53">
        <f>E5</f>
        <v>0.1</v>
      </c>
      <c r="H6" s="47">
        <f>9.94143*10^-6</f>
        <v>9.9414299999999998E-6</v>
      </c>
      <c r="I6" s="30">
        <f t="shared" si="0"/>
        <v>1.0000000000000001E-15</v>
      </c>
      <c r="J6" s="54">
        <v>1</v>
      </c>
      <c r="L6">
        <v>0</v>
      </c>
      <c r="N6" s="166">
        <v>0</v>
      </c>
      <c r="O6" s="166">
        <v>0</v>
      </c>
    </row>
    <row r="7" spans="1:15" x14ac:dyDescent="0.25">
      <c r="A7" s="151" t="s">
        <v>433</v>
      </c>
      <c r="B7" s="150" t="s">
        <v>14</v>
      </c>
      <c r="C7" s="164" t="s">
        <v>479</v>
      </c>
      <c r="D7" s="164">
        <v>0.85</v>
      </c>
      <c r="E7" s="4">
        <v>0.1</v>
      </c>
      <c r="F7" s="4">
        <v>100</v>
      </c>
      <c r="G7" s="4">
        <v>100</v>
      </c>
      <c r="H7" s="4">
        <f>1.36965*10^-6</f>
        <v>1.3696499999999999E-6</v>
      </c>
      <c r="I7" s="30">
        <f t="shared" si="0"/>
        <v>1.0000000000000001E-15</v>
      </c>
      <c r="J7" s="54">
        <v>1</v>
      </c>
      <c r="L7">
        <v>0.85</v>
      </c>
      <c r="N7" s="164">
        <v>0.85</v>
      </c>
      <c r="O7" s="164">
        <v>0</v>
      </c>
    </row>
    <row r="8" spans="1:15" ht="15.75" thickBot="1" x14ac:dyDescent="0.3">
      <c r="A8" s="152" t="s">
        <v>505</v>
      </c>
      <c r="B8" s="154" t="s">
        <v>506</v>
      </c>
      <c r="C8" s="153" t="s">
        <v>507</v>
      </c>
      <c r="D8" s="161">
        <v>0</v>
      </c>
      <c r="E8" s="34">
        <v>0</v>
      </c>
      <c r="F8" s="34">
        <v>2.2999999999999998</v>
      </c>
      <c r="G8" s="34">
        <v>0.1</v>
      </c>
      <c r="H8" s="158">
        <f>PI()*I9^2*0.25</f>
        <v>2.9711808870866314E-6</v>
      </c>
      <c r="I8" s="148">
        <f t="shared" si="0"/>
        <v>1.0000000000000001E-15</v>
      </c>
      <c r="J8" s="149">
        <v>1</v>
      </c>
      <c r="L8">
        <v>0</v>
      </c>
      <c r="N8" s="161">
        <v>0</v>
      </c>
      <c r="O8" s="161">
        <v>0</v>
      </c>
    </row>
    <row r="9" spans="1:15" x14ac:dyDescent="0.25">
      <c r="D9" s="162"/>
      <c r="I9">
        <v>1.9449999999999999E-3</v>
      </c>
    </row>
    <row r="10" spans="1:15" ht="15.75" thickBot="1" x14ac:dyDescent="0.3">
      <c r="D10" s="163"/>
      <c r="I10">
        <v>4.9779999999999998E-3</v>
      </c>
    </row>
    <row r="11" spans="1:15" ht="15.75" thickBot="1" x14ac:dyDescent="0.3">
      <c r="A11" s="35" t="s">
        <v>15</v>
      </c>
      <c r="B11" s="35" t="s">
        <v>16</v>
      </c>
      <c r="C11" s="35" t="s">
        <v>17</v>
      </c>
      <c r="D11" s="32" t="s">
        <v>8</v>
      </c>
      <c r="E11" s="9" t="s">
        <v>9</v>
      </c>
      <c r="F11" s="9" t="s">
        <v>10</v>
      </c>
      <c r="G11" s="9" t="s">
        <v>11</v>
      </c>
      <c r="H11" s="9" t="s">
        <v>12</v>
      </c>
      <c r="I11" s="49" t="s">
        <v>219</v>
      </c>
      <c r="J11" s="48" t="s">
        <v>220</v>
      </c>
    </row>
    <row r="12" spans="1:15" x14ac:dyDescent="0.25">
      <c r="A12" s="175" t="s">
        <v>233</v>
      </c>
      <c r="B12" s="176" t="s">
        <v>14</v>
      </c>
      <c r="C12" s="177" t="s">
        <v>518</v>
      </c>
      <c r="D12" s="177">
        <v>1.9</v>
      </c>
      <c r="E12" s="178">
        <v>0.1</v>
      </c>
      <c r="F12" s="179">
        <v>100</v>
      </c>
      <c r="G12" s="8">
        <f>E13</f>
        <v>0.1</v>
      </c>
      <c r="H12" s="180">
        <v>7.44367E-6</v>
      </c>
      <c r="I12" s="181">
        <f>1*10^-15</f>
        <v>1.0000000000000001E-15</v>
      </c>
      <c r="J12" s="182">
        <f>1</f>
        <v>1</v>
      </c>
      <c r="L12">
        <v>0</v>
      </c>
      <c r="M12" t="s">
        <v>524</v>
      </c>
    </row>
    <row r="13" spans="1:15" x14ac:dyDescent="0.25">
      <c r="A13" s="36" t="s">
        <v>271</v>
      </c>
      <c r="B13" s="38" t="s">
        <v>13</v>
      </c>
      <c r="C13" s="159" t="s">
        <v>386</v>
      </c>
      <c r="D13" s="159">
        <v>1.6</v>
      </c>
      <c r="E13" s="4">
        <v>0.1</v>
      </c>
      <c r="F13" s="8">
        <v>100</v>
      </c>
      <c r="G13" s="8">
        <f>E14</f>
        <v>0.1</v>
      </c>
      <c r="H13" s="47">
        <f>10*10^-7</f>
        <v>9.9999999999999995E-7</v>
      </c>
      <c r="I13" s="30">
        <f t="shared" ref="I13:I18" si="1">1*10^-15</f>
        <v>1.0000000000000001E-15</v>
      </c>
      <c r="J13" s="54">
        <f>1</f>
        <v>1</v>
      </c>
      <c r="L13">
        <v>1</v>
      </c>
      <c r="M13" t="s">
        <v>525</v>
      </c>
    </row>
    <row r="14" spans="1:15" x14ac:dyDescent="0.25">
      <c r="A14" s="36" t="s">
        <v>306</v>
      </c>
      <c r="B14" s="37" t="s">
        <v>14</v>
      </c>
      <c r="C14" s="160" t="s">
        <v>389</v>
      </c>
      <c r="D14" s="160">
        <v>2.2999999999999998</v>
      </c>
      <c r="E14" s="8">
        <v>0.1</v>
      </c>
      <c r="F14" s="8">
        <v>100</v>
      </c>
      <c r="G14" s="8">
        <f>E15</f>
        <v>0.1</v>
      </c>
      <c r="H14" s="47">
        <v>1.0271499999999999E-4</v>
      </c>
      <c r="I14" s="30">
        <f t="shared" si="1"/>
        <v>1.0000000000000001E-15</v>
      </c>
      <c r="J14" s="54">
        <v>1</v>
      </c>
      <c r="L14">
        <v>2</v>
      </c>
      <c r="M14" t="s">
        <v>526</v>
      </c>
    </row>
    <row r="15" spans="1:15" x14ac:dyDescent="0.25">
      <c r="A15" s="36" t="s">
        <v>451</v>
      </c>
      <c r="B15" s="37" t="s">
        <v>14</v>
      </c>
      <c r="C15" s="165" t="s">
        <v>476</v>
      </c>
      <c r="D15" s="165">
        <v>2.2999999999999998</v>
      </c>
      <c r="E15" s="8">
        <v>0.1</v>
      </c>
      <c r="F15" s="8">
        <v>100</v>
      </c>
      <c r="G15" s="8">
        <v>0.1</v>
      </c>
      <c r="H15" s="47">
        <v>2.2339899999999999E-5</v>
      </c>
      <c r="I15" s="30">
        <f t="shared" si="1"/>
        <v>1.0000000000000001E-15</v>
      </c>
      <c r="J15" s="54">
        <v>1</v>
      </c>
      <c r="L15">
        <v>3</v>
      </c>
      <c r="M15" t="s">
        <v>527</v>
      </c>
    </row>
    <row r="16" spans="1:15" x14ac:dyDescent="0.25">
      <c r="A16" s="51" t="s">
        <v>452</v>
      </c>
      <c r="B16" s="37" t="s">
        <v>14</v>
      </c>
      <c r="C16" s="166" t="s">
        <v>477</v>
      </c>
      <c r="D16" s="166">
        <v>0</v>
      </c>
      <c r="E16" s="8">
        <v>0</v>
      </c>
      <c r="F16" s="53">
        <f>D15</f>
        <v>2.2999999999999998</v>
      </c>
      <c r="G16" s="53">
        <f>E15</f>
        <v>0.1</v>
      </c>
      <c r="H16" s="47">
        <f>9.94143*10^-6</f>
        <v>9.9414299999999998E-6</v>
      </c>
      <c r="I16" s="30">
        <f t="shared" si="1"/>
        <v>1.0000000000000001E-15</v>
      </c>
      <c r="J16" s="54">
        <v>1</v>
      </c>
      <c r="L16">
        <v>4</v>
      </c>
      <c r="M16" t="s">
        <v>528</v>
      </c>
    </row>
    <row r="17" spans="1:18" x14ac:dyDescent="0.25">
      <c r="A17" s="151" t="s">
        <v>433</v>
      </c>
      <c r="B17" s="150" t="s">
        <v>14</v>
      </c>
      <c r="C17" s="164" t="s">
        <v>479</v>
      </c>
      <c r="D17" s="164">
        <v>0.85</v>
      </c>
      <c r="E17" s="4">
        <v>0.1</v>
      </c>
      <c r="F17" s="4">
        <v>100</v>
      </c>
      <c r="G17" s="4">
        <v>100</v>
      </c>
      <c r="H17" s="4">
        <f>1.36965*10^-6</f>
        <v>1.3696499999999999E-6</v>
      </c>
      <c r="I17" s="30">
        <f t="shared" si="1"/>
        <v>1.0000000000000001E-15</v>
      </c>
      <c r="J17" s="54">
        <v>1</v>
      </c>
    </row>
    <row r="18" spans="1:18" ht="15.75" thickBot="1" x14ac:dyDescent="0.3">
      <c r="A18" s="152" t="s">
        <v>505</v>
      </c>
      <c r="B18" s="154" t="s">
        <v>506</v>
      </c>
      <c r="C18" s="153" t="s">
        <v>507</v>
      </c>
      <c r="D18" s="161">
        <v>0</v>
      </c>
      <c r="E18" s="34">
        <v>0</v>
      </c>
      <c r="F18" s="34">
        <v>2.2999999999999998</v>
      </c>
      <c r="G18" s="34">
        <v>0.1</v>
      </c>
      <c r="H18" s="158">
        <f>PI()*I19^2*0.25</f>
        <v>2.9711808870866314E-6</v>
      </c>
      <c r="I18" s="148">
        <f t="shared" si="1"/>
        <v>1.0000000000000001E-15</v>
      </c>
      <c r="J18" s="149">
        <v>1</v>
      </c>
    </row>
    <row r="19" spans="1:18" x14ac:dyDescent="0.25">
      <c r="D19" s="162"/>
      <c r="I19">
        <v>1.9449999999999999E-3</v>
      </c>
      <c r="N19">
        <v>1</v>
      </c>
      <c r="O19">
        <v>0</v>
      </c>
      <c r="P19">
        <v>0</v>
      </c>
    </row>
    <row r="20" spans="1:18" x14ac:dyDescent="0.25">
      <c r="D20" s="163"/>
      <c r="I20">
        <v>4.9779999999999998E-3</v>
      </c>
      <c r="N20">
        <v>0</v>
      </c>
      <c r="O20">
        <v>1</v>
      </c>
      <c r="P20">
        <v>0</v>
      </c>
    </row>
    <row r="21" spans="1:18" ht="15.75" thickBot="1" x14ac:dyDescent="0.3">
      <c r="N21">
        <v>0</v>
      </c>
      <c r="O21">
        <v>0</v>
      </c>
      <c r="P21">
        <v>1</v>
      </c>
    </row>
    <row r="22" spans="1:18" ht="15.75" thickBot="1" x14ac:dyDescent="0.3">
      <c r="A22" s="35" t="s">
        <v>15</v>
      </c>
      <c r="B22" s="35" t="s">
        <v>16</v>
      </c>
      <c r="C22" s="35" t="s">
        <v>17</v>
      </c>
      <c r="D22" s="32" t="s">
        <v>8</v>
      </c>
      <c r="E22" s="9" t="s">
        <v>9</v>
      </c>
      <c r="F22" s="9" t="s">
        <v>10</v>
      </c>
      <c r="G22" s="9" t="s">
        <v>11</v>
      </c>
      <c r="H22" s="9" t="s">
        <v>12</v>
      </c>
      <c r="I22" s="49" t="s">
        <v>219</v>
      </c>
      <c r="J22" s="48" t="s">
        <v>220</v>
      </c>
    </row>
    <row r="23" spans="1:18" x14ac:dyDescent="0.25">
      <c r="A23" s="169" t="s">
        <v>233</v>
      </c>
      <c r="B23" s="170" t="s">
        <v>14</v>
      </c>
      <c r="C23" s="167" t="s">
        <v>518</v>
      </c>
      <c r="D23" s="167">
        <v>3.05</v>
      </c>
      <c r="E23" s="158">
        <v>0.1</v>
      </c>
      <c r="F23" s="171">
        <v>100</v>
      </c>
      <c r="G23" s="158">
        <v>0.1</v>
      </c>
      <c r="H23" s="172">
        <v>7.44367E-6</v>
      </c>
      <c r="I23" s="173">
        <v>1.0000000000000001E-15</v>
      </c>
      <c r="J23" s="174">
        <v>1</v>
      </c>
      <c r="N23">
        <v>1</v>
      </c>
      <c r="O23">
        <v>0</v>
      </c>
      <c r="P23">
        <v>0</v>
      </c>
      <c r="R23">
        <f>16^-1</f>
        <v>6.25E-2</v>
      </c>
    </row>
    <row r="24" spans="1:18" x14ac:dyDescent="0.25">
      <c r="A24" s="36" t="s">
        <v>271</v>
      </c>
      <c r="B24" s="38" t="s">
        <v>13</v>
      </c>
      <c r="C24" s="159" t="s">
        <v>386</v>
      </c>
      <c r="D24" s="159">
        <v>2.2999999999999998</v>
      </c>
      <c r="E24" s="4">
        <v>0.1</v>
      </c>
      <c r="F24" s="8">
        <v>100</v>
      </c>
      <c r="G24" s="4">
        <v>0.1</v>
      </c>
      <c r="H24" s="47">
        <v>9.9999999999999995E-7</v>
      </c>
      <c r="I24" s="30">
        <v>1.0000000000000001E-15</v>
      </c>
      <c r="J24" s="54">
        <v>1</v>
      </c>
      <c r="N24">
        <v>0</v>
      </c>
      <c r="O24">
        <v>1</v>
      </c>
      <c r="P24">
        <v>0</v>
      </c>
    </row>
    <row r="25" spans="1:18" x14ac:dyDescent="0.25">
      <c r="A25" s="36" t="s">
        <v>306</v>
      </c>
      <c r="B25" s="37" t="s">
        <v>14</v>
      </c>
      <c r="C25" s="160" t="s">
        <v>389</v>
      </c>
      <c r="D25" s="160">
        <v>3.53</v>
      </c>
      <c r="E25" s="8">
        <v>0.1</v>
      </c>
      <c r="F25" s="8">
        <v>100</v>
      </c>
      <c r="G25" s="8">
        <v>0.1</v>
      </c>
      <c r="H25" s="47">
        <v>1.0271499999999999E-4</v>
      </c>
      <c r="I25" s="30">
        <v>1.0000000000000001E-15</v>
      </c>
      <c r="J25" s="54">
        <v>1</v>
      </c>
      <c r="N25">
        <v>0</v>
      </c>
      <c r="O25">
        <v>0</v>
      </c>
      <c r="P25">
        <v>1</v>
      </c>
    </row>
    <row r="26" spans="1:18" x14ac:dyDescent="0.25">
      <c r="A26" s="36" t="s">
        <v>451</v>
      </c>
      <c r="B26" s="37" t="s">
        <v>14</v>
      </c>
      <c r="C26" s="165" t="s">
        <v>476</v>
      </c>
      <c r="D26" s="165">
        <v>3.5</v>
      </c>
      <c r="E26" s="8">
        <v>0.1</v>
      </c>
      <c r="F26" s="8">
        <v>100</v>
      </c>
      <c r="G26" s="8">
        <v>0.1</v>
      </c>
      <c r="H26" s="47">
        <v>2.2339899999999999E-5</v>
      </c>
      <c r="I26" s="30">
        <v>1.0000000000000001E-15</v>
      </c>
      <c r="J26" s="54">
        <v>1</v>
      </c>
    </row>
    <row r="27" spans="1:18" x14ac:dyDescent="0.25">
      <c r="A27" s="51" t="s">
        <v>452</v>
      </c>
      <c r="B27" s="37" t="s">
        <v>14</v>
      </c>
      <c r="C27" s="166" t="s">
        <v>477</v>
      </c>
      <c r="D27" s="166">
        <v>0</v>
      </c>
      <c r="E27" s="8">
        <v>0.1</v>
      </c>
      <c r="F27" s="53">
        <v>3.5</v>
      </c>
      <c r="G27" s="53">
        <v>0.1</v>
      </c>
      <c r="H27" s="47">
        <v>9.9414299999999998E-6</v>
      </c>
      <c r="I27" s="30">
        <v>1.0000000000000001E-15</v>
      </c>
      <c r="J27" s="54">
        <v>1</v>
      </c>
    </row>
    <row r="28" spans="1:18" x14ac:dyDescent="0.25">
      <c r="A28" s="151" t="s">
        <v>433</v>
      </c>
      <c r="B28" s="150" t="s">
        <v>14</v>
      </c>
      <c r="C28" s="164" t="s">
        <v>479</v>
      </c>
      <c r="D28" s="164">
        <v>1.85</v>
      </c>
      <c r="E28" s="4">
        <v>0.1</v>
      </c>
      <c r="F28" s="4">
        <v>100</v>
      </c>
      <c r="G28" s="4">
        <v>100</v>
      </c>
      <c r="H28" s="4">
        <v>1.3696499999999999E-6</v>
      </c>
      <c r="I28" s="30">
        <v>1.0000000000000001E-15</v>
      </c>
      <c r="J28" s="54">
        <v>1</v>
      </c>
    </row>
    <row r="29" spans="1:18" ht="15.75" thickBot="1" x14ac:dyDescent="0.3">
      <c r="A29" s="152" t="s">
        <v>505</v>
      </c>
      <c r="B29" s="154" t="s">
        <v>506</v>
      </c>
      <c r="C29" s="153" t="s">
        <v>507</v>
      </c>
      <c r="D29" s="161">
        <v>0</v>
      </c>
      <c r="E29" s="34">
        <v>0</v>
      </c>
      <c r="F29" s="34">
        <v>4.5</v>
      </c>
      <c r="G29" s="34">
        <v>0.1</v>
      </c>
      <c r="H29" s="158">
        <v>2.9711808870866314E-6</v>
      </c>
      <c r="I29" s="148">
        <v>1.0000000000000001E-15</v>
      </c>
      <c r="J29" s="149">
        <v>1</v>
      </c>
    </row>
    <row r="30" spans="1:18" x14ac:dyDescent="0.25">
      <c r="D30" s="162"/>
      <c r="I30">
        <v>1.9449999999999999E-3</v>
      </c>
    </row>
    <row r="31" spans="1:18" x14ac:dyDescent="0.25">
      <c r="D31" s="163"/>
      <c r="I31">
        <v>4.9779999999999998E-3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518E1-D365-42CF-8723-5FE313AB3A26}">
  <sheetPr>
    <tabColor rgb="FF7030A0"/>
  </sheetPr>
  <dimension ref="A1:M24"/>
  <sheetViews>
    <sheetView zoomScale="130" zoomScaleNormal="130" workbookViewId="0">
      <selection activeCell="P11" sqref="P11"/>
    </sheetView>
  </sheetViews>
  <sheetFormatPr defaultColWidth="8.85546875" defaultRowHeight="15" x14ac:dyDescent="0.25"/>
  <cols>
    <col min="2" max="2" width="11" customWidth="1"/>
    <col min="4" max="4" width="2.7109375" customWidth="1"/>
    <col min="7" max="7" width="10.140625" bestFit="1" customWidth="1"/>
  </cols>
  <sheetData>
    <row r="1" spans="1:13" ht="51" customHeight="1" x14ac:dyDescent="0.25">
      <c r="A1" s="187" t="s">
        <v>223</v>
      </c>
      <c r="B1" s="187"/>
      <c r="C1" s="187"/>
      <c r="D1" s="39"/>
      <c r="E1" s="188" t="s">
        <v>230</v>
      </c>
      <c r="F1" s="188"/>
      <c r="G1" s="188"/>
    </row>
    <row r="2" spans="1:13" x14ac:dyDescent="0.25">
      <c r="A2" s="39" t="s">
        <v>222</v>
      </c>
      <c r="B2" s="39" t="s">
        <v>224</v>
      </c>
      <c r="C2" s="39" t="s">
        <v>221</v>
      </c>
      <c r="E2" s="39" t="s">
        <v>222</v>
      </c>
      <c r="F2" s="39" t="s">
        <v>224</v>
      </c>
      <c r="G2" s="39" t="s">
        <v>221</v>
      </c>
      <c r="H2" s="39"/>
      <c r="I2" s="39"/>
      <c r="K2" s="39"/>
      <c r="L2" s="39"/>
      <c r="M2" s="39"/>
    </row>
    <row r="3" spans="1:13" x14ac:dyDescent="0.25">
      <c r="A3">
        <v>55</v>
      </c>
      <c r="B3" s="40">
        <v>0</v>
      </c>
      <c r="C3">
        <v>242230</v>
      </c>
      <c r="E3">
        <v>250</v>
      </c>
      <c r="F3">
        <v>1.0000000000000001E-5</v>
      </c>
      <c r="G3" s="40">
        <v>200000</v>
      </c>
    </row>
    <row r="4" spans="1:13" x14ac:dyDescent="0.25">
      <c r="A4">
        <v>60</v>
      </c>
      <c r="B4" s="40">
        <v>980.66499999999996</v>
      </c>
      <c r="C4">
        <v>238380</v>
      </c>
      <c r="E4">
        <v>275</v>
      </c>
      <c r="F4">
        <v>2.0000000000000002E-5</v>
      </c>
      <c r="G4" s="40">
        <v>200000</v>
      </c>
    </row>
    <row r="5" spans="1:13" x14ac:dyDescent="0.25">
      <c r="A5">
        <v>65</v>
      </c>
      <c r="B5" s="40">
        <v>1961.33</v>
      </c>
      <c r="C5">
        <v>234470</v>
      </c>
      <c r="E5">
        <v>300</v>
      </c>
      <c r="F5">
        <v>3.0000000000000001E-5</v>
      </c>
      <c r="G5" s="40">
        <v>200000</v>
      </c>
    </row>
    <row r="6" spans="1:13" x14ac:dyDescent="0.25">
      <c r="A6">
        <v>70</v>
      </c>
      <c r="B6" s="40">
        <v>5883.9899999999989</v>
      </c>
      <c r="C6">
        <v>230510</v>
      </c>
      <c r="E6">
        <v>350</v>
      </c>
      <c r="F6">
        <v>0.01</v>
      </c>
      <c r="G6" s="40">
        <v>200000</v>
      </c>
    </row>
    <row r="7" spans="1:13" x14ac:dyDescent="0.25">
      <c r="A7">
        <v>75</v>
      </c>
      <c r="B7" s="40">
        <v>14709.974999999999</v>
      </c>
      <c r="C7">
        <v>226480</v>
      </c>
      <c r="E7">
        <v>400</v>
      </c>
      <c r="F7">
        <v>0.1</v>
      </c>
      <c r="G7" s="40">
        <v>200000</v>
      </c>
    </row>
    <row r="8" spans="1:13" x14ac:dyDescent="0.25">
      <c r="A8">
        <v>80</v>
      </c>
      <c r="B8" s="40">
        <v>30400.614999999998</v>
      </c>
      <c r="C8">
        <v>222310</v>
      </c>
      <c r="E8">
        <v>450</v>
      </c>
      <c r="F8">
        <v>0.52</v>
      </c>
      <c r="G8" s="40">
        <v>200000</v>
      </c>
    </row>
    <row r="9" spans="1:13" x14ac:dyDescent="0.25">
      <c r="A9">
        <v>85</v>
      </c>
      <c r="B9" s="40">
        <v>56878.569999999992</v>
      </c>
      <c r="C9">
        <v>217920</v>
      </c>
      <c r="E9">
        <v>500</v>
      </c>
      <c r="F9">
        <v>1.77</v>
      </c>
      <c r="G9" s="40">
        <v>200000</v>
      </c>
    </row>
    <row r="10" spans="1:13" x14ac:dyDescent="0.25">
      <c r="A10">
        <v>90</v>
      </c>
      <c r="B10" s="40">
        <v>99047.164999999994</v>
      </c>
      <c r="C10">
        <v>213240</v>
      </c>
      <c r="E10">
        <v>600</v>
      </c>
      <c r="F10">
        <v>10.4</v>
      </c>
      <c r="G10">
        <v>200000</v>
      </c>
      <c r="H10" s="40"/>
    </row>
    <row r="11" spans="1:13" x14ac:dyDescent="0.25">
      <c r="A11">
        <v>95</v>
      </c>
      <c r="B11" s="40">
        <v>162790.38999999998</v>
      </c>
      <c r="C11">
        <v>208160</v>
      </c>
      <c r="E11">
        <v>650</v>
      </c>
      <c r="F11">
        <v>20.91</v>
      </c>
      <c r="G11">
        <v>0</v>
      </c>
      <c r="H11" s="40"/>
    </row>
    <row r="12" spans="1:13" x14ac:dyDescent="0.25">
      <c r="A12">
        <v>100</v>
      </c>
      <c r="B12" s="40">
        <v>253992.23499999996</v>
      </c>
      <c r="C12">
        <v>202600</v>
      </c>
      <c r="H12" s="40"/>
    </row>
    <row r="13" spans="1:13" x14ac:dyDescent="0.25">
      <c r="A13">
        <v>105</v>
      </c>
      <c r="B13" s="40">
        <v>378536.68999999994</v>
      </c>
      <c r="C13">
        <v>196480</v>
      </c>
      <c r="H13" s="40"/>
    </row>
    <row r="14" spans="1:13" x14ac:dyDescent="0.25">
      <c r="A14">
        <v>110</v>
      </c>
      <c r="B14" s="40">
        <v>543288.40999999992</v>
      </c>
      <c r="C14">
        <v>189700</v>
      </c>
      <c r="H14" s="40"/>
    </row>
    <row r="15" spans="1:13" x14ac:dyDescent="0.25">
      <c r="A15">
        <v>115</v>
      </c>
      <c r="B15" s="40">
        <v>755112.04999999993</v>
      </c>
      <c r="C15">
        <v>182130</v>
      </c>
      <c r="H15" s="40"/>
    </row>
    <row r="16" spans="1:13" x14ac:dyDescent="0.25">
      <c r="A16">
        <v>120</v>
      </c>
      <c r="B16" s="40">
        <v>1021852.9299999999</v>
      </c>
      <c r="C16">
        <v>173660</v>
      </c>
      <c r="H16" s="40"/>
    </row>
    <row r="17" spans="1:8" x14ac:dyDescent="0.25">
      <c r="A17">
        <v>125</v>
      </c>
      <c r="B17" s="40">
        <v>1351356.3699999999</v>
      </c>
      <c r="C17">
        <v>164080</v>
      </c>
      <c r="H17" s="40"/>
    </row>
    <row r="18" spans="1:8" x14ac:dyDescent="0.25">
      <c r="A18">
        <v>130</v>
      </c>
      <c r="B18" s="40">
        <v>1749506.3599999999</v>
      </c>
      <c r="C18">
        <v>153130</v>
      </c>
      <c r="H18" s="40"/>
    </row>
    <row r="19" spans="1:8" x14ac:dyDescent="0.25">
      <c r="A19">
        <v>135</v>
      </c>
      <c r="B19" s="40">
        <v>2225128.8849999998</v>
      </c>
      <c r="C19">
        <v>140390</v>
      </c>
      <c r="H19" s="40"/>
    </row>
    <row r="20" spans="1:8" x14ac:dyDescent="0.25">
      <c r="A20">
        <v>140</v>
      </c>
      <c r="B20" s="40">
        <v>2788030.5949999997</v>
      </c>
      <c r="C20">
        <v>125170</v>
      </c>
      <c r="H20" s="40"/>
    </row>
    <row r="21" spans="1:8" x14ac:dyDescent="0.25">
      <c r="A21">
        <v>145</v>
      </c>
      <c r="B21" s="40">
        <v>3448018.1399999992</v>
      </c>
      <c r="C21">
        <v>106050</v>
      </c>
      <c r="H21" s="40"/>
    </row>
    <row r="22" spans="1:8" x14ac:dyDescent="0.25">
      <c r="A22">
        <v>150</v>
      </c>
      <c r="B22" s="40">
        <v>4218820.83</v>
      </c>
      <c r="C22">
        <v>79233</v>
      </c>
      <c r="H22" s="40"/>
    </row>
    <row r="23" spans="1:8" x14ac:dyDescent="0.25">
      <c r="A23">
        <v>154.58000000000001</v>
      </c>
      <c r="B23" s="40">
        <v>5042579.43</v>
      </c>
      <c r="C23">
        <v>8247.2000000000007</v>
      </c>
      <c r="H23" s="40"/>
    </row>
    <row r="24" spans="1:8" x14ac:dyDescent="0.25">
      <c r="A24">
        <v>154.77000000000001</v>
      </c>
      <c r="B24" s="40">
        <v>5076902.7050000001</v>
      </c>
      <c r="C24">
        <v>0</v>
      </c>
      <c r="H24" s="40"/>
    </row>
  </sheetData>
  <mergeCells count="2">
    <mergeCell ref="A1:C1"/>
    <mergeCell ref="E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69A25-83E0-4402-A931-601A1D825B35}">
  <sheetPr>
    <tabColor rgb="FFFFC000"/>
  </sheetPr>
  <dimension ref="A1:F777"/>
  <sheetViews>
    <sheetView topLeftCell="A244" workbookViewId="0">
      <selection activeCell="E18" sqref="E18"/>
    </sheetView>
  </sheetViews>
  <sheetFormatPr defaultColWidth="8.85546875" defaultRowHeight="15" x14ac:dyDescent="0.25"/>
  <cols>
    <col min="1" max="2" width="8" style="39" bestFit="1" customWidth="1"/>
    <col min="3" max="3" width="12.42578125" style="39" bestFit="1" customWidth="1"/>
    <col min="4" max="4" width="8" style="39" bestFit="1" customWidth="1"/>
  </cols>
  <sheetData>
    <row r="1" spans="1:6" x14ac:dyDescent="0.25">
      <c r="A1" s="4" t="s">
        <v>46</v>
      </c>
      <c r="B1" s="4" t="s">
        <v>1</v>
      </c>
      <c r="C1" s="4" t="s">
        <v>218</v>
      </c>
      <c r="D1" s="33" t="s">
        <v>0</v>
      </c>
      <c r="E1" s="52" t="s">
        <v>305</v>
      </c>
      <c r="F1">
        <v>2.8</v>
      </c>
    </row>
    <row r="2" spans="1:6" x14ac:dyDescent="0.25">
      <c r="A2" s="39">
        <v>100</v>
      </c>
      <c r="B2" s="39">
        <v>326.88</v>
      </c>
      <c r="C2" s="39">
        <v>260.09899999999999</v>
      </c>
      <c r="D2" s="39">
        <v>1.3863700000000001</v>
      </c>
      <c r="E2">
        <v>2008.91</v>
      </c>
    </row>
    <row r="3" spans="1:6" x14ac:dyDescent="0.25">
      <c r="A3" s="39">
        <v>99</v>
      </c>
      <c r="B3" s="39">
        <v>331.47699999999998</v>
      </c>
      <c r="C3" s="39">
        <v>260.10199999999998</v>
      </c>
      <c r="D3" s="39">
        <v>1.38565</v>
      </c>
      <c r="E3">
        <v>2008.79</v>
      </c>
    </row>
    <row r="4" spans="1:6" x14ac:dyDescent="0.25">
      <c r="A4" s="39">
        <v>98</v>
      </c>
      <c r="B4" s="39">
        <v>336.16</v>
      </c>
      <c r="C4" s="39">
        <v>260.10399999999998</v>
      </c>
      <c r="D4" s="39">
        <v>1.3849100000000001</v>
      </c>
      <c r="E4">
        <v>2008.68</v>
      </c>
    </row>
    <row r="5" spans="1:6" x14ac:dyDescent="0.25">
      <c r="A5" s="39">
        <v>97</v>
      </c>
      <c r="B5" s="39">
        <v>340.93299999999999</v>
      </c>
      <c r="C5" s="39">
        <v>260.10700000000003</v>
      </c>
      <c r="D5" s="39">
        <v>1.3841300000000001</v>
      </c>
      <c r="E5">
        <v>2008.56</v>
      </c>
    </row>
    <row r="6" spans="1:6" x14ac:dyDescent="0.25">
      <c r="A6" s="39">
        <v>96</v>
      </c>
      <c r="B6" s="39">
        <v>345.79500000000002</v>
      </c>
      <c r="C6" s="39">
        <v>260.11</v>
      </c>
      <c r="D6" s="39">
        <v>1.3833299999999999</v>
      </c>
      <c r="E6">
        <v>2008.44</v>
      </c>
    </row>
    <row r="7" spans="1:6" x14ac:dyDescent="0.25">
      <c r="A7" s="39">
        <v>95</v>
      </c>
      <c r="B7" s="39">
        <v>350.75099999999998</v>
      </c>
      <c r="C7" s="39">
        <v>260.11200000000002</v>
      </c>
      <c r="D7" s="39">
        <v>1.38249</v>
      </c>
      <c r="E7">
        <v>2008.32</v>
      </c>
    </row>
    <row r="8" spans="1:6" x14ac:dyDescent="0.25">
      <c r="A8" s="39">
        <v>94</v>
      </c>
      <c r="B8" s="39">
        <v>355.79899999999998</v>
      </c>
      <c r="C8" s="39">
        <v>260.11500000000001</v>
      </c>
      <c r="D8" s="39">
        <v>1.3816299999999999</v>
      </c>
      <c r="E8">
        <v>2008.2</v>
      </c>
    </row>
    <row r="9" spans="1:6" x14ac:dyDescent="0.25">
      <c r="A9" s="39">
        <v>93</v>
      </c>
      <c r="B9" s="39">
        <v>360.94900000000001</v>
      </c>
      <c r="C9" s="39">
        <v>260.11799999999999</v>
      </c>
      <c r="D9" s="39">
        <v>1.3807400000000001</v>
      </c>
      <c r="E9">
        <v>2008.08</v>
      </c>
    </row>
    <row r="10" spans="1:6" x14ac:dyDescent="0.25">
      <c r="A10" s="39">
        <v>92</v>
      </c>
      <c r="B10" s="39">
        <v>366.19900000000001</v>
      </c>
      <c r="C10" s="39">
        <v>260.12099999999998</v>
      </c>
      <c r="D10" s="39">
        <v>1.37982</v>
      </c>
      <c r="E10">
        <v>2007.95</v>
      </c>
    </row>
    <row r="11" spans="1:6" x14ac:dyDescent="0.25">
      <c r="A11" s="39">
        <v>91</v>
      </c>
      <c r="B11" s="39">
        <v>371.553</v>
      </c>
      <c r="C11" s="39">
        <v>260.12400000000002</v>
      </c>
      <c r="D11" s="39">
        <v>1.3788800000000001</v>
      </c>
      <c r="E11">
        <v>2007.83</v>
      </c>
    </row>
    <row r="12" spans="1:6" x14ac:dyDescent="0.25">
      <c r="A12" s="39">
        <v>90</v>
      </c>
      <c r="B12" s="39">
        <v>377.01100000000002</v>
      </c>
      <c r="C12" s="39">
        <v>260.12700000000001</v>
      </c>
      <c r="D12" s="39">
        <v>1.3778999999999999</v>
      </c>
      <c r="E12">
        <v>2007.7</v>
      </c>
    </row>
    <row r="13" spans="1:6" x14ac:dyDescent="0.25">
      <c r="A13" s="39">
        <v>89</v>
      </c>
      <c r="B13" s="39">
        <v>382.58100000000002</v>
      </c>
      <c r="C13" s="39">
        <v>260.13</v>
      </c>
      <c r="D13" s="39">
        <v>1.3769</v>
      </c>
      <c r="E13">
        <v>2007.57</v>
      </c>
    </row>
    <row r="14" spans="1:6" x14ac:dyDescent="0.25">
      <c r="A14" s="39">
        <v>88</v>
      </c>
      <c r="B14" s="39">
        <v>388.267</v>
      </c>
      <c r="C14" s="39">
        <v>260.13400000000001</v>
      </c>
      <c r="D14" s="39">
        <v>1.3758699999999999</v>
      </c>
      <c r="E14">
        <v>2007.44</v>
      </c>
    </row>
    <row r="15" spans="1:6" x14ac:dyDescent="0.25">
      <c r="A15" s="39">
        <v>87</v>
      </c>
      <c r="B15" s="39">
        <v>394.06299999999999</v>
      </c>
      <c r="C15" s="39">
        <v>260.137</v>
      </c>
      <c r="D15" s="39">
        <v>1.3748199999999999</v>
      </c>
      <c r="E15">
        <v>2007.31</v>
      </c>
    </row>
    <row r="16" spans="1:6" x14ac:dyDescent="0.25">
      <c r="A16" s="39">
        <v>86</v>
      </c>
      <c r="B16" s="39">
        <v>399.98700000000002</v>
      </c>
      <c r="C16" s="39">
        <v>260.14</v>
      </c>
      <c r="D16" s="39">
        <v>1.37374</v>
      </c>
      <c r="E16">
        <v>2007.18</v>
      </c>
    </row>
    <row r="17" spans="1:5" x14ac:dyDescent="0.25">
      <c r="A17" s="39">
        <v>85</v>
      </c>
      <c r="B17" s="39">
        <v>406.02800000000002</v>
      </c>
      <c r="C17" s="39">
        <v>260.14400000000001</v>
      </c>
      <c r="D17" s="39">
        <v>1.3726400000000001</v>
      </c>
      <c r="E17">
        <v>2007.05</v>
      </c>
    </row>
    <row r="18" spans="1:5" x14ac:dyDescent="0.25">
      <c r="A18" s="39">
        <v>84</v>
      </c>
      <c r="B18" s="39">
        <v>412.19900000000001</v>
      </c>
      <c r="C18" s="39">
        <v>260.14699999999999</v>
      </c>
      <c r="D18" s="39">
        <v>1.37151</v>
      </c>
      <c r="E18">
        <v>2006.91</v>
      </c>
    </row>
    <row r="19" spans="1:5" x14ac:dyDescent="0.25">
      <c r="A19" s="39">
        <v>83</v>
      </c>
      <c r="B19" s="39">
        <v>418.50400000000002</v>
      </c>
      <c r="C19" s="39">
        <v>260.15100000000001</v>
      </c>
      <c r="D19" s="39">
        <v>1.37036</v>
      </c>
      <c r="E19">
        <v>2006.77</v>
      </c>
    </row>
    <row r="20" spans="1:5" x14ac:dyDescent="0.25">
      <c r="A20" s="39">
        <v>82</v>
      </c>
      <c r="B20" s="39">
        <v>424.94099999999997</v>
      </c>
      <c r="C20" s="39">
        <v>260.15499999999997</v>
      </c>
      <c r="D20" s="39">
        <v>1.3691800000000001</v>
      </c>
      <c r="E20">
        <v>2006.63</v>
      </c>
    </row>
    <row r="21" spans="1:5" x14ac:dyDescent="0.25">
      <c r="A21" s="39">
        <v>81</v>
      </c>
      <c r="B21" s="39">
        <v>431.51799999999997</v>
      </c>
      <c r="C21" s="39">
        <v>260.15800000000002</v>
      </c>
      <c r="D21" s="39">
        <v>1.36798</v>
      </c>
      <c r="E21">
        <v>2006.49</v>
      </c>
    </row>
    <row r="22" spans="1:5" x14ac:dyDescent="0.25">
      <c r="A22" s="39">
        <v>80</v>
      </c>
      <c r="B22" s="39">
        <v>438.24400000000003</v>
      </c>
      <c r="C22" s="39">
        <v>260.16199999999998</v>
      </c>
      <c r="D22" s="39">
        <v>1.3667499999999999</v>
      </c>
      <c r="E22">
        <v>2006.35</v>
      </c>
    </row>
    <row r="23" spans="1:5" x14ac:dyDescent="0.25">
      <c r="A23" s="39">
        <v>79</v>
      </c>
      <c r="B23" s="39">
        <v>445.11599999999999</v>
      </c>
      <c r="C23" s="39">
        <v>260.166</v>
      </c>
      <c r="D23" s="39">
        <v>1.3654999999999999</v>
      </c>
      <c r="E23">
        <v>2006.21</v>
      </c>
    </row>
    <row r="24" spans="1:5" x14ac:dyDescent="0.25">
      <c r="A24" s="39">
        <v>78</v>
      </c>
      <c r="B24" s="39">
        <v>452.14299999999997</v>
      </c>
      <c r="C24" s="39">
        <v>260.17</v>
      </c>
      <c r="D24" s="39">
        <v>1.3642300000000001</v>
      </c>
      <c r="E24">
        <v>2006.06</v>
      </c>
    </row>
    <row r="25" spans="1:5" x14ac:dyDescent="0.25">
      <c r="A25" s="39">
        <v>77</v>
      </c>
      <c r="B25" s="39">
        <v>459.33100000000002</v>
      </c>
      <c r="C25" s="39">
        <v>260.17500000000001</v>
      </c>
      <c r="D25" s="39">
        <v>1.36294</v>
      </c>
      <c r="E25">
        <v>2005.92</v>
      </c>
    </row>
    <row r="26" spans="1:5" x14ac:dyDescent="0.25">
      <c r="A26" s="39">
        <v>76</v>
      </c>
      <c r="B26" s="39">
        <v>466.685</v>
      </c>
      <c r="C26" s="39">
        <v>260.17899999999997</v>
      </c>
      <c r="D26" s="39">
        <v>1.3616200000000001</v>
      </c>
      <c r="E26">
        <v>2005.77</v>
      </c>
    </row>
    <row r="27" spans="1:5" x14ac:dyDescent="0.25">
      <c r="A27" s="39">
        <v>75</v>
      </c>
      <c r="B27" s="39">
        <v>474.21</v>
      </c>
      <c r="C27" s="39">
        <v>260.18299999999999</v>
      </c>
      <c r="D27" s="39">
        <v>1.3602799999999999</v>
      </c>
      <c r="E27">
        <v>2005.61</v>
      </c>
    </row>
    <row r="28" spans="1:5" x14ac:dyDescent="0.25">
      <c r="A28" s="39">
        <v>74</v>
      </c>
      <c r="B28" s="39">
        <v>481.911</v>
      </c>
      <c r="C28" s="39">
        <v>260.18799999999999</v>
      </c>
      <c r="D28" s="39">
        <v>1.3589199999999999</v>
      </c>
      <c r="E28">
        <v>2005.46</v>
      </c>
    </row>
    <row r="29" spans="1:5" x14ac:dyDescent="0.25">
      <c r="A29" s="39">
        <v>73</v>
      </c>
      <c r="B29" s="39">
        <v>489.798</v>
      </c>
      <c r="C29" s="39">
        <v>260.19299999999998</v>
      </c>
      <c r="D29" s="39">
        <v>1.35754</v>
      </c>
      <c r="E29">
        <v>2005.31</v>
      </c>
    </row>
    <row r="30" spans="1:5" x14ac:dyDescent="0.25">
      <c r="A30" s="39">
        <v>72</v>
      </c>
      <c r="B30" s="39">
        <v>497.87400000000002</v>
      </c>
      <c r="C30" s="39">
        <v>260.197</v>
      </c>
      <c r="D30" s="39">
        <v>1.3561399999999999</v>
      </c>
      <c r="E30">
        <v>2005.15</v>
      </c>
    </row>
    <row r="31" spans="1:5" x14ac:dyDescent="0.25">
      <c r="A31" s="39">
        <v>71</v>
      </c>
      <c r="B31" s="39">
        <v>506.15</v>
      </c>
      <c r="C31" s="39">
        <v>260.202</v>
      </c>
      <c r="D31" s="39">
        <v>1.3547100000000001</v>
      </c>
      <c r="E31">
        <v>2004.99</v>
      </c>
    </row>
    <row r="32" spans="1:5" x14ac:dyDescent="0.25">
      <c r="A32" s="39">
        <v>70</v>
      </c>
      <c r="B32" s="39">
        <v>514.62900000000002</v>
      </c>
      <c r="C32" s="39">
        <v>260.20699999999999</v>
      </c>
      <c r="D32" s="39">
        <v>1.35327</v>
      </c>
      <c r="E32">
        <v>2004.83</v>
      </c>
    </row>
    <row r="33" spans="1:5" x14ac:dyDescent="0.25">
      <c r="A33" s="39">
        <v>69</v>
      </c>
      <c r="B33" s="39">
        <v>523.322</v>
      </c>
      <c r="C33" s="39">
        <v>260.21300000000002</v>
      </c>
      <c r="D33" s="39">
        <v>1.3517999999999999</v>
      </c>
      <c r="E33">
        <v>2004.66</v>
      </c>
    </row>
    <row r="34" spans="1:5" x14ac:dyDescent="0.25">
      <c r="A34" s="39">
        <v>68</v>
      </c>
      <c r="B34" s="39">
        <v>532.23900000000003</v>
      </c>
      <c r="C34" s="39">
        <v>260.21800000000002</v>
      </c>
      <c r="D34" s="39">
        <v>1.35032</v>
      </c>
      <c r="E34">
        <v>2004.5</v>
      </c>
    </row>
    <row r="35" spans="1:5" x14ac:dyDescent="0.25">
      <c r="A35" s="39">
        <v>67</v>
      </c>
      <c r="B35" s="39">
        <v>541.38300000000004</v>
      </c>
      <c r="C35" s="39">
        <v>260.22300000000001</v>
      </c>
      <c r="D35" s="39">
        <v>1.3488199999999999</v>
      </c>
      <c r="E35">
        <v>2004.33</v>
      </c>
    </row>
    <row r="36" spans="1:5" x14ac:dyDescent="0.25">
      <c r="A36" s="39">
        <v>66</v>
      </c>
      <c r="B36" s="39">
        <v>550.76900000000001</v>
      </c>
      <c r="C36" s="39">
        <v>260.22899999999998</v>
      </c>
      <c r="D36" s="39">
        <v>1.3472900000000001</v>
      </c>
      <c r="E36">
        <v>2004.16</v>
      </c>
    </row>
    <row r="37" spans="1:5" x14ac:dyDescent="0.25">
      <c r="A37" s="39">
        <v>65</v>
      </c>
      <c r="B37" s="39">
        <v>560.40099999999995</v>
      </c>
      <c r="C37" s="39">
        <v>260.23500000000001</v>
      </c>
      <c r="D37" s="39">
        <v>1.34575</v>
      </c>
      <c r="E37">
        <v>2003.98</v>
      </c>
    </row>
    <row r="38" spans="1:5" x14ac:dyDescent="0.25">
      <c r="A38" s="39">
        <v>64</v>
      </c>
      <c r="B38" s="39">
        <v>570.29499999999996</v>
      </c>
      <c r="C38" s="39">
        <v>260.24099999999999</v>
      </c>
      <c r="D38" s="39">
        <v>1.34419</v>
      </c>
      <c r="E38">
        <v>2003.8</v>
      </c>
    </row>
    <row r="39" spans="1:5" x14ac:dyDescent="0.25">
      <c r="A39" s="39">
        <v>63</v>
      </c>
      <c r="B39" s="39">
        <v>580.46100000000001</v>
      </c>
      <c r="C39" s="39">
        <v>260.24700000000001</v>
      </c>
      <c r="D39" s="39">
        <v>1.3426100000000001</v>
      </c>
      <c r="E39">
        <v>2003.63</v>
      </c>
    </row>
    <row r="40" spans="1:5" x14ac:dyDescent="0.25">
      <c r="A40" s="39">
        <v>62</v>
      </c>
      <c r="B40" s="39">
        <v>590.90800000000002</v>
      </c>
      <c r="C40" s="39">
        <v>260.25400000000002</v>
      </c>
      <c r="D40" s="39">
        <v>1.34101</v>
      </c>
      <c r="E40">
        <v>2003.44</v>
      </c>
    </row>
    <row r="41" spans="1:5" x14ac:dyDescent="0.25">
      <c r="A41" s="39">
        <v>61</v>
      </c>
      <c r="B41" s="39">
        <v>601.65</v>
      </c>
      <c r="C41" s="39">
        <v>260.26</v>
      </c>
      <c r="D41" s="39">
        <v>1.3393900000000001</v>
      </c>
      <c r="E41">
        <v>2003.26</v>
      </c>
    </row>
    <row r="42" spans="1:5" x14ac:dyDescent="0.25">
      <c r="A42" s="39">
        <v>60</v>
      </c>
      <c r="B42" s="39">
        <v>612.70000000000005</v>
      </c>
      <c r="C42" s="39">
        <v>260.267</v>
      </c>
      <c r="D42" s="39">
        <v>1.3377600000000001</v>
      </c>
      <c r="E42">
        <v>2003.07</v>
      </c>
    </row>
    <row r="43" spans="1:5" x14ac:dyDescent="0.25">
      <c r="A43" s="39">
        <v>59</v>
      </c>
      <c r="B43" s="39">
        <v>624.07600000000002</v>
      </c>
      <c r="C43" s="39">
        <v>260.274</v>
      </c>
      <c r="D43" s="39">
        <v>1.3361099999999999</v>
      </c>
      <c r="E43">
        <v>2002.88</v>
      </c>
    </row>
    <row r="44" spans="1:5" x14ac:dyDescent="0.25">
      <c r="A44" s="39">
        <v>58</v>
      </c>
      <c r="B44" s="39">
        <v>635.78700000000003</v>
      </c>
      <c r="C44" s="39">
        <v>260.28199999999998</v>
      </c>
      <c r="D44" s="39">
        <v>1.3344400000000001</v>
      </c>
      <c r="E44">
        <v>2002.68</v>
      </c>
    </row>
    <row r="45" spans="1:5" x14ac:dyDescent="0.25">
      <c r="A45" s="39">
        <v>57</v>
      </c>
      <c r="B45" s="39">
        <v>647.84900000000005</v>
      </c>
      <c r="C45" s="39">
        <v>260.28899999999999</v>
      </c>
      <c r="D45" s="39">
        <v>1.3327500000000001</v>
      </c>
      <c r="E45">
        <v>2002.49</v>
      </c>
    </row>
    <row r="46" spans="1:5" x14ac:dyDescent="0.25">
      <c r="A46" s="39">
        <v>56</v>
      </c>
      <c r="B46" s="39">
        <v>660.28200000000004</v>
      </c>
      <c r="C46" s="39">
        <v>260.29700000000003</v>
      </c>
      <c r="D46" s="39">
        <v>1.3310500000000001</v>
      </c>
      <c r="E46">
        <v>2002.28</v>
      </c>
    </row>
    <row r="47" spans="1:5" x14ac:dyDescent="0.25">
      <c r="A47" s="39">
        <v>55</v>
      </c>
      <c r="B47" s="39">
        <v>673.09900000000005</v>
      </c>
      <c r="C47" s="39">
        <v>260.30500000000001</v>
      </c>
      <c r="D47" s="39">
        <v>1.3293299999999999</v>
      </c>
      <c r="E47">
        <v>2002.08</v>
      </c>
    </row>
    <row r="48" spans="1:5" x14ac:dyDescent="0.25">
      <c r="A48" s="39">
        <v>54</v>
      </c>
      <c r="B48" s="39">
        <v>686.327</v>
      </c>
      <c r="C48" s="39">
        <v>260.31400000000002</v>
      </c>
      <c r="D48" s="39">
        <v>1.32759</v>
      </c>
      <c r="E48">
        <v>2001.87</v>
      </c>
    </row>
    <row r="49" spans="1:5" x14ac:dyDescent="0.25">
      <c r="A49" s="39">
        <v>53</v>
      </c>
      <c r="B49" s="39">
        <v>699.98199999999997</v>
      </c>
      <c r="C49" s="39">
        <v>260.322</v>
      </c>
      <c r="D49" s="39">
        <v>1.3258399999999999</v>
      </c>
      <c r="E49">
        <v>2001.66</v>
      </c>
    </row>
    <row r="50" spans="1:5" x14ac:dyDescent="0.25">
      <c r="A50" s="39">
        <v>52</v>
      </c>
      <c r="B50" s="39">
        <v>714.08699999999999</v>
      </c>
      <c r="C50" s="39">
        <v>260.33100000000002</v>
      </c>
      <c r="D50" s="39">
        <v>1.3240700000000001</v>
      </c>
      <c r="E50">
        <v>2001.44</v>
      </c>
    </row>
    <row r="51" spans="1:5" x14ac:dyDescent="0.25">
      <c r="A51" s="39">
        <v>51</v>
      </c>
      <c r="B51" s="39">
        <v>728.66700000000003</v>
      </c>
      <c r="C51" s="39">
        <v>260.34100000000001</v>
      </c>
      <c r="D51" s="39">
        <v>1.3222799999999999</v>
      </c>
      <c r="E51">
        <v>2001.22</v>
      </c>
    </row>
    <row r="52" spans="1:5" x14ac:dyDescent="0.25">
      <c r="A52" s="39">
        <v>50</v>
      </c>
      <c r="B52" s="39">
        <v>743.74099999999999</v>
      </c>
      <c r="C52" s="39">
        <v>260.35000000000002</v>
      </c>
      <c r="D52" s="39">
        <v>1.3204800000000001</v>
      </c>
      <c r="E52">
        <v>2001</v>
      </c>
    </row>
    <row r="53" spans="1:5" x14ac:dyDescent="0.25">
      <c r="A53" s="39">
        <v>49</v>
      </c>
      <c r="B53" s="39">
        <v>759.346</v>
      </c>
      <c r="C53" s="39">
        <v>260.36099999999999</v>
      </c>
      <c r="D53" s="39">
        <v>1.31867</v>
      </c>
      <c r="E53">
        <v>2000.77</v>
      </c>
    </row>
    <row r="54" spans="1:5" x14ac:dyDescent="0.25">
      <c r="A54" s="39">
        <v>48</v>
      </c>
      <c r="B54" s="39">
        <v>775.50699999999995</v>
      </c>
      <c r="C54" s="39">
        <v>260.37099999999998</v>
      </c>
      <c r="D54" s="39">
        <v>1.3168299999999999</v>
      </c>
      <c r="E54">
        <v>2000.53</v>
      </c>
    </row>
    <row r="55" spans="1:5" x14ac:dyDescent="0.25">
      <c r="A55" s="39">
        <v>47</v>
      </c>
      <c r="B55" s="39">
        <v>792.25099999999998</v>
      </c>
      <c r="C55" s="39">
        <v>260.38200000000001</v>
      </c>
      <c r="D55" s="39">
        <v>1.3149900000000001</v>
      </c>
      <c r="E55">
        <v>2000.29</v>
      </c>
    </row>
    <row r="56" spans="1:5" x14ac:dyDescent="0.25">
      <c r="A56" s="39">
        <v>46</v>
      </c>
      <c r="B56" s="39">
        <v>809.62099999999998</v>
      </c>
      <c r="C56" s="39">
        <v>260.39400000000001</v>
      </c>
      <c r="D56" s="39">
        <v>1.3131299999999999</v>
      </c>
      <c r="E56">
        <v>2000.05</v>
      </c>
    </row>
    <row r="57" spans="1:5" x14ac:dyDescent="0.25">
      <c r="A57" s="39">
        <v>45</v>
      </c>
      <c r="B57" s="39">
        <v>827.64700000000005</v>
      </c>
      <c r="C57" s="39">
        <v>260.40600000000001</v>
      </c>
      <c r="D57" s="39">
        <v>1.31125</v>
      </c>
      <c r="E57">
        <v>1999.8</v>
      </c>
    </row>
    <row r="58" spans="1:5" x14ac:dyDescent="0.25">
      <c r="A58" s="39">
        <v>44</v>
      </c>
      <c r="B58" s="39">
        <v>846.375</v>
      </c>
      <c r="C58" s="39">
        <v>260.41800000000001</v>
      </c>
      <c r="D58" s="39">
        <v>1.30935</v>
      </c>
      <c r="E58">
        <v>1999.55</v>
      </c>
    </row>
    <row r="59" spans="1:5" x14ac:dyDescent="0.25">
      <c r="A59" s="39">
        <v>43</v>
      </c>
      <c r="B59" s="39">
        <v>865.846</v>
      </c>
      <c r="C59" s="39">
        <v>260.43099999999998</v>
      </c>
      <c r="D59" s="39">
        <v>1.30745</v>
      </c>
      <c r="E59">
        <v>1999.29</v>
      </c>
    </row>
    <row r="60" spans="1:5" x14ac:dyDescent="0.25">
      <c r="A60" s="39">
        <v>42</v>
      </c>
      <c r="B60" s="39">
        <v>886.10500000000002</v>
      </c>
      <c r="C60" s="39">
        <v>260.44499999999999</v>
      </c>
      <c r="D60" s="39">
        <v>1.30552</v>
      </c>
      <c r="E60">
        <v>1999.02</v>
      </c>
    </row>
    <row r="61" spans="1:5" x14ac:dyDescent="0.25">
      <c r="A61" s="39">
        <v>41</v>
      </c>
      <c r="B61" s="39">
        <v>907.20799999999997</v>
      </c>
      <c r="C61" s="39">
        <v>260.459</v>
      </c>
      <c r="D61" s="39">
        <v>1.30358</v>
      </c>
      <c r="E61">
        <v>1998.75</v>
      </c>
    </row>
    <row r="62" spans="1:5" x14ac:dyDescent="0.25">
      <c r="A62" s="39">
        <v>40</v>
      </c>
      <c r="B62" s="39">
        <v>929.20899999999995</v>
      </c>
      <c r="C62" s="39">
        <v>260.47399999999999</v>
      </c>
      <c r="D62" s="39">
        <v>1.3016300000000001</v>
      </c>
      <c r="E62">
        <v>1998.47</v>
      </c>
    </row>
    <row r="63" spans="1:5" x14ac:dyDescent="0.25">
      <c r="A63" s="39">
        <v>39</v>
      </c>
      <c r="B63" s="39">
        <v>952.17399999999998</v>
      </c>
      <c r="C63" s="39">
        <v>260.49</v>
      </c>
      <c r="D63" s="39">
        <v>1.29966</v>
      </c>
      <c r="E63">
        <v>1998.18</v>
      </c>
    </row>
    <row r="64" spans="1:5" x14ac:dyDescent="0.25">
      <c r="A64" s="39">
        <v>38</v>
      </c>
      <c r="B64" s="39">
        <v>976.16399999999999</v>
      </c>
      <c r="C64" s="39">
        <v>260.50700000000001</v>
      </c>
      <c r="D64" s="39">
        <v>1.2976700000000001</v>
      </c>
      <c r="E64">
        <v>1997.89</v>
      </c>
    </row>
    <row r="65" spans="1:5" x14ac:dyDescent="0.25">
      <c r="A65" s="39">
        <v>37</v>
      </c>
      <c r="B65" s="39">
        <v>1001.26</v>
      </c>
      <c r="C65" s="39">
        <v>260.524</v>
      </c>
      <c r="D65" s="39">
        <v>1.2956700000000001</v>
      </c>
      <c r="E65">
        <v>1997.59</v>
      </c>
    </row>
    <row r="66" spans="1:5" x14ac:dyDescent="0.25">
      <c r="A66" s="39">
        <v>36</v>
      </c>
      <c r="B66" s="39">
        <v>1027.54</v>
      </c>
      <c r="C66" s="39">
        <v>260.54300000000001</v>
      </c>
      <c r="D66" s="39">
        <v>1.29365</v>
      </c>
      <c r="E66">
        <v>1997.28</v>
      </c>
    </row>
    <row r="67" spans="1:5" x14ac:dyDescent="0.25">
      <c r="A67" s="39">
        <v>35</v>
      </c>
      <c r="B67" s="39">
        <v>1055.0899999999999</v>
      </c>
      <c r="C67" s="39">
        <v>260.56200000000001</v>
      </c>
      <c r="D67" s="39">
        <v>1.2916099999999999</v>
      </c>
      <c r="E67">
        <v>1996.96</v>
      </c>
    </row>
    <row r="68" spans="1:5" x14ac:dyDescent="0.25">
      <c r="A68" s="39">
        <v>34</v>
      </c>
      <c r="B68" s="39">
        <v>1084.02</v>
      </c>
      <c r="C68" s="39">
        <v>260.58300000000003</v>
      </c>
      <c r="D68" s="39">
        <v>1.28955</v>
      </c>
      <c r="E68">
        <v>1996.63</v>
      </c>
    </row>
    <row r="69" spans="1:5" x14ac:dyDescent="0.25">
      <c r="A69" s="39">
        <v>33</v>
      </c>
      <c r="B69" s="39">
        <v>1114.44</v>
      </c>
      <c r="C69" s="39">
        <v>260.60399999999998</v>
      </c>
      <c r="D69" s="39">
        <v>1.2874699999999999</v>
      </c>
      <c r="E69">
        <v>1996.3</v>
      </c>
    </row>
    <row r="70" spans="1:5" x14ac:dyDescent="0.25">
      <c r="A70" s="39">
        <v>32</v>
      </c>
      <c r="B70" s="39">
        <v>1146.46</v>
      </c>
      <c r="C70" s="39">
        <v>260.62799999999999</v>
      </c>
      <c r="D70" s="39">
        <v>1.2853699999999999</v>
      </c>
      <c r="E70">
        <v>1995.95</v>
      </c>
    </row>
    <row r="71" spans="1:5" x14ac:dyDescent="0.25">
      <c r="A71" s="39">
        <v>31</v>
      </c>
      <c r="B71" s="39">
        <v>1180.23</v>
      </c>
      <c r="C71" s="39">
        <v>260.65199999999999</v>
      </c>
      <c r="D71" s="39">
        <v>1.2832399999999999</v>
      </c>
      <c r="E71">
        <v>1995.59</v>
      </c>
    </row>
    <row r="72" spans="1:5" x14ac:dyDescent="0.25">
      <c r="A72" s="39">
        <v>30</v>
      </c>
      <c r="B72" s="39">
        <v>1215.9100000000001</v>
      </c>
      <c r="C72" s="39">
        <v>260.678</v>
      </c>
      <c r="D72" s="39">
        <v>1.28108</v>
      </c>
      <c r="E72">
        <v>1995.22</v>
      </c>
    </row>
    <row r="73" spans="1:5" x14ac:dyDescent="0.25">
      <c r="A73" s="39">
        <v>29</v>
      </c>
      <c r="B73" s="39">
        <v>1253.6500000000001</v>
      </c>
      <c r="C73" s="39">
        <v>260.70600000000002</v>
      </c>
      <c r="D73" s="39">
        <v>1.27888</v>
      </c>
      <c r="E73">
        <v>1994.84</v>
      </c>
    </row>
    <row r="74" spans="1:5" x14ac:dyDescent="0.25">
      <c r="A74" s="39">
        <v>28</v>
      </c>
      <c r="B74" s="39">
        <v>1293.6600000000001</v>
      </c>
      <c r="C74" s="39">
        <v>260.73599999999999</v>
      </c>
      <c r="D74" s="39">
        <v>1.2766500000000001</v>
      </c>
      <c r="E74">
        <v>1994.45</v>
      </c>
    </row>
    <row r="75" spans="1:5" x14ac:dyDescent="0.25">
      <c r="A75" s="39">
        <v>27</v>
      </c>
      <c r="B75" s="39">
        <v>1336.14</v>
      </c>
      <c r="C75" s="39">
        <v>260.76799999999997</v>
      </c>
      <c r="D75" s="39">
        <v>1.27437</v>
      </c>
      <c r="E75">
        <v>1994.04</v>
      </c>
    </row>
    <row r="76" spans="1:5" x14ac:dyDescent="0.25">
      <c r="A76" s="39">
        <v>26</v>
      </c>
      <c r="B76" s="39">
        <v>1381.36</v>
      </c>
      <c r="C76" s="39">
        <v>260.803</v>
      </c>
      <c r="D76" s="39">
        <v>1.27203</v>
      </c>
      <c r="E76">
        <v>1993.62</v>
      </c>
    </row>
    <row r="77" spans="1:5" x14ac:dyDescent="0.25">
      <c r="A77" s="39">
        <v>25</v>
      </c>
      <c r="B77" s="39">
        <v>1429.57</v>
      </c>
      <c r="C77" s="39">
        <v>260.83999999999997</v>
      </c>
      <c r="D77" s="39">
        <v>1.26963</v>
      </c>
      <c r="E77">
        <v>1993.18</v>
      </c>
    </row>
    <row r="78" spans="1:5" x14ac:dyDescent="0.25">
      <c r="A78" s="39">
        <v>24.9</v>
      </c>
      <c r="B78" s="39">
        <v>1434.57</v>
      </c>
      <c r="C78" s="39">
        <v>260.84399999999999</v>
      </c>
      <c r="D78" s="39">
        <v>1.26938</v>
      </c>
      <c r="E78">
        <v>1993.13</v>
      </c>
    </row>
    <row r="79" spans="1:5" x14ac:dyDescent="0.25">
      <c r="A79" s="39">
        <v>24.8</v>
      </c>
      <c r="B79" s="39">
        <v>1439.6</v>
      </c>
      <c r="C79" s="39">
        <v>260.84800000000001</v>
      </c>
      <c r="D79" s="39">
        <v>1.2691399999999999</v>
      </c>
      <c r="E79">
        <v>1993.09</v>
      </c>
    </row>
    <row r="80" spans="1:5" x14ac:dyDescent="0.25">
      <c r="A80" s="39">
        <v>24.7</v>
      </c>
      <c r="B80" s="39">
        <v>1444.67</v>
      </c>
      <c r="C80" s="39">
        <v>260.85199999999998</v>
      </c>
      <c r="D80" s="39">
        <v>1.2688900000000001</v>
      </c>
      <c r="E80">
        <v>1993.04</v>
      </c>
    </row>
    <row r="81" spans="1:5" x14ac:dyDescent="0.25">
      <c r="A81" s="39">
        <v>24.6</v>
      </c>
      <c r="B81" s="39">
        <v>1449.77</v>
      </c>
      <c r="C81" s="39">
        <v>260.85599999999999</v>
      </c>
      <c r="D81" s="39">
        <v>1.2686500000000001</v>
      </c>
      <c r="E81">
        <v>1993</v>
      </c>
    </row>
    <row r="82" spans="1:5" x14ac:dyDescent="0.25">
      <c r="A82" s="39">
        <v>24.5</v>
      </c>
      <c r="B82" s="39">
        <v>1454.9</v>
      </c>
      <c r="C82" s="39">
        <v>260.86</v>
      </c>
      <c r="D82" s="39">
        <v>1.2684</v>
      </c>
      <c r="E82">
        <v>1992.95</v>
      </c>
    </row>
    <row r="83" spans="1:5" x14ac:dyDescent="0.25">
      <c r="A83" s="39">
        <v>24.4</v>
      </c>
      <c r="B83" s="39">
        <v>1460.07</v>
      </c>
      <c r="C83" s="39">
        <v>260.86399999999998</v>
      </c>
      <c r="D83" s="39">
        <v>1.2681500000000001</v>
      </c>
      <c r="E83">
        <v>1992.9</v>
      </c>
    </row>
    <row r="84" spans="1:5" x14ac:dyDescent="0.25">
      <c r="A84" s="39">
        <v>24.3</v>
      </c>
      <c r="B84" s="39">
        <v>1465.28</v>
      </c>
      <c r="C84" s="39">
        <v>260.86799999999999</v>
      </c>
      <c r="D84" s="39">
        <v>1.2679</v>
      </c>
      <c r="E84">
        <v>1992.86</v>
      </c>
    </row>
    <row r="85" spans="1:5" x14ac:dyDescent="0.25">
      <c r="A85" s="39">
        <v>24.2</v>
      </c>
      <c r="B85" s="39">
        <v>1470.52</v>
      </c>
      <c r="C85" s="39">
        <v>260.87200000000001</v>
      </c>
      <c r="D85" s="39">
        <v>1.2676499999999999</v>
      </c>
      <c r="E85">
        <v>1992.81</v>
      </c>
    </row>
    <row r="86" spans="1:5" x14ac:dyDescent="0.25">
      <c r="A86" s="39">
        <v>24.1</v>
      </c>
      <c r="B86" s="39">
        <v>1475.79</v>
      </c>
      <c r="C86" s="39">
        <v>260.87599999999998</v>
      </c>
      <c r="D86" s="39">
        <v>1.2674000000000001</v>
      </c>
      <c r="E86">
        <v>1992.77</v>
      </c>
    </row>
    <row r="87" spans="1:5" x14ac:dyDescent="0.25">
      <c r="A87" s="39">
        <v>24</v>
      </c>
      <c r="B87" s="39">
        <v>1481.1</v>
      </c>
      <c r="C87" s="39">
        <v>260.88099999999997</v>
      </c>
      <c r="D87" s="39">
        <v>1.2671399999999999</v>
      </c>
      <c r="E87">
        <v>1992.72</v>
      </c>
    </row>
    <row r="88" spans="1:5" x14ac:dyDescent="0.25">
      <c r="A88" s="39">
        <v>23.9</v>
      </c>
      <c r="B88" s="39">
        <v>1486.45</v>
      </c>
      <c r="C88" s="39">
        <v>260.88499999999999</v>
      </c>
      <c r="D88" s="39">
        <v>1.2668900000000001</v>
      </c>
      <c r="E88">
        <v>1992.67</v>
      </c>
    </row>
    <row r="89" spans="1:5" x14ac:dyDescent="0.25">
      <c r="A89" s="39">
        <v>23.8</v>
      </c>
      <c r="B89" s="39">
        <v>1491.84</v>
      </c>
      <c r="C89" s="39">
        <v>260.88900000000001</v>
      </c>
      <c r="D89" s="39">
        <v>1.26664</v>
      </c>
      <c r="E89">
        <v>1992.63</v>
      </c>
    </row>
    <row r="90" spans="1:5" x14ac:dyDescent="0.25">
      <c r="A90" s="39">
        <v>23.7</v>
      </c>
      <c r="B90" s="39">
        <v>1497.26</v>
      </c>
      <c r="C90" s="39">
        <v>260.89299999999997</v>
      </c>
      <c r="D90" s="39">
        <v>1.2663800000000001</v>
      </c>
      <c r="E90">
        <v>1992.58</v>
      </c>
    </row>
    <row r="91" spans="1:5" x14ac:dyDescent="0.25">
      <c r="A91" s="39">
        <v>23.6</v>
      </c>
      <c r="B91" s="39">
        <v>1502.72</v>
      </c>
      <c r="C91" s="39">
        <v>260.89800000000002</v>
      </c>
      <c r="D91" s="39">
        <v>1.2661199999999999</v>
      </c>
      <c r="E91">
        <v>1992.53</v>
      </c>
    </row>
    <row r="92" spans="1:5" x14ac:dyDescent="0.25">
      <c r="A92" s="39">
        <v>23.5</v>
      </c>
      <c r="B92" s="39">
        <v>1508.22</v>
      </c>
      <c r="C92" s="39">
        <v>260.90199999999999</v>
      </c>
      <c r="D92" s="39">
        <v>1.26586</v>
      </c>
      <c r="E92">
        <v>1992.48</v>
      </c>
    </row>
    <row r="93" spans="1:5" x14ac:dyDescent="0.25">
      <c r="A93" s="39">
        <v>23.4</v>
      </c>
      <c r="B93" s="39">
        <v>1513.76</v>
      </c>
      <c r="C93" s="39">
        <v>260.90699999999998</v>
      </c>
      <c r="D93" s="39">
        <v>1.2656099999999999</v>
      </c>
      <c r="E93">
        <v>1992.44</v>
      </c>
    </row>
    <row r="94" spans="1:5" x14ac:dyDescent="0.25">
      <c r="A94" s="39">
        <v>23.3</v>
      </c>
      <c r="B94" s="39">
        <v>1519.34</v>
      </c>
      <c r="C94" s="39">
        <v>260.911</v>
      </c>
      <c r="D94" s="39">
        <v>1.26535</v>
      </c>
      <c r="E94">
        <v>1992.39</v>
      </c>
    </row>
    <row r="95" spans="1:5" x14ac:dyDescent="0.25">
      <c r="A95" s="39">
        <v>23.2</v>
      </c>
      <c r="B95" s="39">
        <v>1524.95</v>
      </c>
      <c r="C95" s="39">
        <v>260.916</v>
      </c>
      <c r="D95" s="39">
        <v>1.26508</v>
      </c>
      <c r="E95">
        <v>1992.34</v>
      </c>
    </row>
    <row r="96" spans="1:5" x14ac:dyDescent="0.25">
      <c r="A96" s="39">
        <v>23.1</v>
      </c>
      <c r="B96" s="39">
        <v>1530.61</v>
      </c>
      <c r="C96" s="39">
        <v>260.92</v>
      </c>
      <c r="D96" s="39">
        <v>1.2648200000000001</v>
      </c>
      <c r="E96">
        <v>1992.29</v>
      </c>
    </row>
    <row r="97" spans="1:5" x14ac:dyDescent="0.25">
      <c r="A97" s="39">
        <v>23</v>
      </c>
      <c r="B97" s="39">
        <v>1536.31</v>
      </c>
      <c r="C97" s="39">
        <v>260.92500000000001</v>
      </c>
      <c r="D97" s="39">
        <v>1.2645599999999999</v>
      </c>
      <c r="E97">
        <v>1992.24</v>
      </c>
    </row>
    <row r="98" spans="1:5" x14ac:dyDescent="0.25">
      <c r="A98" s="39">
        <v>22.9</v>
      </c>
      <c r="B98" s="39">
        <v>1542.04</v>
      </c>
      <c r="C98" s="39">
        <v>260.93</v>
      </c>
      <c r="D98" s="39">
        <v>1.2642899999999999</v>
      </c>
      <c r="E98">
        <v>1992.2</v>
      </c>
    </row>
    <row r="99" spans="1:5" x14ac:dyDescent="0.25">
      <c r="A99" s="39">
        <v>22.8</v>
      </c>
      <c r="B99" s="39">
        <v>1547.82</v>
      </c>
      <c r="C99" s="39">
        <v>260.93400000000003</v>
      </c>
      <c r="D99" s="39">
        <v>1.26403</v>
      </c>
      <c r="E99">
        <v>1992.15</v>
      </c>
    </row>
    <row r="100" spans="1:5" x14ac:dyDescent="0.25">
      <c r="A100" s="39">
        <v>22.7</v>
      </c>
      <c r="B100" s="39">
        <v>1553.64</v>
      </c>
      <c r="C100" s="39">
        <v>260.93900000000002</v>
      </c>
      <c r="D100" s="39">
        <v>1.26376</v>
      </c>
      <c r="E100">
        <v>1992.1</v>
      </c>
    </row>
    <row r="101" spans="1:5" x14ac:dyDescent="0.25">
      <c r="A101" s="39">
        <v>22.6</v>
      </c>
      <c r="B101" s="39">
        <v>1559.5</v>
      </c>
      <c r="C101" s="39">
        <v>260.94400000000002</v>
      </c>
      <c r="D101" s="39">
        <v>1.26349</v>
      </c>
      <c r="E101">
        <v>1992.05</v>
      </c>
    </row>
    <row r="102" spans="1:5" x14ac:dyDescent="0.25">
      <c r="A102" s="39">
        <v>22.5</v>
      </c>
      <c r="B102" s="39">
        <v>1565.4</v>
      </c>
      <c r="C102" s="39">
        <v>260.94900000000001</v>
      </c>
      <c r="D102" s="39">
        <v>1.26322</v>
      </c>
      <c r="E102">
        <v>1992</v>
      </c>
    </row>
    <row r="103" spans="1:5" x14ac:dyDescent="0.25">
      <c r="A103" s="39">
        <v>22.4</v>
      </c>
      <c r="B103" s="39">
        <v>1571.35</v>
      </c>
      <c r="C103" s="39">
        <v>260.95400000000001</v>
      </c>
      <c r="D103" s="39">
        <v>1.26295</v>
      </c>
      <c r="E103">
        <v>1991.95</v>
      </c>
    </row>
    <row r="104" spans="1:5" x14ac:dyDescent="0.25">
      <c r="A104" s="39">
        <v>22.3</v>
      </c>
      <c r="B104" s="39">
        <v>1577.34</v>
      </c>
      <c r="C104" s="39">
        <v>260.959</v>
      </c>
      <c r="D104" s="39">
        <v>1.26268</v>
      </c>
      <c r="E104">
        <v>1991.9</v>
      </c>
    </row>
    <row r="105" spans="1:5" x14ac:dyDescent="0.25">
      <c r="A105" s="39">
        <v>22.2</v>
      </c>
      <c r="B105" s="39">
        <v>1583.37</v>
      </c>
      <c r="C105" s="39">
        <v>260.964</v>
      </c>
      <c r="D105" s="39">
        <v>1.2624</v>
      </c>
      <c r="E105">
        <v>1991.85</v>
      </c>
    </row>
    <row r="106" spans="1:5" x14ac:dyDescent="0.25">
      <c r="A106" s="39">
        <v>22.1</v>
      </c>
      <c r="B106" s="39">
        <v>1589.45</v>
      </c>
      <c r="C106" s="39">
        <v>260.96899999999999</v>
      </c>
      <c r="D106" s="39">
        <v>1.26213</v>
      </c>
      <c r="E106">
        <v>1991.8</v>
      </c>
    </row>
    <row r="107" spans="1:5" x14ac:dyDescent="0.25">
      <c r="A107" s="39">
        <v>22</v>
      </c>
      <c r="B107" s="39">
        <v>1595.57</v>
      </c>
      <c r="C107" s="39">
        <v>260.97399999999999</v>
      </c>
      <c r="D107" s="39">
        <v>1.2618499999999999</v>
      </c>
      <c r="E107">
        <v>1991.75</v>
      </c>
    </row>
    <row r="108" spans="1:5" x14ac:dyDescent="0.25">
      <c r="A108" s="39">
        <v>21.9</v>
      </c>
      <c r="B108" s="39">
        <v>1601.74</v>
      </c>
      <c r="C108" s="39">
        <v>260.97899999999998</v>
      </c>
      <c r="D108" s="39">
        <v>1.2615700000000001</v>
      </c>
      <c r="E108">
        <v>1991.7</v>
      </c>
    </row>
    <row r="109" spans="1:5" x14ac:dyDescent="0.25">
      <c r="A109" s="39">
        <v>21.8</v>
      </c>
      <c r="B109" s="39">
        <v>1607.95</v>
      </c>
      <c r="C109" s="39">
        <v>260.98399999999998</v>
      </c>
      <c r="D109" s="39">
        <v>1.26129</v>
      </c>
      <c r="E109">
        <v>1991.65</v>
      </c>
    </row>
    <row r="110" spans="1:5" x14ac:dyDescent="0.25">
      <c r="A110" s="39">
        <v>21.7</v>
      </c>
      <c r="B110" s="39">
        <v>1614.21</v>
      </c>
      <c r="C110" s="39">
        <v>260.99</v>
      </c>
      <c r="D110" s="39">
        <v>1.26101</v>
      </c>
      <c r="E110">
        <v>1991.59</v>
      </c>
    </row>
    <row r="111" spans="1:5" x14ac:dyDescent="0.25">
      <c r="A111" s="39">
        <v>21.6</v>
      </c>
      <c r="B111" s="39">
        <v>1620.52</v>
      </c>
      <c r="C111" s="39">
        <v>260.995</v>
      </c>
      <c r="D111" s="39">
        <v>1.2607200000000001</v>
      </c>
      <c r="E111">
        <v>1991.54</v>
      </c>
    </row>
    <row r="112" spans="1:5" x14ac:dyDescent="0.25">
      <c r="A112" s="39">
        <v>21.5</v>
      </c>
      <c r="B112" s="39">
        <v>1626.87</v>
      </c>
      <c r="C112" s="39">
        <v>261</v>
      </c>
      <c r="D112" s="39">
        <v>1.26044</v>
      </c>
      <c r="E112">
        <v>1991.49</v>
      </c>
    </row>
    <row r="113" spans="1:5" x14ac:dyDescent="0.25">
      <c r="A113" s="39">
        <v>21.4</v>
      </c>
      <c r="B113" s="39">
        <v>1633.27</v>
      </c>
      <c r="C113" s="39">
        <v>261.00599999999997</v>
      </c>
      <c r="D113" s="39">
        <v>1.2601500000000001</v>
      </c>
      <c r="E113">
        <v>1991.44</v>
      </c>
    </row>
    <row r="114" spans="1:5" x14ac:dyDescent="0.25">
      <c r="A114" s="39">
        <v>21.3</v>
      </c>
      <c r="B114" s="39">
        <v>1639.72</v>
      </c>
      <c r="C114" s="39">
        <v>261.01100000000002</v>
      </c>
      <c r="D114" s="39">
        <v>1.25986</v>
      </c>
      <c r="E114">
        <v>1991.39</v>
      </c>
    </row>
    <row r="115" spans="1:5" x14ac:dyDescent="0.25">
      <c r="A115" s="39">
        <v>21.2</v>
      </c>
      <c r="B115" s="39">
        <v>1646.22</v>
      </c>
      <c r="C115" s="39">
        <v>261.017</v>
      </c>
      <c r="D115" s="39">
        <v>1.2595700000000001</v>
      </c>
      <c r="E115">
        <v>1991.33</v>
      </c>
    </row>
    <row r="116" spans="1:5" x14ac:dyDescent="0.25">
      <c r="A116" s="39">
        <v>21.1</v>
      </c>
      <c r="B116" s="39">
        <v>1652.77</v>
      </c>
      <c r="C116" s="39">
        <v>261.02300000000002</v>
      </c>
      <c r="D116" s="39">
        <v>1.25928</v>
      </c>
      <c r="E116">
        <v>1991.28</v>
      </c>
    </row>
    <row r="117" spans="1:5" x14ac:dyDescent="0.25">
      <c r="A117" s="39">
        <v>21</v>
      </c>
      <c r="B117" s="39">
        <v>1659.36</v>
      </c>
      <c r="C117" s="39">
        <v>261.02800000000002</v>
      </c>
      <c r="D117" s="39">
        <v>1.2589900000000001</v>
      </c>
      <c r="E117">
        <v>1991.23</v>
      </c>
    </row>
    <row r="118" spans="1:5" x14ac:dyDescent="0.25">
      <c r="A118" s="39">
        <v>20.9</v>
      </c>
      <c r="B118" s="39">
        <v>1666.01</v>
      </c>
      <c r="C118" s="39">
        <v>261.03399999999999</v>
      </c>
      <c r="D118" s="39">
        <v>1.2586900000000001</v>
      </c>
      <c r="E118">
        <v>1991.17</v>
      </c>
    </row>
    <row r="119" spans="1:5" x14ac:dyDescent="0.25">
      <c r="A119" s="39">
        <v>20.8</v>
      </c>
      <c r="B119" s="39">
        <v>1672.71</v>
      </c>
      <c r="C119" s="39">
        <v>261.04000000000002</v>
      </c>
      <c r="D119" s="39">
        <v>1.2583899999999999</v>
      </c>
      <c r="E119">
        <v>1991.12</v>
      </c>
    </row>
    <row r="120" spans="1:5" x14ac:dyDescent="0.25">
      <c r="A120" s="39">
        <v>20.7</v>
      </c>
      <c r="B120" s="39">
        <v>1679.45</v>
      </c>
      <c r="C120" s="39">
        <v>261.04599999999999</v>
      </c>
      <c r="D120" s="39">
        <v>1.2580899999999999</v>
      </c>
      <c r="E120">
        <v>1991.07</v>
      </c>
    </row>
    <row r="121" spans="1:5" x14ac:dyDescent="0.25">
      <c r="A121" s="39">
        <v>20.6</v>
      </c>
      <c r="B121" s="39">
        <v>1686.25</v>
      </c>
      <c r="C121" s="39">
        <v>261.05200000000002</v>
      </c>
      <c r="D121" s="39">
        <v>1.25779</v>
      </c>
      <c r="E121">
        <v>1991.01</v>
      </c>
    </row>
    <row r="122" spans="1:5" x14ac:dyDescent="0.25">
      <c r="A122" s="39">
        <v>20.5</v>
      </c>
      <c r="B122" s="39">
        <v>1693.1</v>
      </c>
      <c r="C122" s="39">
        <v>261.05799999999999</v>
      </c>
      <c r="D122" s="39">
        <v>1.2574799999999999</v>
      </c>
      <c r="E122">
        <v>1990.96</v>
      </c>
    </row>
    <row r="123" spans="1:5" x14ac:dyDescent="0.25">
      <c r="A123" s="39">
        <v>20.399999999999999</v>
      </c>
      <c r="B123" s="39">
        <v>1700.01</v>
      </c>
      <c r="C123" s="39">
        <v>261.06400000000002</v>
      </c>
      <c r="D123" s="39">
        <v>1.25718</v>
      </c>
      <c r="E123">
        <v>1990.9</v>
      </c>
    </row>
    <row r="124" spans="1:5" x14ac:dyDescent="0.25">
      <c r="A124" s="39">
        <v>20.3</v>
      </c>
      <c r="B124" s="39">
        <v>1706.97</v>
      </c>
      <c r="C124" s="39">
        <v>261.07100000000003</v>
      </c>
      <c r="D124" s="39">
        <v>1.2568699999999999</v>
      </c>
      <c r="E124">
        <v>1990.85</v>
      </c>
    </row>
    <row r="125" spans="1:5" x14ac:dyDescent="0.25">
      <c r="A125" s="39">
        <v>20.2</v>
      </c>
      <c r="B125" s="39">
        <v>1713.98</v>
      </c>
      <c r="C125" s="39">
        <v>261.077</v>
      </c>
      <c r="D125" s="39">
        <v>1.2565599999999999</v>
      </c>
      <c r="E125">
        <v>1990.79</v>
      </c>
    </row>
    <row r="126" spans="1:5" x14ac:dyDescent="0.25">
      <c r="A126" s="39">
        <v>20.100000000000001</v>
      </c>
      <c r="B126" s="39">
        <v>1721.05</v>
      </c>
      <c r="C126" s="39">
        <v>261.084</v>
      </c>
      <c r="D126" s="39">
        <v>1.25624</v>
      </c>
      <c r="E126">
        <v>1990.74</v>
      </c>
    </row>
    <row r="127" spans="1:5" x14ac:dyDescent="0.25">
      <c r="A127" s="39">
        <v>20</v>
      </c>
      <c r="B127" s="39">
        <v>1728.17</v>
      </c>
      <c r="C127" s="39">
        <v>261.08999999999997</v>
      </c>
      <c r="D127" s="39">
        <v>1.25593</v>
      </c>
      <c r="E127">
        <v>1990.68</v>
      </c>
    </row>
    <row r="128" spans="1:5" x14ac:dyDescent="0.25">
      <c r="A128" s="39">
        <v>19.899999999999999</v>
      </c>
      <c r="B128" s="39">
        <v>1735.35</v>
      </c>
      <c r="C128" s="39">
        <v>261.09699999999998</v>
      </c>
      <c r="D128" s="39">
        <v>1.2556099999999999</v>
      </c>
      <c r="E128">
        <v>1990.63</v>
      </c>
    </row>
    <row r="129" spans="1:5" x14ac:dyDescent="0.25">
      <c r="A129" s="39">
        <v>19.8</v>
      </c>
      <c r="B129" s="39">
        <v>1742.58</v>
      </c>
      <c r="C129" s="39">
        <v>261.10300000000001</v>
      </c>
      <c r="D129" s="39">
        <v>1.25529</v>
      </c>
      <c r="E129">
        <v>1990.57</v>
      </c>
    </row>
    <row r="130" spans="1:5" x14ac:dyDescent="0.25">
      <c r="A130" s="39">
        <v>19.7</v>
      </c>
      <c r="B130" s="39">
        <v>1749.88</v>
      </c>
      <c r="C130" s="39">
        <v>261.11</v>
      </c>
      <c r="D130" s="39">
        <v>1.2549699999999999</v>
      </c>
      <c r="E130">
        <v>1990.52</v>
      </c>
    </row>
    <row r="131" spans="1:5" x14ac:dyDescent="0.25">
      <c r="A131" s="39">
        <v>19.600000000000001</v>
      </c>
      <c r="B131" s="39">
        <v>1757.22</v>
      </c>
      <c r="C131" s="39">
        <v>261.11700000000002</v>
      </c>
      <c r="D131" s="39">
        <v>1.25464</v>
      </c>
      <c r="E131">
        <v>1990.46</v>
      </c>
    </row>
    <row r="132" spans="1:5" x14ac:dyDescent="0.25">
      <c r="A132" s="39">
        <v>19.5</v>
      </c>
      <c r="B132" s="39">
        <v>1764.63</v>
      </c>
      <c r="C132" s="39">
        <v>261.12400000000002</v>
      </c>
      <c r="D132" s="39">
        <v>1.2543200000000001</v>
      </c>
      <c r="E132">
        <v>1990.4</v>
      </c>
    </row>
    <row r="133" spans="1:5" x14ac:dyDescent="0.25">
      <c r="A133" s="39">
        <v>19.399999999999999</v>
      </c>
      <c r="B133" s="39">
        <v>1772.1</v>
      </c>
      <c r="C133" s="39">
        <v>261.13099999999997</v>
      </c>
      <c r="D133" s="39">
        <v>1.2539899999999999</v>
      </c>
      <c r="E133">
        <v>1990.34</v>
      </c>
    </row>
    <row r="134" spans="1:5" x14ac:dyDescent="0.25">
      <c r="A134" s="39">
        <v>19.3</v>
      </c>
      <c r="B134" s="39">
        <v>1779.62</v>
      </c>
      <c r="C134" s="39">
        <v>261.13900000000001</v>
      </c>
      <c r="D134" s="39">
        <v>1.2536499999999999</v>
      </c>
      <c r="E134">
        <v>1990.29</v>
      </c>
    </row>
    <row r="135" spans="1:5" x14ac:dyDescent="0.25">
      <c r="A135" s="39">
        <v>19.2</v>
      </c>
      <c r="B135" s="39">
        <v>1787.21</v>
      </c>
      <c r="C135" s="39">
        <v>261.14600000000002</v>
      </c>
      <c r="D135" s="39">
        <v>1.25332</v>
      </c>
      <c r="E135">
        <v>1990.23</v>
      </c>
    </row>
    <row r="136" spans="1:5" x14ac:dyDescent="0.25">
      <c r="A136" s="39">
        <v>19.100000000000001</v>
      </c>
      <c r="B136" s="39">
        <v>1794.85</v>
      </c>
      <c r="C136" s="39">
        <v>261.154</v>
      </c>
      <c r="D136" s="39">
        <v>1.25298</v>
      </c>
      <c r="E136">
        <v>1990.17</v>
      </c>
    </row>
    <row r="137" spans="1:5" x14ac:dyDescent="0.25">
      <c r="A137" s="39">
        <v>19</v>
      </c>
      <c r="B137" s="39">
        <v>1802.56</v>
      </c>
      <c r="C137" s="39">
        <v>261.161</v>
      </c>
      <c r="D137" s="39">
        <v>1.25264</v>
      </c>
      <c r="E137">
        <v>1990.11</v>
      </c>
    </row>
    <row r="138" spans="1:5" x14ac:dyDescent="0.25">
      <c r="A138" s="39">
        <v>18.899999999999999</v>
      </c>
      <c r="B138" s="39">
        <v>1810.33</v>
      </c>
      <c r="C138" s="39">
        <v>261.16899999999998</v>
      </c>
      <c r="D138" s="39">
        <v>1.2522899999999999</v>
      </c>
      <c r="E138">
        <v>1990.05</v>
      </c>
    </row>
    <row r="139" spans="1:5" x14ac:dyDescent="0.25">
      <c r="A139" s="39">
        <v>18.8</v>
      </c>
      <c r="B139" s="39">
        <v>1818.16</v>
      </c>
      <c r="C139" s="39">
        <v>261.17700000000002</v>
      </c>
      <c r="D139" s="39">
        <v>1.2519400000000001</v>
      </c>
      <c r="E139">
        <v>1989.99</v>
      </c>
    </row>
    <row r="140" spans="1:5" x14ac:dyDescent="0.25">
      <c r="A140" s="39">
        <v>18.7</v>
      </c>
      <c r="B140" s="39">
        <v>1826.05</v>
      </c>
      <c r="C140" s="39">
        <v>261.185</v>
      </c>
      <c r="D140" s="39">
        <v>1.25159</v>
      </c>
      <c r="E140">
        <v>1989.94</v>
      </c>
    </row>
    <row r="141" spans="1:5" x14ac:dyDescent="0.25">
      <c r="A141" s="39">
        <v>18.600000000000001</v>
      </c>
      <c r="B141" s="39">
        <v>1834.01</v>
      </c>
      <c r="C141" s="39">
        <v>261.19299999999998</v>
      </c>
      <c r="D141" s="39">
        <v>1.2512399999999999</v>
      </c>
      <c r="E141">
        <v>1989.88</v>
      </c>
    </row>
    <row r="142" spans="1:5" x14ac:dyDescent="0.25">
      <c r="A142" s="39">
        <v>18.5</v>
      </c>
      <c r="B142" s="39">
        <v>1842.04</v>
      </c>
      <c r="C142" s="39">
        <v>261.20100000000002</v>
      </c>
      <c r="D142" s="39">
        <v>1.25088</v>
      </c>
      <c r="E142">
        <v>1989.82</v>
      </c>
    </row>
    <row r="143" spans="1:5" x14ac:dyDescent="0.25">
      <c r="A143" s="39">
        <v>18.399999999999999</v>
      </c>
      <c r="B143" s="39">
        <v>1850.12</v>
      </c>
      <c r="C143" s="39">
        <v>261.20999999999998</v>
      </c>
      <c r="D143" s="39">
        <v>1.2505200000000001</v>
      </c>
      <c r="E143">
        <v>1989.76</v>
      </c>
    </row>
    <row r="144" spans="1:5" x14ac:dyDescent="0.25">
      <c r="A144" s="39">
        <v>18.3</v>
      </c>
      <c r="B144" s="39">
        <v>1858.28</v>
      </c>
      <c r="C144" s="39">
        <v>261.21800000000002</v>
      </c>
      <c r="D144" s="39">
        <v>1.2501599999999999</v>
      </c>
      <c r="E144">
        <v>1989.69</v>
      </c>
    </row>
    <row r="145" spans="1:5" x14ac:dyDescent="0.25">
      <c r="A145" s="39">
        <v>18.2</v>
      </c>
      <c r="B145" s="39">
        <v>1866.49</v>
      </c>
      <c r="C145" s="39">
        <v>261.22699999999998</v>
      </c>
      <c r="D145" s="39">
        <v>1.24979</v>
      </c>
      <c r="E145">
        <v>1989.63</v>
      </c>
    </row>
    <row r="146" spans="1:5" x14ac:dyDescent="0.25">
      <c r="A146" s="39">
        <v>18.100000000000001</v>
      </c>
      <c r="B146" s="39">
        <v>1874.78</v>
      </c>
      <c r="C146" s="39">
        <v>261.23599999999999</v>
      </c>
      <c r="D146" s="39">
        <v>1.24942</v>
      </c>
      <c r="E146">
        <v>1989.57</v>
      </c>
    </row>
    <row r="147" spans="1:5" x14ac:dyDescent="0.25">
      <c r="A147" s="39">
        <v>18</v>
      </c>
      <c r="B147" s="39">
        <v>1883.13</v>
      </c>
      <c r="C147" s="39">
        <v>261.245</v>
      </c>
      <c r="D147" s="39">
        <v>1.2490399999999999</v>
      </c>
      <c r="E147">
        <v>1989.51</v>
      </c>
    </row>
    <row r="148" spans="1:5" x14ac:dyDescent="0.25">
      <c r="A148" s="39">
        <v>17.899999999999999</v>
      </c>
      <c r="B148" s="39">
        <v>1891.56</v>
      </c>
      <c r="C148" s="39">
        <v>261.255</v>
      </c>
      <c r="D148" s="39">
        <v>1.2486699999999999</v>
      </c>
      <c r="E148">
        <v>1989.45</v>
      </c>
    </row>
    <row r="149" spans="1:5" x14ac:dyDescent="0.25">
      <c r="A149" s="39">
        <v>17.8</v>
      </c>
      <c r="B149" s="39">
        <v>1900.05</v>
      </c>
      <c r="C149" s="39">
        <v>261.26400000000001</v>
      </c>
      <c r="D149" s="39">
        <v>1.2482800000000001</v>
      </c>
      <c r="E149">
        <v>1989.39</v>
      </c>
    </row>
    <row r="150" spans="1:5" x14ac:dyDescent="0.25">
      <c r="A150" s="39">
        <v>17.7</v>
      </c>
      <c r="B150" s="39">
        <v>1908.61</v>
      </c>
      <c r="C150" s="39">
        <v>261.274</v>
      </c>
      <c r="D150" s="39">
        <v>1.2479</v>
      </c>
      <c r="E150">
        <v>1989.32</v>
      </c>
    </row>
    <row r="151" spans="1:5" x14ac:dyDescent="0.25">
      <c r="A151" s="39">
        <v>17.600000000000001</v>
      </c>
      <c r="B151" s="39">
        <v>1917.24</v>
      </c>
      <c r="C151" s="39">
        <v>261.28399999999999</v>
      </c>
      <c r="D151" s="39">
        <v>1.2475099999999999</v>
      </c>
      <c r="E151">
        <v>1989.26</v>
      </c>
    </row>
    <row r="152" spans="1:5" x14ac:dyDescent="0.25">
      <c r="A152" s="39">
        <v>17.5</v>
      </c>
      <c r="B152" s="39">
        <v>1925.94</v>
      </c>
      <c r="C152" s="39">
        <v>261.29399999999998</v>
      </c>
      <c r="D152" s="39">
        <v>1.24712</v>
      </c>
      <c r="E152">
        <v>1989.2</v>
      </c>
    </row>
    <row r="153" spans="1:5" x14ac:dyDescent="0.25">
      <c r="A153" s="39">
        <v>17.399999999999999</v>
      </c>
      <c r="B153" s="39">
        <v>1934.71</v>
      </c>
      <c r="C153" s="39">
        <v>261.30399999999997</v>
      </c>
      <c r="D153" s="39">
        <v>1.2467200000000001</v>
      </c>
      <c r="E153">
        <v>1989.13</v>
      </c>
    </row>
    <row r="154" spans="1:5" x14ac:dyDescent="0.25">
      <c r="A154" s="39">
        <v>17.3</v>
      </c>
      <c r="B154" s="39">
        <v>1943.55</v>
      </c>
      <c r="C154" s="39">
        <v>261.315</v>
      </c>
      <c r="D154" s="39">
        <v>1.2463200000000001</v>
      </c>
      <c r="E154">
        <v>1989.07</v>
      </c>
    </row>
    <row r="155" spans="1:5" x14ac:dyDescent="0.25">
      <c r="A155" s="39">
        <v>17.2</v>
      </c>
      <c r="B155" s="39">
        <v>1952.47</v>
      </c>
      <c r="C155" s="39">
        <v>261.32600000000002</v>
      </c>
      <c r="D155" s="39">
        <v>1.2459100000000001</v>
      </c>
      <c r="E155">
        <v>1989.01</v>
      </c>
    </row>
    <row r="156" spans="1:5" x14ac:dyDescent="0.25">
      <c r="A156" s="39">
        <v>17.100000000000001</v>
      </c>
      <c r="B156" s="39">
        <v>1961.46</v>
      </c>
      <c r="C156" s="39">
        <v>261.33699999999999</v>
      </c>
      <c r="D156" s="39">
        <v>1.2455000000000001</v>
      </c>
      <c r="E156">
        <v>1988.94</v>
      </c>
    </row>
    <row r="157" spans="1:5" x14ac:dyDescent="0.25">
      <c r="A157" s="39">
        <v>17</v>
      </c>
      <c r="B157" s="39">
        <v>1970.52</v>
      </c>
      <c r="C157" s="39">
        <v>261.34800000000001</v>
      </c>
      <c r="D157" s="39">
        <v>1.24509</v>
      </c>
      <c r="E157">
        <v>1988.88</v>
      </c>
    </row>
    <row r="158" spans="1:5" x14ac:dyDescent="0.25">
      <c r="A158" s="39">
        <v>16.899999999999999</v>
      </c>
      <c r="B158" s="39">
        <v>1979.66</v>
      </c>
      <c r="C158" s="39">
        <v>261.35899999999998</v>
      </c>
      <c r="D158" s="39">
        <v>1.2446699999999999</v>
      </c>
      <c r="E158">
        <v>1988.81</v>
      </c>
    </row>
    <row r="159" spans="1:5" x14ac:dyDescent="0.25">
      <c r="A159" s="39">
        <v>16.8</v>
      </c>
      <c r="B159" s="39">
        <v>1988.87</v>
      </c>
      <c r="C159" s="39">
        <v>261.37099999999998</v>
      </c>
      <c r="D159" s="39">
        <v>1.24424</v>
      </c>
      <c r="E159">
        <v>1988.74</v>
      </c>
    </row>
    <row r="160" spans="1:5" x14ac:dyDescent="0.25">
      <c r="A160" s="39">
        <v>16.7</v>
      </c>
      <c r="B160" s="39">
        <v>1998.16</v>
      </c>
      <c r="C160" s="39">
        <v>261.38400000000001</v>
      </c>
      <c r="D160" s="39">
        <v>1.2438199999999999</v>
      </c>
      <c r="E160">
        <v>1988.68</v>
      </c>
    </row>
    <row r="161" spans="1:5" x14ac:dyDescent="0.25">
      <c r="A161" s="39">
        <v>16.600000000000001</v>
      </c>
      <c r="B161" s="39">
        <v>2008.07</v>
      </c>
      <c r="C161" s="39">
        <v>261.39600000000002</v>
      </c>
      <c r="D161" s="39">
        <v>1.2445999999999999</v>
      </c>
      <c r="E161">
        <v>1988.61</v>
      </c>
    </row>
    <row r="162" spans="1:5" x14ac:dyDescent="0.25">
      <c r="A162" s="39">
        <v>16.5</v>
      </c>
      <c r="B162" s="39">
        <v>2017.55</v>
      </c>
      <c r="C162" s="39">
        <v>261.40899999999999</v>
      </c>
      <c r="D162" s="39">
        <v>1.2441500000000001</v>
      </c>
      <c r="E162">
        <v>1988.55</v>
      </c>
    </row>
    <row r="163" spans="1:5" x14ac:dyDescent="0.25">
      <c r="A163" s="39">
        <v>16.399999999999999</v>
      </c>
      <c r="B163" s="39">
        <v>2027.1</v>
      </c>
      <c r="C163" s="39">
        <v>261.42200000000003</v>
      </c>
      <c r="D163" s="39">
        <v>1.2437100000000001</v>
      </c>
      <c r="E163">
        <v>1988.48</v>
      </c>
    </row>
    <row r="164" spans="1:5" x14ac:dyDescent="0.25">
      <c r="A164" s="39">
        <v>16.3</v>
      </c>
      <c r="B164" s="39">
        <v>2036.73</v>
      </c>
      <c r="C164" s="39">
        <v>261.43599999999998</v>
      </c>
      <c r="D164" s="39">
        <v>1.24326</v>
      </c>
      <c r="E164">
        <v>1988.41</v>
      </c>
    </row>
    <row r="165" spans="1:5" x14ac:dyDescent="0.25">
      <c r="A165" s="39">
        <v>16.2</v>
      </c>
      <c r="B165" s="39">
        <v>2046.44</v>
      </c>
      <c r="C165" s="39">
        <v>261.45</v>
      </c>
      <c r="D165" s="39">
        <v>1.24281</v>
      </c>
      <c r="E165">
        <v>1988.34</v>
      </c>
    </row>
    <row r="166" spans="1:5" x14ac:dyDescent="0.25">
      <c r="A166" s="39">
        <v>16.100000000000001</v>
      </c>
      <c r="B166" s="39">
        <v>2056.23</v>
      </c>
      <c r="C166" s="39">
        <v>261.464</v>
      </c>
      <c r="D166" s="39">
        <v>1.24237</v>
      </c>
      <c r="E166">
        <v>1988.27</v>
      </c>
    </row>
    <row r="167" spans="1:5" x14ac:dyDescent="0.25">
      <c r="A167" s="39">
        <v>16</v>
      </c>
      <c r="B167" s="39">
        <v>2066.1</v>
      </c>
      <c r="C167" s="39">
        <v>261.47899999999998</v>
      </c>
      <c r="D167" s="39">
        <v>1.2419199999999999</v>
      </c>
      <c r="E167">
        <v>1988.2</v>
      </c>
    </row>
    <row r="168" spans="1:5" x14ac:dyDescent="0.25">
      <c r="A168" s="39">
        <v>15.9</v>
      </c>
      <c r="B168" s="39">
        <v>2076.0500000000002</v>
      </c>
      <c r="C168" s="39">
        <v>261.49400000000003</v>
      </c>
      <c r="D168" s="39">
        <v>1.2414700000000001</v>
      </c>
      <c r="E168">
        <v>1988.13</v>
      </c>
    </row>
    <row r="169" spans="1:5" x14ac:dyDescent="0.25">
      <c r="A169" s="39">
        <v>15.8</v>
      </c>
      <c r="B169" s="39">
        <v>2086.09</v>
      </c>
      <c r="C169" s="39">
        <v>261.50900000000001</v>
      </c>
      <c r="D169" s="39">
        <v>1.24102</v>
      </c>
      <c r="E169">
        <v>1988.06</v>
      </c>
    </row>
    <row r="170" spans="1:5" x14ac:dyDescent="0.25">
      <c r="A170" s="39">
        <v>15.7</v>
      </c>
      <c r="B170" s="39">
        <v>2096.1999999999998</v>
      </c>
      <c r="C170" s="39">
        <v>261.52499999999998</v>
      </c>
      <c r="D170" s="39">
        <v>1.24057</v>
      </c>
      <c r="E170">
        <v>1987.99</v>
      </c>
    </row>
    <row r="171" spans="1:5" x14ac:dyDescent="0.25">
      <c r="A171" s="39">
        <v>15.6</v>
      </c>
      <c r="B171" s="39">
        <v>2106.4</v>
      </c>
      <c r="C171" s="39">
        <v>261.54199999999997</v>
      </c>
      <c r="D171" s="39">
        <v>1.2401199999999999</v>
      </c>
      <c r="E171">
        <v>1987.92</v>
      </c>
    </row>
    <row r="172" spans="1:5" x14ac:dyDescent="0.25">
      <c r="A172" s="39">
        <v>15.5</v>
      </c>
      <c r="B172" s="39">
        <v>2116.6799999999998</v>
      </c>
      <c r="C172" s="39">
        <v>261.55900000000003</v>
      </c>
      <c r="D172" s="39">
        <v>1.23967</v>
      </c>
      <c r="E172">
        <v>1987.85</v>
      </c>
    </row>
    <row r="173" spans="1:5" x14ac:dyDescent="0.25">
      <c r="A173" s="39">
        <v>15.4</v>
      </c>
      <c r="B173" s="39">
        <v>2127.04</v>
      </c>
      <c r="C173" s="39">
        <v>261.57600000000002</v>
      </c>
      <c r="D173" s="39">
        <v>1.23922</v>
      </c>
      <c r="E173">
        <v>1987.78</v>
      </c>
    </row>
    <row r="174" spans="1:5" x14ac:dyDescent="0.25">
      <c r="A174" s="39">
        <v>15.3</v>
      </c>
      <c r="B174" s="39">
        <v>2137.48</v>
      </c>
      <c r="C174" s="39">
        <v>261.59399999999999</v>
      </c>
      <c r="D174" s="39">
        <v>1.2387699999999999</v>
      </c>
      <c r="E174">
        <v>1987.71</v>
      </c>
    </row>
    <row r="175" spans="1:5" x14ac:dyDescent="0.25">
      <c r="A175" s="39">
        <v>15.2</v>
      </c>
      <c r="B175" s="39">
        <v>2148.02</v>
      </c>
      <c r="C175" s="39">
        <v>261.613</v>
      </c>
      <c r="D175" s="39">
        <v>1.2383200000000001</v>
      </c>
      <c r="E175">
        <v>1987.64</v>
      </c>
    </row>
    <row r="176" spans="1:5" x14ac:dyDescent="0.25">
      <c r="A176" s="39">
        <v>15.1</v>
      </c>
      <c r="B176" s="39">
        <v>2158.63</v>
      </c>
      <c r="C176" s="39">
        <v>261.63200000000001</v>
      </c>
      <c r="D176" s="39">
        <v>1.23787</v>
      </c>
      <c r="E176">
        <v>1987.56</v>
      </c>
    </row>
    <row r="177" spans="1:5" x14ac:dyDescent="0.25">
      <c r="A177" s="39">
        <v>15</v>
      </c>
      <c r="B177" s="39">
        <v>2169.33</v>
      </c>
      <c r="C177" s="39">
        <v>261.65199999999999</v>
      </c>
      <c r="D177" s="39">
        <v>1.23742</v>
      </c>
      <c r="E177">
        <v>1987.49</v>
      </c>
    </row>
    <row r="178" spans="1:5" x14ac:dyDescent="0.25">
      <c r="A178" s="39">
        <v>14.9</v>
      </c>
      <c r="B178" s="39">
        <v>2180.12</v>
      </c>
      <c r="C178" s="39">
        <v>261.673</v>
      </c>
      <c r="D178" s="39">
        <v>1.2369600000000001</v>
      </c>
      <c r="E178">
        <v>1987.42</v>
      </c>
    </row>
    <row r="179" spans="1:5" x14ac:dyDescent="0.25">
      <c r="A179" s="39">
        <v>14.8</v>
      </c>
      <c r="B179" s="39">
        <v>2191</v>
      </c>
      <c r="C179" s="39">
        <v>261.69400000000002</v>
      </c>
      <c r="D179" s="39">
        <v>1.23651</v>
      </c>
      <c r="E179">
        <v>1987.34</v>
      </c>
    </row>
    <row r="180" spans="1:5" x14ac:dyDescent="0.25">
      <c r="A180" s="39">
        <v>14.7</v>
      </c>
      <c r="B180" s="39">
        <v>2201.96</v>
      </c>
      <c r="C180" s="39">
        <v>261.71600000000001</v>
      </c>
      <c r="D180" s="39">
        <v>1.2360599999999999</v>
      </c>
      <c r="E180">
        <v>1987.27</v>
      </c>
    </row>
    <row r="181" spans="1:5" x14ac:dyDescent="0.25">
      <c r="A181" s="39">
        <v>14.6</v>
      </c>
      <c r="B181" s="39">
        <v>2213.0100000000002</v>
      </c>
      <c r="C181" s="39">
        <v>261.73899999999998</v>
      </c>
      <c r="D181" s="39">
        <v>1.2356</v>
      </c>
      <c r="E181">
        <v>1987.19</v>
      </c>
    </row>
    <row r="182" spans="1:5" x14ac:dyDescent="0.25">
      <c r="A182" s="39">
        <v>14.5</v>
      </c>
      <c r="B182" s="39">
        <v>2224.15</v>
      </c>
      <c r="C182" s="39">
        <v>261.76299999999998</v>
      </c>
      <c r="D182" s="39">
        <v>1.23515</v>
      </c>
      <c r="E182">
        <v>1987.11</v>
      </c>
    </row>
    <row r="183" spans="1:5" x14ac:dyDescent="0.25">
      <c r="A183" s="39">
        <v>14.4</v>
      </c>
      <c r="B183" s="39">
        <v>2235.37</v>
      </c>
      <c r="C183" s="39">
        <v>261.78699999999998</v>
      </c>
      <c r="D183" s="39">
        <v>1.2346900000000001</v>
      </c>
      <c r="E183">
        <v>1987.04</v>
      </c>
    </row>
    <row r="184" spans="1:5" x14ac:dyDescent="0.25">
      <c r="A184" s="39">
        <v>14.3</v>
      </c>
      <c r="B184" s="39">
        <v>2246.69</v>
      </c>
      <c r="C184" s="39">
        <v>261.81299999999999</v>
      </c>
      <c r="D184" s="39">
        <v>1.23424</v>
      </c>
      <c r="E184">
        <v>1986.96</v>
      </c>
    </row>
    <row r="185" spans="1:5" x14ac:dyDescent="0.25">
      <c r="A185" s="39">
        <v>14.2</v>
      </c>
      <c r="B185" s="39">
        <v>2258.09</v>
      </c>
      <c r="C185" s="39">
        <v>261.839</v>
      </c>
      <c r="D185" s="39">
        <v>1.2337800000000001</v>
      </c>
      <c r="E185">
        <v>1986.88</v>
      </c>
    </row>
    <row r="186" spans="1:5" x14ac:dyDescent="0.25">
      <c r="A186" s="39">
        <v>14.1</v>
      </c>
      <c r="B186" s="39">
        <v>2269.58</v>
      </c>
      <c r="C186" s="39">
        <v>261.86599999999999</v>
      </c>
      <c r="D186" s="39">
        <v>1.23333</v>
      </c>
      <c r="E186">
        <v>1986.8</v>
      </c>
    </row>
    <row r="187" spans="1:5" x14ac:dyDescent="0.25">
      <c r="A187" s="39">
        <v>14</v>
      </c>
      <c r="B187" s="39">
        <v>2281.16</v>
      </c>
      <c r="C187" s="39">
        <v>261.89499999999998</v>
      </c>
      <c r="D187" s="39">
        <v>1.2328699999999999</v>
      </c>
      <c r="E187">
        <v>1986.73</v>
      </c>
    </row>
    <row r="188" spans="1:5" x14ac:dyDescent="0.25">
      <c r="A188" s="39">
        <v>13.9</v>
      </c>
      <c r="B188" s="39">
        <v>2292.8200000000002</v>
      </c>
      <c r="C188" s="39">
        <v>261.92399999999998</v>
      </c>
      <c r="D188" s="39">
        <v>1.23241</v>
      </c>
      <c r="E188">
        <v>1986.65</v>
      </c>
    </row>
    <row r="189" spans="1:5" x14ac:dyDescent="0.25">
      <c r="A189" s="39">
        <v>13.8</v>
      </c>
      <c r="B189" s="39">
        <v>2304.58</v>
      </c>
      <c r="C189" s="39">
        <v>261.95499999999998</v>
      </c>
      <c r="D189" s="39">
        <v>1.2319599999999999</v>
      </c>
      <c r="E189">
        <v>1986.57</v>
      </c>
    </row>
    <row r="190" spans="1:5" x14ac:dyDescent="0.25">
      <c r="A190" s="39">
        <v>13.7</v>
      </c>
      <c r="B190" s="39">
        <v>2316.42</v>
      </c>
      <c r="C190" s="39">
        <v>261.98700000000002</v>
      </c>
      <c r="D190" s="39">
        <v>1.2315</v>
      </c>
      <c r="E190">
        <v>1986.49</v>
      </c>
    </row>
    <row r="191" spans="1:5" x14ac:dyDescent="0.25">
      <c r="A191" s="39">
        <v>13.6</v>
      </c>
      <c r="B191" s="39">
        <v>2328.36</v>
      </c>
      <c r="C191" s="39">
        <v>262.02</v>
      </c>
      <c r="D191" s="39">
        <v>1.2310399999999999</v>
      </c>
      <c r="E191">
        <v>1986.41</v>
      </c>
    </row>
    <row r="192" spans="1:5" x14ac:dyDescent="0.25">
      <c r="A192" s="39">
        <v>13.5</v>
      </c>
      <c r="B192" s="39">
        <v>2340.38</v>
      </c>
      <c r="C192" s="39">
        <v>262.05399999999997</v>
      </c>
      <c r="D192" s="39">
        <v>1.23058</v>
      </c>
      <c r="E192">
        <v>1986.32</v>
      </c>
    </row>
    <row r="193" spans="1:5" x14ac:dyDescent="0.25">
      <c r="A193" s="39">
        <v>13.4</v>
      </c>
      <c r="B193" s="39">
        <v>2352.4899999999998</v>
      </c>
      <c r="C193" s="39">
        <v>262.08999999999997</v>
      </c>
      <c r="D193" s="39">
        <v>1.2301200000000001</v>
      </c>
      <c r="E193">
        <v>1986.24</v>
      </c>
    </row>
    <row r="194" spans="1:5" x14ac:dyDescent="0.25">
      <c r="A194" s="39">
        <v>13.3</v>
      </c>
      <c r="B194" s="39">
        <v>2364.69</v>
      </c>
      <c r="C194" s="39">
        <v>262.12700000000001</v>
      </c>
      <c r="D194" s="39">
        <v>1.22966</v>
      </c>
      <c r="E194">
        <v>1986.16</v>
      </c>
    </row>
    <row r="195" spans="1:5" x14ac:dyDescent="0.25">
      <c r="A195" s="39">
        <v>13.2</v>
      </c>
      <c r="B195" s="39">
        <v>2376.9699999999998</v>
      </c>
      <c r="C195" s="39">
        <v>262.166</v>
      </c>
      <c r="D195" s="39">
        <v>1.2292000000000001</v>
      </c>
      <c r="E195">
        <v>1986.08</v>
      </c>
    </row>
    <row r="196" spans="1:5" x14ac:dyDescent="0.25">
      <c r="A196" s="39">
        <v>13.1</v>
      </c>
      <c r="B196" s="39">
        <v>2389.34</v>
      </c>
      <c r="C196" s="39">
        <v>262.20699999999999</v>
      </c>
      <c r="D196" s="39">
        <v>1.2287399999999999</v>
      </c>
      <c r="E196">
        <v>1985.99</v>
      </c>
    </row>
    <row r="197" spans="1:5" x14ac:dyDescent="0.25">
      <c r="A197" s="39">
        <v>13</v>
      </c>
      <c r="B197" s="39">
        <v>2401.8000000000002</v>
      </c>
      <c r="C197" s="39">
        <v>262.24900000000002</v>
      </c>
      <c r="D197" s="39">
        <v>1.22828</v>
      </c>
      <c r="E197">
        <v>1985.91</v>
      </c>
    </row>
    <row r="198" spans="1:5" x14ac:dyDescent="0.25">
      <c r="A198" s="39">
        <v>12.9</v>
      </c>
      <c r="B198" s="39">
        <v>2414.34</v>
      </c>
      <c r="C198" s="39">
        <v>262.29300000000001</v>
      </c>
      <c r="D198" s="39">
        <v>1.2278199999999999</v>
      </c>
      <c r="E198">
        <v>1985.82</v>
      </c>
    </row>
    <row r="199" spans="1:5" x14ac:dyDescent="0.25">
      <c r="A199" s="39">
        <v>12.8</v>
      </c>
      <c r="B199" s="39">
        <v>2426.9699999999998</v>
      </c>
      <c r="C199" s="39">
        <v>262.33800000000002</v>
      </c>
      <c r="D199" s="39">
        <v>1.22736</v>
      </c>
      <c r="E199">
        <v>1985.74</v>
      </c>
    </row>
    <row r="200" spans="1:5" x14ac:dyDescent="0.25">
      <c r="A200" s="39">
        <v>12.7</v>
      </c>
      <c r="B200" s="39">
        <v>2439.6799999999998</v>
      </c>
      <c r="C200" s="39">
        <v>262.38600000000002</v>
      </c>
      <c r="D200" s="39">
        <v>1.2269000000000001</v>
      </c>
      <c r="E200">
        <v>1985.65</v>
      </c>
    </row>
    <row r="201" spans="1:5" x14ac:dyDescent="0.25">
      <c r="A201" s="39">
        <v>12.6</v>
      </c>
      <c r="B201" s="39">
        <v>2452.48</v>
      </c>
      <c r="C201" s="39">
        <v>262.43599999999998</v>
      </c>
      <c r="D201" s="39">
        <v>1.22644</v>
      </c>
      <c r="E201">
        <v>1985.56</v>
      </c>
    </row>
    <row r="202" spans="1:5" x14ac:dyDescent="0.25">
      <c r="A202" s="39">
        <v>12.5</v>
      </c>
      <c r="B202" s="39">
        <v>2465.36</v>
      </c>
      <c r="C202" s="39">
        <v>262.488</v>
      </c>
      <c r="D202" s="39">
        <v>1.2259800000000001</v>
      </c>
      <c r="E202">
        <v>1985.48</v>
      </c>
    </row>
    <row r="203" spans="1:5" x14ac:dyDescent="0.25">
      <c r="A203" s="39">
        <v>12.4</v>
      </c>
      <c r="B203" s="39">
        <v>2478.3200000000002</v>
      </c>
      <c r="C203" s="39">
        <v>262.54199999999997</v>
      </c>
      <c r="D203" s="39">
        <v>1.2255100000000001</v>
      </c>
      <c r="E203">
        <v>1985.39</v>
      </c>
    </row>
    <row r="204" spans="1:5" x14ac:dyDescent="0.25">
      <c r="A204" s="39">
        <v>12.3</v>
      </c>
      <c r="B204" s="39">
        <v>2491.36</v>
      </c>
      <c r="C204" s="39">
        <v>262.59899999999999</v>
      </c>
      <c r="D204" s="39">
        <v>1.22505</v>
      </c>
      <c r="E204">
        <v>1985.3</v>
      </c>
    </row>
    <row r="205" spans="1:5" x14ac:dyDescent="0.25">
      <c r="A205" s="39">
        <v>12.2</v>
      </c>
      <c r="B205" s="39">
        <v>2504.48</v>
      </c>
      <c r="C205" s="39">
        <v>262.65800000000002</v>
      </c>
      <c r="D205" s="39">
        <v>1.2245900000000001</v>
      </c>
      <c r="E205">
        <v>1985.21</v>
      </c>
    </row>
    <row r="206" spans="1:5" x14ac:dyDescent="0.25">
      <c r="A206" s="39">
        <v>12.1</v>
      </c>
      <c r="B206" s="39">
        <v>2517.6799999999998</v>
      </c>
      <c r="C206" s="39">
        <v>262.72000000000003</v>
      </c>
      <c r="D206" s="39">
        <v>1.2241299999999999</v>
      </c>
      <c r="E206">
        <v>1985.12</v>
      </c>
    </row>
    <row r="207" spans="1:5" x14ac:dyDescent="0.25">
      <c r="A207" s="39">
        <v>12</v>
      </c>
      <c r="B207" s="39">
        <v>2530.96</v>
      </c>
      <c r="C207" s="39">
        <v>262.78399999999999</v>
      </c>
      <c r="D207" s="39">
        <v>1.22367</v>
      </c>
      <c r="E207">
        <v>1985.03</v>
      </c>
    </row>
    <row r="208" spans="1:5" x14ac:dyDescent="0.25">
      <c r="A208" s="39">
        <v>11.9</v>
      </c>
      <c r="B208" s="39">
        <v>2544.31</v>
      </c>
      <c r="C208" s="39">
        <v>262.85199999999998</v>
      </c>
      <c r="D208" s="39">
        <v>1.2232099999999999</v>
      </c>
      <c r="E208">
        <v>1984.94</v>
      </c>
    </row>
    <row r="209" spans="1:5" x14ac:dyDescent="0.25">
      <c r="A209" s="39">
        <v>11.8</v>
      </c>
      <c r="B209" s="39">
        <v>2557.73</v>
      </c>
      <c r="C209" s="39">
        <v>262.92200000000003</v>
      </c>
      <c r="D209" s="39">
        <v>1.2227399999999999</v>
      </c>
      <c r="E209">
        <v>1984.84</v>
      </c>
    </row>
    <row r="210" spans="1:5" x14ac:dyDescent="0.25">
      <c r="A210" s="39">
        <v>11.7</v>
      </c>
      <c r="B210" s="39">
        <v>2571.23</v>
      </c>
      <c r="C210" s="39">
        <v>262.995</v>
      </c>
      <c r="D210" s="39">
        <v>1.22228</v>
      </c>
      <c r="E210">
        <v>1984.75</v>
      </c>
    </row>
    <row r="211" spans="1:5" x14ac:dyDescent="0.25">
      <c r="A211" s="39">
        <v>11.6</v>
      </c>
      <c r="B211" s="39">
        <v>2584.79</v>
      </c>
      <c r="C211" s="39">
        <v>263.072</v>
      </c>
      <c r="D211" s="39">
        <v>1.2218199999999999</v>
      </c>
      <c r="E211">
        <v>1984.65</v>
      </c>
    </row>
    <row r="212" spans="1:5" x14ac:dyDescent="0.25">
      <c r="A212" s="39">
        <v>11.5</v>
      </c>
      <c r="B212" s="39">
        <v>2598.4299999999998</v>
      </c>
      <c r="C212" s="39">
        <v>263.15300000000002</v>
      </c>
      <c r="D212" s="39">
        <v>1.22136</v>
      </c>
      <c r="E212">
        <v>1984.56</v>
      </c>
    </row>
    <row r="213" spans="1:5" x14ac:dyDescent="0.25">
      <c r="A213" s="39">
        <v>11.4</v>
      </c>
      <c r="B213" s="39">
        <v>2612.13</v>
      </c>
      <c r="C213" s="39">
        <v>263.23700000000002</v>
      </c>
      <c r="D213" s="39">
        <v>1.2209000000000001</v>
      </c>
      <c r="E213">
        <v>1984.46</v>
      </c>
    </row>
    <row r="214" spans="1:5" x14ac:dyDescent="0.25">
      <c r="A214" s="39">
        <v>11.3</v>
      </c>
      <c r="B214" s="39">
        <v>2625.89</v>
      </c>
      <c r="C214" s="39">
        <v>263.32400000000001</v>
      </c>
      <c r="D214" s="39">
        <v>1.22044</v>
      </c>
      <c r="E214">
        <v>1984.37</v>
      </c>
    </row>
    <row r="215" spans="1:5" x14ac:dyDescent="0.25">
      <c r="A215" s="39">
        <v>11.2</v>
      </c>
      <c r="B215" s="39">
        <v>2639.72</v>
      </c>
      <c r="C215" s="39">
        <v>263.416</v>
      </c>
      <c r="D215" s="39">
        <v>1.2199800000000001</v>
      </c>
      <c r="E215">
        <v>1984.27</v>
      </c>
    </row>
    <row r="216" spans="1:5" x14ac:dyDescent="0.25">
      <c r="A216" s="39">
        <v>11.1</v>
      </c>
      <c r="B216" s="39">
        <v>2653.61</v>
      </c>
      <c r="C216" s="39">
        <v>263.512</v>
      </c>
      <c r="D216" s="39">
        <v>1.2195199999999999</v>
      </c>
      <c r="E216">
        <v>1984.17</v>
      </c>
    </row>
    <row r="217" spans="1:5" x14ac:dyDescent="0.25">
      <c r="A217" s="39">
        <v>11</v>
      </c>
      <c r="B217" s="39">
        <v>2667.56</v>
      </c>
      <c r="C217" s="39">
        <v>263.61200000000002</v>
      </c>
      <c r="D217" s="39">
        <v>1.21906</v>
      </c>
      <c r="E217">
        <v>1984.07</v>
      </c>
    </row>
    <row r="218" spans="1:5" x14ac:dyDescent="0.25">
      <c r="A218" s="39">
        <v>10.9</v>
      </c>
      <c r="B218" s="39">
        <v>2681.56</v>
      </c>
      <c r="C218" s="39">
        <v>263.71699999999998</v>
      </c>
      <c r="D218" s="39">
        <v>1.21861</v>
      </c>
      <c r="E218">
        <v>1983.97</v>
      </c>
    </row>
    <row r="219" spans="1:5" x14ac:dyDescent="0.25">
      <c r="A219" s="39">
        <v>10.8</v>
      </c>
      <c r="B219" s="39">
        <v>2695.62</v>
      </c>
      <c r="C219" s="39">
        <v>263.82600000000002</v>
      </c>
      <c r="D219" s="39">
        <v>1.2181500000000001</v>
      </c>
      <c r="E219">
        <v>1983.87</v>
      </c>
    </row>
    <row r="220" spans="1:5" x14ac:dyDescent="0.25">
      <c r="A220" s="39">
        <v>10.7</v>
      </c>
      <c r="B220" s="39">
        <v>2709.73</v>
      </c>
      <c r="C220" s="39">
        <v>263.94</v>
      </c>
      <c r="D220" s="39">
        <v>1.2176899999999999</v>
      </c>
      <c r="E220">
        <v>1983.77</v>
      </c>
    </row>
    <row r="221" spans="1:5" x14ac:dyDescent="0.25">
      <c r="A221" s="39">
        <v>10.6</v>
      </c>
      <c r="B221" s="39">
        <v>2723.89</v>
      </c>
      <c r="C221" s="39">
        <v>264.06</v>
      </c>
      <c r="D221" s="39">
        <v>1.2172400000000001</v>
      </c>
      <c r="E221">
        <v>1983.66</v>
      </c>
    </row>
    <row r="222" spans="1:5" x14ac:dyDescent="0.25">
      <c r="A222" s="39">
        <v>10.5</v>
      </c>
      <c r="B222" s="39">
        <v>2738.09</v>
      </c>
      <c r="C222" s="39">
        <v>264.185</v>
      </c>
      <c r="D222" s="39">
        <v>1.21679</v>
      </c>
      <c r="E222">
        <v>1983.56</v>
      </c>
    </row>
    <row r="223" spans="1:5" x14ac:dyDescent="0.25">
      <c r="A223" s="39">
        <v>10.4</v>
      </c>
      <c r="B223" s="39">
        <v>2752.34</v>
      </c>
      <c r="C223" s="39">
        <v>264.315</v>
      </c>
      <c r="D223" s="39">
        <v>1.2163299999999999</v>
      </c>
      <c r="E223">
        <v>1983.46</v>
      </c>
    </row>
    <row r="224" spans="1:5" x14ac:dyDescent="0.25">
      <c r="A224" s="39">
        <v>10.3</v>
      </c>
      <c r="B224" s="39">
        <v>2766.63</v>
      </c>
      <c r="C224" s="39">
        <v>264.452</v>
      </c>
      <c r="D224" s="39">
        <v>1.2158800000000001</v>
      </c>
      <c r="E224">
        <v>1983.35</v>
      </c>
    </row>
    <row r="225" spans="1:5" x14ac:dyDescent="0.25">
      <c r="A225" s="39">
        <v>10.199999999999999</v>
      </c>
      <c r="B225" s="39">
        <v>2780.96</v>
      </c>
      <c r="C225" s="39">
        <v>264.59399999999999</v>
      </c>
      <c r="D225" s="39">
        <v>1.21543</v>
      </c>
      <c r="E225">
        <v>1983.24</v>
      </c>
    </row>
    <row r="226" spans="1:5" x14ac:dyDescent="0.25">
      <c r="A226" s="39">
        <v>10.1</v>
      </c>
      <c r="B226" s="39">
        <v>2795.33</v>
      </c>
      <c r="C226" s="39">
        <v>264.74299999999999</v>
      </c>
      <c r="D226" s="39">
        <v>1.2149799999999999</v>
      </c>
      <c r="E226">
        <v>1983.14</v>
      </c>
    </row>
    <row r="227" spans="1:5" x14ac:dyDescent="0.25">
      <c r="A227" s="39">
        <v>10</v>
      </c>
      <c r="B227" s="39">
        <v>2809.72</v>
      </c>
      <c r="C227" s="39">
        <v>264.89800000000002</v>
      </c>
      <c r="D227" s="39">
        <v>1.21454</v>
      </c>
      <c r="E227">
        <v>1983.03</v>
      </c>
    </row>
    <row r="228" spans="1:5" x14ac:dyDescent="0.25">
      <c r="A228" s="39">
        <v>9.9</v>
      </c>
      <c r="B228" s="39">
        <v>2824.15</v>
      </c>
      <c r="C228" s="39">
        <v>265.06099999999998</v>
      </c>
      <c r="D228" s="39">
        <v>1.2140899999999999</v>
      </c>
      <c r="E228">
        <v>1982.92</v>
      </c>
    </row>
    <row r="229" spans="1:5" x14ac:dyDescent="0.25">
      <c r="A229" s="39">
        <v>9.8000000000000007</v>
      </c>
      <c r="B229" s="39">
        <v>2838.61</v>
      </c>
      <c r="C229" s="39">
        <v>265.23</v>
      </c>
      <c r="D229" s="39">
        <v>1.2136499999999999</v>
      </c>
      <c r="E229">
        <v>1982.81</v>
      </c>
    </row>
    <row r="230" spans="1:5" x14ac:dyDescent="0.25">
      <c r="A230" s="39">
        <v>9.6999999999999993</v>
      </c>
      <c r="B230" s="39">
        <v>2853.09</v>
      </c>
      <c r="C230" s="39">
        <v>265.40699999999998</v>
      </c>
      <c r="D230" s="39">
        <v>1.2132000000000001</v>
      </c>
      <c r="E230">
        <v>1982.69</v>
      </c>
    </row>
    <row r="231" spans="1:5" x14ac:dyDescent="0.25">
      <c r="A231" s="39">
        <v>9.6</v>
      </c>
      <c r="B231" s="39">
        <v>2867.6</v>
      </c>
      <c r="C231" s="39">
        <v>265.59199999999998</v>
      </c>
      <c r="D231" s="39">
        <v>1.2127600000000001</v>
      </c>
      <c r="E231">
        <v>1982.58</v>
      </c>
    </row>
    <row r="232" spans="1:5" x14ac:dyDescent="0.25">
      <c r="A232" s="39">
        <v>9.5</v>
      </c>
      <c r="B232" s="39">
        <v>2882.13</v>
      </c>
      <c r="C232" s="39">
        <v>265.78500000000003</v>
      </c>
      <c r="D232" s="39">
        <v>1.2123200000000001</v>
      </c>
      <c r="E232">
        <v>1982.47</v>
      </c>
    </row>
    <row r="233" spans="1:5" x14ac:dyDescent="0.25">
      <c r="A233" s="39">
        <v>9.4</v>
      </c>
      <c r="B233" s="39">
        <v>2896.67</v>
      </c>
      <c r="C233" s="39">
        <v>265.98599999999999</v>
      </c>
      <c r="D233" s="39">
        <v>1.2118899999999999</v>
      </c>
      <c r="E233">
        <v>1982.35</v>
      </c>
    </row>
    <row r="234" spans="1:5" x14ac:dyDescent="0.25">
      <c r="A234" s="39">
        <v>9.3000000000000007</v>
      </c>
      <c r="B234" s="39">
        <v>2911.23</v>
      </c>
      <c r="C234" s="39">
        <v>266.19600000000003</v>
      </c>
      <c r="D234" s="39">
        <v>1.2114499999999999</v>
      </c>
      <c r="E234">
        <v>1982.23</v>
      </c>
    </row>
    <row r="235" spans="1:5" x14ac:dyDescent="0.25">
      <c r="A235" s="39">
        <v>9.1999999999999993</v>
      </c>
      <c r="B235" s="39">
        <v>2925.8</v>
      </c>
      <c r="C235" s="39">
        <v>266.41500000000002</v>
      </c>
      <c r="D235" s="39">
        <v>1.21102</v>
      </c>
      <c r="E235">
        <v>1982.11</v>
      </c>
    </row>
    <row r="236" spans="1:5" x14ac:dyDescent="0.25">
      <c r="A236" s="39">
        <v>9.1</v>
      </c>
      <c r="B236" s="39">
        <v>2940.38</v>
      </c>
      <c r="C236" s="39">
        <v>266.64299999999997</v>
      </c>
      <c r="D236" s="39">
        <v>1.2105900000000001</v>
      </c>
      <c r="E236">
        <v>1982</v>
      </c>
    </row>
    <row r="237" spans="1:5" x14ac:dyDescent="0.25">
      <c r="A237" s="39">
        <v>9</v>
      </c>
      <c r="B237" s="39">
        <v>2954.97</v>
      </c>
      <c r="C237" s="39">
        <v>266.88099999999997</v>
      </c>
      <c r="D237" s="39">
        <v>1.2101599999999999</v>
      </c>
      <c r="E237">
        <v>1981.87</v>
      </c>
    </row>
    <row r="238" spans="1:5" x14ac:dyDescent="0.25">
      <c r="A238" s="39">
        <v>8.9</v>
      </c>
      <c r="B238" s="39">
        <v>2969.57</v>
      </c>
      <c r="C238" s="39">
        <v>267.13</v>
      </c>
      <c r="D238" s="39">
        <v>1.20974</v>
      </c>
      <c r="E238">
        <v>1981.75</v>
      </c>
    </row>
    <row r="239" spans="1:5" x14ac:dyDescent="0.25">
      <c r="A239" s="39">
        <v>8.8000000000000007</v>
      </c>
      <c r="B239" s="39">
        <v>2984.16</v>
      </c>
      <c r="C239" s="39">
        <v>267.38900000000001</v>
      </c>
      <c r="D239" s="39">
        <v>1.20932</v>
      </c>
      <c r="E239">
        <v>1981.63</v>
      </c>
    </row>
    <row r="240" spans="1:5" x14ac:dyDescent="0.25">
      <c r="A240" s="39">
        <v>8.6999999999999993</v>
      </c>
      <c r="B240" s="39">
        <v>2998.76</v>
      </c>
      <c r="C240" s="39">
        <v>267.65899999999999</v>
      </c>
      <c r="D240" s="39">
        <v>1.2089000000000001</v>
      </c>
      <c r="E240">
        <v>1981.51</v>
      </c>
    </row>
    <row r="241" spans="1:5" x14ac:dyDescent="0.25">
      <c r="A241" s="39">
        <v>8.6</v>
      </c>
      <c r="B241" s="39">
        <v>3013.32</v>
      </c>
      <c r="C241" s="39">
        <v>267.93700000000001</v>
      </c>
      <c r="D241" s="39">
        <v>1.20913</v>
      </c>
      <c r="E241">
        <v>1981.38</v>
      </c>
    </row>
    <row r="242" spans="1:5" x14ac:dyDescent="0.25">
      <c r="A242" s="39">
        <v>8.5</v>
      </c>
      <c r="B242" s="39">
        <v>3027.94</v>
      </c>
      <c r="C242" s="39">
        <v>268.23099999999999</v>
      </c>
      <c r="D242" s="39">
        <v>1.20875</v>
      </c>
      <c r="E242">
        <v>1981.25</v>
      </c>
    </row>
    <row r="243" spans="1:5" x14ac:dyDescent="0.25">
      <c r="A243" s="39">
        <v>8.4</v>
      </c>
      <c r="B243" s="39">
        <v>3042.55</v>
      </c>
      <c r="C243" s="39">
        <v>268.536</v>
      </c>
      <c r="D243" s="39">
        <v>1.20838</v>
      </c>
      <c r="E243">
        <v>1981.12</v>
      </c>
    </row>
    <row r="244" spans="1:5" x14ac:dyDescent="0.25">
      <c r="A244" s="39">
        <v>8.3000000000000007</v>
      </c>
      <c r="B244" s="39">
        <v>3057.16</v>
      </c>
      <c r="C244" s="39">
        <v>268.85500000000002</v>
      </c>
      <c r="D244" s="39">
        <v>1.20801</v>
      </c>
      <c r="E244">
        <v>1980.99</v>
      </c>
    </row>
    <row r="245" spans="1:5" x14ac:dyDescent="0.25">
      <c r="A245" s="39">
        <v>8.1999999999999993</v>
      </c>
      <c r="B245" s="39">
        <v>3071.76</v>
      </c>
      <c r="C245" s="39">
        <v>269.18599999999998</v>
      </c>
      <c r="D245" s="39">
        <v>1.20764</v>
      </c>
      <c r="E245">
        <v>1980.86</v>
      </c>
    </row>
    <row r="246" spans="1:5" x14ac:dyDescent="0.25">
      <c r="A246" s="39">
        <v>8.1</v>
      </c>
      <c r="B246" s="39">
        <v>3086.34</v>
      </c>
      <c r="C246" s="39">
        <v>269.53100000000001</v>
      </c>
      <c r="D246" s="39">
        <v>1.2072799999999999</v>
      </c>
      <c r="E246">
        <v>1980.73</v>
      </c>
    </row>
    <row r="247" spans="1:5" x14ac:dyDescent="0.25">
      <c r="A247" s="39">
        <v>8</v>
      </c>
      <c r="B247" s="39">
        <v>3100.92</v>
      </c>
      <c r="C247" s="39">
        <v>269.89100000000002</v>
      </c>
      <c r="D247" s="39">
        <v>1.20692</v>
      </c>
      <c r="E247">
        <v>1980.59</v>
      </c>
    </row>
    <row r="248" spans="1:5" x14ac:dyDescent="0.25">
      <c r="A248" s="39">
        <v>7.9</v>
      </c>
      <c r="B248" s="39">
        <v>3115.47</v>
      </c>
      <c r="C248" s="39">
        <v>270.26499999999999</v>
      </c>
      <c r="D248" s="39">
        <v>1.20658</v>
      </c>
      <c r="E248">
        <v>1980.45</v>
      </c>
    </row>
    <row r="249" spans="1:5" x14ac:dyDescent="0.25">
      <c r="A249" s="39">
        <v>7.8</v>
      </c>
      <c r="B249" s="39">
        <v>3130.02</v>
      </c>
      <c r="C249" s="39">
        <v>270.65499999999997</v>
      </c>
      <c r="D249" s="39">
        <v>1.2062299999999999</v>
      </c>
      <c r="E249">
        <v>1980.32</v>
      </c>
    </row>
    <row r="250" spans="1:5" x14ac:dyDescent="0.25">
      <c r="A250" s="39">
        <v>7.7</v>
      </c>
      <c r="B250" s="39">
        <v>3144.54</v>
      </c>
      <c r="C250" s="39">
        <v>271.06</v>
      </c>
      <c r="D250" s="39">
        <v>1.2058899999999999</v>
      </c>
      <c r="E250">
        <v>1980.18</v>
      </c>
    </row>
    <row r="251" spans="1:5" x14ac:dyDescent="0.25">
      <c r="A251" s="39">
        <v>7.6</v>
      </c>
      <c r="B251" s="39">
        <v>3159.04</v>
      </c>
      <c r="C251" s="39">
        <v>271.483</v>
      </c>
      <c r="D251" s="39">
        <v>1.20556</v>
      </c>
      <c r="E251">
        <v>1980.03</v>
      </c>
    </row>
    <row r="252" spans="1:5" x14ac:dyDescent="0.25">
      <c r="A252" s="39">
        <v>7.5</v>
      </c>
      <c r="B252" s="39">
        <v>3173.53</v>
      </c>
      <c r="C252" s="39">
        <v>271.92200000000003</v>
      </c>
      <c r="D252" s="39">
        <v>1.20523</v>
      </c>
      <c r="E252">
        <v>1979.89</v>
      </c>
    </row>
    <row r="253" spans="1:5" x14ac:dyDescent="0.25">
      <c r="A253" s="39">
        <v>7.4</v>
      </c>
      <c r="B253" s="39">
        <v>3187.98</v>
      </c>
      <c r="C253" s="39">
        <v>272.37900000000002</v>
      </c>
      <c r="D253" s="39">
        <v>1.2049099999999999</v>
      </c>
      <c r="E253">
        <v>1979.74</v>
      </c>
    </row>
    <row r="254" spans="1:5" x14ac:dyDescent="0.25">
      <c r="A254" s="39">
        <v>7.3</v>
      </c>
      <c r="B254" s="39">
        <v>3202.42</v>
      </c>
      <c r="C254" s="39">
        <v>272.85500000000002</v>
      </c>
      <c r="D254" s="39">
        <v>1.2045999999999999</v>
      </c>
      <c r="E254">
        <v>1979.6</v>
      </c>
    </row>
    <row r="255" spans="1:5" x14ac:dyDescent="0.25">
      <c r="A255" s="39">
        <v>7.2</v>
      </c>
      <c r="B255" s="39">
        <v>3216.83</v>
      </c>
      <c r="C255" s="39">
        <v>273.35000000000002</v>
      </c>
      <c r="D255" s="39">
        <v>1.2042900000000001</v>
      </c>
      <c r="E255">
        <v>1979.45</v>
      </c>
    </row>
    <row r="256" spans="1:5" x14ac:dyDescent="0.25">
      <c r="A256" s="39">
        <v>7.1</v>
      </c>
      <c r="B256" s="39">
        <v>3231.21</v>
      </c>
      <c r="C256" s="39">
        <v>273.86500000000001</v>
      </c>
      <c r="D256" s="39">
        <v>1.2039899999999999</v>
      </c>
      <c r="E256">
        <v>1979.3</v>
      </c>
    </row>
    <row r="257" spans="1:5" x14ac:dyDescent="0.25">
      <c r="A257" s="39">
        <v>7</v>
      </c>
      <c r="B257" s="39">
        <v>3245.56</v>
      </c>
      <c r="C257" s="39">
        <v>274.39999999999998</v>
      </c>
      <c r="D257" s="39">
        <v>1.2037</v>
      </c>
      <c r="E257">
        <v>1979.14</v>
      </c>
    </row>
    <row r="258" spans="1:5" x14ac:dyDescent="0.25">
      <c r="A258" s="39">
        <v>6.9</v>
      </c>
      <c r="B258" s="39">
        <v>3259.89</v>
      </c>
      <c r="C258" s="39">
        <v>274.95800000000003</v>
      </c>
      <c r="D258" s="39">
        <v>1.2034100000000001</v>
      </c>
      <c r="E258">
        <v>1978.99</v>
      </c>
    </row>
    <row r="259" spans="1:5" x14ac:dyDescent="0.25">
      <c r="A259" s="39">
        <v>6.8</v>
      </c>
      <c r="B259" s="39">
        <v>3274.18</v>
      </c>
      <c r="C259" s="39">
        <v>275.53800000000001</v>
      </c>
      <c r="D259" s="39">
        <v>1.20313</v>
      </c>
      <c r="E259">
        <v>1978.83</v>
      </c>
    </row>
    <row r="260" spans="1:5" x14ac:dyDescent="0.25">
      <c r="A260" s="39">
        <v>6.7</v>
      </c>
      <c r="B260" s="39">
        <v>3288.44</v>
      </c>
      <c r="C260" s="39">
        <v>276.14100000000002</v>
      </c>
      <c r="D260" s="39">
        <v>1.20286</v>
      </c>
      <c r="E260">
        <v>1978.67</v>
      </c>
    </row>
    <row r="261" spans="1:5" x14ac:dyDescent="0.25">
      <c r="A261" s="39">
        <v>6.6</v>
      </c>
      <c r="B261" s="39">
        <v>3302.66</v>
      </c>
      <c r="C261" s="39">
        <v>276.76900000000001</v>
      </c>
      <c r="D261" s="39">
        <v>1.20259</v>
      </c>
      <c r="E261">
        <v>1978.51</v>
      </c>
    </row>
    <row r="262" spans="1:5" x14ac:dyDescent="0.25">
      <c r="A262" s="39">
        <v>6.5</v>
      </c>
      <c r="B262" s="39">
        <v>3316.85</v>
      </c>
      <c r="C262" s="39">
        <v>277.42200000000003</v>
      </c>
      <c r="D262" s="39">
        <v>1.20234</v>
      </c>
      <c r="E262">
        <v>1978.34</v>
      </c>
    </row>
    <row r="263" spans="1:5" x14ac:dyDescent="0.25">
      <c r="A263" s="39">
        <v>6.4</v>
      </c>
      <c r="B263" s="39">
        <v>3331</v>
      </c>
      <c r="C263" s="39">
        <v>278.10199999999998</v>
      </c>
      <c r="D263" s="39">
        <v>1.2020900000000001</v>
      </c>
      <c r="E263">
        <v>1978.17</v>
      </c>
    </row>
    <row r="264" spans="1:5" x14ac:dyDescent="0.25">
      <c r="A264" s="39">
        <v>6.3</v>
      </c>
      <c r="B264" s="39">
        <v>3345.12</v>
      </c>
      <c r="C264" s="39">
        <v>278.81</v>
      </c>
      <c r="D264" s="39">
        <v>1.2018500000000001</v>
      </c>
      <c r="E264">
        <v>1978</v>
      </c>
    </row>
    <row r="265" spans="1:5" x14ac:dyDescent="0.25">
      <c r="A265" s="39">
        <v>6.2</v>
      </c>
      <c r="B265" s="39">
        <v>3359.19</v>
      </c>
      <c r="C265" s="39">
        <v>279.54599999999999</v>
      </c>
      <c r="D265" s="39">
        <v>1.2016199999999999</v>
      </c>
      <c r="E265">
        <v>1977.83</v>
      </c>
    </row>
    <row r="266" spans="1:5" x14ac:dyDescent="0.25">
      <c r="A266" s="39">
        <v>6.1</v>
      </c>
      <c r="B266" s="39">
        <v>3373.21</v>
      </c>
      <c r="C266" s="39">
        <v>280.31299999999999</v>
      </c>
      <c r="D266" s="39">
        <v>1.2014</v>
      </c>
      <c r="E266">
        <v>1977.65</v>
      </c>
    </row>
    <row r="267" spans="1:5" x14ac:dyDescent="0.25">
      <c r="A267" s="39">
        <v>6</v>
      </c>
      <c r="B267" s="39">
        <v>3387.19</v>
      </c>
      <c r="C267" s="39">
        <v>281.11099999999999</v>
      </c>
      <c r="D267" s="39">
        <v>1.2011799999999999</v>
      </c>
      <c r="E267">
        <v>1977.48</v>
      </c>
    </row>
    <row r="268" spans="1:5" x14ac:dyDescent="0.25">
      <c r="A268" s="39">
        <v>5.9</v>
      </c>
      <c r="B268" s="39">
        <v>3401.13</v>
      </c>
      <c r="C268" s="39">
        <v>281.94200000000001</v>
      </c>
      <c r="D268" s="39">
        <v>1.2009799999999999</v>
      </c>
      <c r="E268">
        <v>1977.29</v>
      </c>
    </row>
    <row r="269" spans="1:5" x14ac:dyDescent="0.25">
      <c r="A269" s="39">
        <v>5.8</v>
      </c>
      <c r="B269" s="39">
        <v>3415.01</v>
      </c>
      <c r="C269" s="39">
        <v>282.80799999999999</v>
      </c>
      <c r="D269" s="39">
        <v>1.20079</v>
      </c>
      <c r="E269">
        <v>1977.11</v>
      </c>
    </row>
    <row r="270" spans="1:5" x14ac:dyDescent="0.25">
      <c r="A270" s="39">
        <v>5.7</v>
      </c>
      <c r="B270" s="39">
        <v>3428.84</v>
      </c>
      <c r="C270" s="39">
        <v>283.70999999999998</v>
      </c>
      <c r="D270" s="39">
        <v>1.20061</v>
      </c>
      <c r="E270">
        <v>1976.92</v>
      </c>
    </row>
    <row r="271" spans="1:5" x14ac:dyDescent="0.25">
      <c r="A271" s="39">
        <v>5.6</v>
      </c>
      <c r="B271" s="39">
        <v>3442.62</v>
      </c>
      <c r="C271" s="39">
        <v>284.64999999999998</v>
      </c>
      <c r="D271" s="39">
        <v>1.2004300000000001</v>
      </c>
      <c r="E271">
        <v>1976.73</v>
      </c>
    </row>
    <row r="272" spans="1:5" x14ac:dyDescent="0.25">
      <c r="A272" s="39">
        <v>5.5</v>
      </c>
      <c r="B272" s="39">
        <v>3456.33</v>
      </c>
      <c r="C272" s="39">
        <v>285.63</v>
      </c>
      <c r="D272" s="39">
        <v>1.2002699999999999</v>
      </c>
      <c r="E272">
        <v>1976.54</v>
      </c>
    </row>
    <row r="273" spans="1:5" x14ac:dyDescent="0.25">
      <c r="A273" s="39">
        <v>5.4</v>
      </c>
      <c r="B273" s="39">
        <v>3469.97</v>
      </c>
      <c r="C273" s="39">
        <v>286.65100000000001</v>
      </c>
      <c r="D273" s="39">
        <v>1.2001299999999999</v>
      </c>
      <c r="E273">
        <v>1976.34</v>
      </c>
    </row>
    <row r="274" spans="1:5" x14ac:dyDescent="0.25">
      <c r="A274" s="39">
        <v>5.3</v>
      </c>
      <c r="B274" s="39">
        <v>3483.54</v>
      </c>
      <c r="C274" s="39">
        <v>287.71699999999998</v>
      </c>
      <c r="D274" s="39">
        <v>1.1999899999999999</v>
      </c>
      <c r="E274">
        <v>1976.14</v>
      </c>
    </row>
    <row r="275" spans="1:5" x14ac:dyDescent="0.25">
      <c r="A275" s="39">
        <v>5.2</v>
      </c>
      <c r="B275" s="39">
        <v>3497.03</v>
      </c>
      <c r="C275" s="39">
        <v>288.82799999999997</v>
      </c>
      <c r="D275" s="39">
        <v>1.19987</v>
      </c>
      <c r="E275">
        <v>1975.94</v>
      </c>
    </row>
    <row r="276" spans="1:5" x14ac:dyDescent="0.25">
      <c r="A276" s="39">
        <v>5.0999999999999996</v>
      </c>
      <c r="B276" s="39">
        <v>3510.44</v>
      </c>
      <c r="C276" s="39">
        <v>289.98899999999998</v>
      </c>
      <c r="D276" s="39">
        <v>1.1997599999999999</v>
      </c>
      <c r="E276">
        <v>1975.73</v>
      </c>
    </row>
    <row r="277" spans="1:5" x14ac:dyDescent="0.25">
      <c r="A277" s="39">
        <v>5</v>
      </c>
      <c r="B277" s="39">
        <v>3523.75</v>
      </c>
      <c r="C277" s="39">
        <v>291.20100000000002</v>
      </c>
      <c r="D277" s="39">
        <v>1.19967</v>
      </c>
      <c r="E277">
        <v>1975.52</v>
      </c>
    </row>
    <row r="278" spans="1:5" x14ac:dyDescent="0.25">
      <c r="A278" s="39">
        <v>4.99</v>
      </c>
      <c r="B278" s="39">
        <v>3525.07</v>
      </c>
      <c r="C278" s="39">
        <v>291.32499999999999</v>
      </c>
      <c r="D278" s="39">
        <v>1.1996599999999999</v>
      </c>
      <c r="E278">
        <v>1975.49</v>
      </c>
    </row>
    <row r="279" spans="1:5" x14ac:dyDescent="0.25">
      <c r="A279" s="39">
        <v>4.9800000000000004</v>
      </c>
      <c r="B279" s="39">
        <v>3526.4</v>
      </c>
      <c r="C279" s="39">
        <v>291.45</v>
      </c>
      <c r="D279" s="39">
        <v>1.1996500000000001</v>
      </c>
      <c r="E279">
        <v>1975.47</v>
      </c>
    </row>
    <row r="280" spans="1:5" x14ac:dyDescent="0.25">
      <c r="A280" s="39">
        <v>4.97</v>
      </c>
      <c r="B280" s="39">
        <v>3527.72</v>
      </c>
      <c r="C280" s="39">
        <v>291.57499999999999</v>
      </c>
      <c r="D280" s="39">
        <v>1.19964</v>
      </c>
      <c r="E280">
        <v>1975.45</v>
      </c>
    </row>
    <row r="281" spans="1:5" x14ac:dyDescent="0.25">
      <c r="A281" s="39">
        <v>4.96</v>
      </c>
      <c r="B281" s="39">
        <v>3529.05</v>
      </c>
      <c r="C281" s="39">
        <v>291.70100000000002</v>
      </c>
      <c r="D281" s="39">
        <v>1.19963</v>
      </c>
      <c r="E281">
        <v>1975.43</v>
      </c>
    </row>
    <row r="282" spans="1:5" x14ac:dyDescent="0.25">
      <c r="A282" s="39">
        <v>4.95</v>
      </c>
      <c r="B282" s="39">
        <v>3530.36</v>
      </c>
      <c r="C282" s="39">
        <v>291.827</v>
      </c>
      <c r="D282" s="39">
        <v>1.19963</v>
      </c>
      <c r="E282">
        <v>1975.41</v>
      </c>
    </row>
    <row r="283" spans="1:5" x14ac:dyDescent="0.25">
      <c r="A283" s="39">
        <v>4.9400000000000004</v>
      </c>
      <c r="B283" s="39">
        <v>3531.69</v>
      </c>
      <c r="C283" s="39">
        <v>291.95400000000001</v>
      </c>
      <c r="D283" s="39">
        <v>1.1996199999999999</v>
      </c>
      <c r="E283">
        <v>1975.39</v>
      </c>
    </row>
    <row r="284" spans="1:5" x14ac:dyDescent="0.25">
      <c r="A284" s="39">
        <v>4.93</v>
      </c>
      <c r="B284" s="39">
        <v>3533</v>
      </c>
      <c r="C284" s="39">
        <v>292.08199999999999</v>
      </c>
      <c r="D284" s="39">
        <v>1.1996100000000001</v>
      </c>
      <c r="E284">
        <v>1975.36</v>
      </c>
    </row>
    <row r="285" spans="1:5" x14ac:dyDescent="0.25">
      <c r="A285" s="39">
        <v>4.92</v>
      </c>
      <c r="B285" s="39">
        <v>3534.32</v>
      </c>
      <c r="C285" s="39">
        <v>292.209</v>
      </c>
      <c r="D285" s="39">
        <v>1.1996</v>
      </c>
      <c r="E285">
        <v>1975.34</v>
      </c>
    </row>
    <row r="286" spans="1:5" x14ac:dyDescent="0.25">
      <c r="A286" s="39">
        <v>4.91</v>
      </c>
      <c r="B286" s="39">
        <v>3535.64</v>
      </c>
      <c r="C286" s="39">
        <v>292.33800000000002</v>
      </c>
      <c r="D286" s="39">
        <v>1.1996</v>
      </c>
      <c r="E286">
        <v>1975.32</v>
      </c>
    </row>
    <row r="287" spans="1:5" x14ac:dyDescent="0.25">
      <c r="A287" s="39">
        <v>4.9000000000000004</v>
      </c>
      <c r="B287" s="39">
        <v>3536.95</v>
      </c>
      <c r="C287" s="39">
        <v>292.46699999999998</v>
      </c>
      <c r="D287" s="39">
        <v>1.1995899999999999</v>
      </c>
      <c r="E287">
        <v>1975.3</v>
      </c>
    </row>
    <row r="288" spans="1:5" x14ac:dyDescent="0.25">
      <c r="A288" s="39">
        <v>4.8899999999999997</v>
      </c>
      <c r="B288" s="39">
        <v>3538.27</v>
      </c>
      <c r="C288" s="39">
        <v>292.59699999999998</v>
      </c>
      <c r="D288" s="39">
        <v>1.1995800000000001</v>
      </c>
      <c r="E288">
        <v>1975.28</v>
      </c>
    </row>
    <row r="289" spans="1:5" x14ac:dyDescent="0.25">
      <c r="A289" s="39">
        <v>4.88</v>
      </c>
      <c r="B289" s="39">
        <v>3539.58</v>
      </c>
      <c r="C289" s="39">
        <v>292.72699999999998</v>
      </c>
      <c r="D289" s="39">
        <v>1.19957</v>
      </c>
      <c r="E289">
        <v>1975.25</v>
      </c>
    </row>
    <row r="290" spans="1:5" x14ac:dyDescent="0.25">
      <c r="A290" s="39">
        <v>4.87</v>
      </c>
      <c r="B290" s="39">
        <v>3540.9</v>
      </c>
      <c r="C290" s="39">
        <v>292.858</v>
      </c>
      <c r="D290" s="39">
        <v>1.19957</v>
      </c>
      <c r="E290">
        <v>1975.23</v>
      </c>
    </row>
    <row r="291" spans="1:5" x14ac:dyDescent="0.25">
      <c r="A291" s="39">
        <v>4.8600000000000003</v>
      </c>
      <c r="B291" s="39">
        <v>3542.21</v>
      </c>
      <c r="C291" s="39">
        <v>292.99</v>
      </c>
      <c r="D291" s="39">
        <v>1.19956</v>
      </c>
      <c r="E291">
        <v>1975.21</v>
      </c>
    </row>
    <row r="292" spans="1:5" x14ac:dyDescent="0.25">
      <c r="A292" s="39">
        <v>4.8499999999999996</v>
      </c>
      <c r="B292" s="39">
        <v>3543.52</v>
      </c>
      <c r="C292" s="39">
        <v>293.12200000000001</v>
      </c>
      <c r="D292" s="39">
        <v>1.19956</v>
      </c>
      <c r="E292">
        <v>1975.19</v>
      </c>
    </row>
    <row r="293" spans="1:5" x14ac:dyDescent="0.25">
      <c r="A293" s="39">
        <v>4.84</v>
      </c>
      <c r="B293" s="39">
        <v>3544.82</v>
      </c>
      <c r="C293" s="39">
        <v>293.25400000000002</v>
      </c>
      <c r="D293" s="39">
        <v>1.1995499999999999</v>
      </c>
      <c r="E293">
        <v>1975.17</v>
      </c>
    </row>
    <row r="294" spans="1:5" x14ac:dyDescent="0.25">
      <c r="A294" s="39">
        <v>4.83</v>
      </c>
      <c r="B294" s="39">
        <v>3546.13</v>
      </c>
      <c r="C294" s="39">
        <v>293.38799999999998</v>
      </c>
      <c r="D294" s="39">
        <v>1.1995400000000001</v>
      </c>
      <c r="E294">
        <v>1975.14</v>
      </c>
    </row>
    <row r="295" spans="1:5" x14ac:dyDescent="0.25">
      <c r="A295" s="39">
        <v>4.82</v>
      </c>
      <c r="B295" s="39">
        <v>3547.44</v>
      </c>
      <c r="C295" s="39">
        <v>293.52100000000002</v>
      </c>
      <c r="D295" s="39">
        <v>1.1995400000000001</v>
      </c>
      <c r="E295">
        <v>1975.12</v>
      </c>
    </row>
    <row r="296" spans="1:5" x14ac:dyDescent="0.25">
      <c r="A296" s="39">
        <v>4.8099999999999996</v>
      </c>
      <c r="B296" s="39">
        <v>3548.74</v>
      </c>
      <c r="C296" s="39">
        <v>293.65600000000001</v>
      </c>
      <c r="D296" s="39">
        <v>1.19953</v>
      </c>
      <c r="E296">
        <v>1975.1</v>
      </c>
    </row>
    <row r="297" spans="1:5" x14ac:dyDescent="0.25">
      <c r="A297" s="39">
        <v>4.8</v>
      </c>
      <c r="B297" s="39">
        <v>3550.04</v>
      </c>
      <c r="C297" s="39">
        <v>293.791</v>
      </c>
      <c r="D297" s="39">
        <v>1.19953</v>
      </c>
      <c r="E297">
        <v>1975.08</v>
      </c>
    </row>
    <row r="298" spans="1:5" x14ac:dyDescent="0.25">
      <c r="A298" s="39">
        <v>4.79</v>
      </c>
      <c r="B298" s="39">
        <v>3551.35</v>
      </c>
      <c r="C298" s="39">
        <v>293.92700000000002</v>
      </c>
      <c r="D298" s="39">
        <v>1.1995199999999999</v>
      </c>
      <c r="E298">
        <v>1975.06</v>
      </c>
    </row>
    <row r="299" spans="1:5" x14ac:dyDescent="0.25">
      <c r="A299" s="39">
        <v>4.78</v>
      </c>
      <c r="B299" s="39">
        <v>3552.65</v>
      </c>
      <c r="C299" s="39">
        <v>294.06299999999999</v>
      </c>
      <c r="D299" s="39">
        <v>1.1995199999999999</v>
      </c>
      <c r="E299">
        <v>1975.03</v>
      </c>
    </row>
    <row r="300" spans="1:5" x14ac:dyDescent="0.25">
      <c r="A300" s="39">
        <v>4.7699999999999996</v>
      </c>
      <c r="B300" s="39">
        <v>3553.95</v>
      </c>
      <c r="C300" s="39">
        <v>294.2</v>
      </c>
      <c r="D300" s="39">
        <v>1.1995100000000001</v>
      </c>
      <c r="E300">
        <v>1975.01</v>
      </c>
    </row>
    <row r="301" spans="1:5" x14ac:dyDescent="0.25">
      <c r="A301" s="39">
        <v>4.76</v>
      </c>
      <c r="B301" s="39">
        <v>3555.25</v>
      </c>
      <c r="C301" s="39">
        <v>294.33699999999999</v>
      </c>
      <c r="D301" s="39">
        <v>1.1995100000000001</v>
      </c>
      <c r="E301">
        <v>1974.99</v>
      </c>
    </row>
    <row r="302" spans="1:5" x14ac:dyDescent="0.25">
      <c r="A302" s="39">
        <v>4.75</v>
      </c>
      <c r="B302" s="39">
        <v>3556.54</v>
      </c>
      <c r="C302" s="39">
        <v>294.47500000000002</v>
      </c>
      <c r="D302" s="39">
        <v>1.1995</v>
      </c>
      <c r="E302">
        <v>1974.97</v>
      </c>
    </row>
    <row r="303" spans="1:5" x14ac:dyDescent="0.25">
      <c r="A303" s="39">
        <v>4.74</v>
      </c>
      <c r="B303" s="39">
        <v>3557.84</v>
      </c>
      <c r="C303" s="39">
        <v>294.61399999999998</v>
      </c>
      <c r="D303" s="39">
        <v>1.1995</v>
      </c>
      <c r="E303">
        <v>1974.94</v>
      </c>
    </row>
    <row r="304" spans="1:5" x14ac:dyDescent="0.25">
      <c r="A304" s="39">
        <v>4.7300000000000004</v>
      </c>
      <c r="B304" s="39">
        <v>3559.13</v>
      </c>
      <c r="C304" s="39">
        <v>294.75400000000002</v>
      </c>
      <c r="D304" s="39">
        <v>1.1994899999999999</v>
      </c>
      <c r="E304">
        <v>1974.92</v>
      </c>
    </row>
    <row r="305" spans="1:5" x14ac:dyDescent="0.25">
      <c r="A305" s="39">
        <v>4.72</v>
      </c>
      <c r="B305" s="39">
        <v>3560.43</v>
      </c>
      <c r="C305" s="39">
        <v>294.89400000000001</v>
      </c>
      <c r="D305" s="39">
        <v>1.1994899999999999</v>
      </c>
      <c r="E305">
        <v>1974.9</v>
      </c>
    </row>
    <row r="306" spans="1:5" x14ac:dyDescent="0.25">
      <c r="A306" s="39">
        <v>4.71</v>
      </c>
      <c r="B306" s="39">
        <v>3561.72</v>
      </c>
      <c r="C306" s="39">
        <v>295.03399999999999</v>
      </c>
      <c r="D306" s="39">
        <v>1.1994800000000001</v>
      </c>
      <c r="E306">
        <v>1974.88</v>
      </c>
    </row>
    <row r="307" spans="1:5" x14ac:dyDescent="0.25">
      <c r="A307" s="39">
        <v>4.7</v>
      </c>
      <c r="B307" s="39">
        <v>3563.01</v>
      </c>
      <c r="C307" s="39">
        <v>295.17599999999999</v>
      </c>
      <c r="D307" s="39">
        <v>1.1994800000000001</v>
      </c>
      <c r="E307">
        <v>1974.85</v>
      </c>
    </row>
    <row r="308" spans="1:5" x14ac:dyDescent="0.25">
      <c r="A308" s="39">
        <v>4.6900000000000004</v>
      </c>
      <c r="B308" s="39">
        <v>3564.29</v>
      </c>
      <c r="C308" s="39">
        <v>295.31799999999998</v>
      </c>
      <c r="D308" s="39">
        <v>1.1994800000000001</v>
      </c>
      <c r="E308">
        <v>1974.83</v>
      </c>
    </row>
    <row r="309" spans="1:5" x14ac:dyDescent="0.25">
      <c r="A309" s="39">
        <v>4.68</v>
      </c>
      <c r="B309" s="39">
        <v>3565.58</v>
      </c>
      <c r="C309" s="39">
        <v>295.45999999999998</v>
      </c>
      <c r="D309" s="39">
        <v>1.19947</v>
      </c>
      <c r="E309">
        <v>1974.81</v>
      </c>
    </row>
    <row r="310" spans="1:5" x14ac:dyDescent="0.25">
      <c r="A310" s="39">
        <v>4.67</v>
      </c>
      <c r="B310" s="39">
        <v>3566.87</v>
      </c>
      <c r="C310" s="39">
        <v>295.60399999999998</v>
      </c>
      <c r="D310" s="39">
        <v>1.19947</v>
      </c>
      <c r="E310">
        <v>1974.78</v>
      </c>
    </row>
    <row r="311" spans="1:5" x14ac:dyDescent="0.25">
      <c r="A311" s="39">
        <v>4.66</v>
      </c>
      <c r="B311" s="39">
        <v>3568.15</v>
      </c>
      <c r="C311" s="39">
        <v>295.74700000000001</v>
      </c>
      <c r="D311" s="39">
        <v>1.19947</v>
      </c>
      <c r="E311">
        <v>1974.76</v>
      </c>
    </row>
    <row r="312" spans="1:5" x14ac:dyDescent="0.25">
      <c r="A312" s="39">
        <v>4.6500000000000004</v>
      </c>
      <c r="B312" s="39">
        <v>3569.43</v>
      </c>
      <c r="C312" s="39">
        <v>295.892</v>
      </c>
      <c r="D312" s="39">
        <v>1.19947</v>
      </c>
      <c r="E312">
        <v>1974.74</v>
      </c>
    </row>
    <row r="313" spans="1:5" x14ac:dyDescent="0.25">
      <c r="A313" s="39">
        <v>4.6399999999999997</v>
      </c>
      <c r="B313" s="39">
        <v>3570.71</v>
      </c>
      <c r="C313" s="39">
        <v>296.03699999999998</v>
      </c>
      <c r="D313" s="39">
        <v>1.19946</v>
      </c>
      <c r="E313">
        <v>1974.71</v>
      </c>
    </row>
    <row r="314" spans="1:5" x14ac:dyDescent="0.25">
      <c r="A314" s="39">
        <v>4.63</v>
      </c>
      <c r="B314" s="39">
        <v>3571.99</v>
      </c>
      <c r="C314" s="39">
        <v>296.18299999999999</v>
      </c>
      <c r="D314" s="39">
        <v>1.19946</v>
      </c>
      <c r="E314">
        <v>1974.69</v>
      </c>
    </row>
    <row r="315" spans="1:5" x14ac:dyDescent="0.25">
      <c r="A315" s="39">
        <v>4.62</v>
      </c>
      <c r="B315" s="39">
        <v>3573.27</v>
      </c>
      <c r="C315" s="39">
        <v>296.33</v>
      </c>
      <c r="D315" s="39">
        <v>1.19946</v>
      </c>
      <c r="E315">
        <v>1974.67</v>
      </c>
    </row>
    <row r="316" spans="1:5" x14ac:dyDescent="0.25">
      <c r="A316" s="39">
        <v>4.6100000000000003</v>
      </c>
      <c r="B316" s="39">
        <v>3574.54</v>
      </c>
      <c r="C316" s="39">
        <v>296.47699999999998</v>
      </c>
      <c r="D316" s="39">
        <v>1.19946</v>
      </c>
      <c r="E316">
        <v>1974.65</v>
      </c>
    </row>
    <row r="317" spans="1:5" x14ac:dyDescent="0.25">
      <c r="A317" s="39">
        <v>4.5999999999999996</v>
      </c>
      <c r="B317" s="39">
        <v>3575.82</v>
      </c>
      <c r="C317" s="39">
        <v>296.625</v>
      </c>
      <c r="D317" s="39">
        <v>1.1994499999999999</v>
      </c>
      <c r="E317">
        <v>1974.62</v>
      </c>
    </row>
    <row r="318" spans="1:5" x14ac:dyDescent="0.25">
      <c r="A318" s="39">
        <v>4.59</v>
      </c>
      <c r="B318" s="39">
        <v>3577.09</v>
      </c>
      <c r="C318" s="39">
        <v>296.774</v>
      </c>
      <c r="D318" s="39">
        <v>1.1994499999999999</v>
      </c>
      <c r="E318">
        <v>1974.6</v>
      </c>
    </row>
    <row r="319" spans="1:5" x14ac:dyDescent="0.25">
      <c r="A319" s="39">
        <v>4.58</v>
      </c>
      <c r="B319" s="39">
        <v>3578.36</v>
      </c>
      <c r="C319" s="39">
        <v>296.923</v>
      </c>
      <c r="D319" s="39">
        <v>1.1994499999999999</v>
      </c>
      <c r="E319">
        <v>1974.58</v>
      </c>
    </row>
    <row r="320" spans="1:5" x14ac:dyDescent="0.25">
      <c r="A320" s="39">
        <v>4.57</v>
      </c>
      <c r="B320" s="39">
        <v>3579.63</v>
      </c>
      <c r="C320" s="39">
        <v>297.07299999999998</v>
      </c>
      <c r="D320" s="39">
        <v>1.1994499999999999</v>
      </c>
      <c r="E320">
        <v>1974.55</v>
      </c>
    </row>
    <row r="321" spans="1:5" x14ac:dyDescent="0.25">
      <c r="A321" s="39">
        <v>4.5599999999999996</v>
      </c>
      <c r="B321" s="39">
        <v>3580.9</v>
      </c>
      <c r="C321" s="39">
        <v>297.22399999999999</v>
      </c>
      <c r="D321" s="39">
        <v>1.1994499999999999</v>
      </c>
      <c r="E321">
        <v>1974.53</v>
      </c>
    </row>
    <row r="322" spans="1:5" x14ac:dyDescent="0.25">
      <c r="A322" s="39">
        <v>4.55</v>
      </c>
      <c r="B322" s="39">
        <v>3582.17</v>
      </c>
      <c r="C322" s="39">
        <v>297.375</v>
      </c>
      <c r="D322" s="39">
        <v>1.1994499999999999</v>
      </c>
      <c r="E322">
        <v>1974.51</v>
      </c>
    </row>
    <row r="323" spans="1:5" x14ac:dyDescent="0.25">
      <c r="A323" s="39">
        <v>4.54</v>
      </c>
      <c r="B323" s="39">
        <v>3583.43</v>
      </c>
      <c r="C323" s="39">
        <v>297.52699999999999</v>
      </c>
      <c r="D323" s="39">
        <v>1.1994499999999999</v>
      </c>
      <c r="E323">
        <v>1974.48</v>
      </c>
    </row>
    <row r="324" spans="1:5" x14ac:dyDescent="0.25">
      <c r="A324" s="39">
        <v>4.53</v>
      </c>
      <c r="B324" s="39">
        <v>3584.69</v>
      </c>
      <c r="C324" s="39">
        <v>297.68</v>
      </c>
      <c r="D324" s="39">
        <v>1.1994499999999999</v>
      </c>
      <c r="E324">
        <v>1974.46</v>
      </c>
    </row>
    <row r="325" spans="1:5" x14ac:dyDescent="0.25">
      <c r="A325" s="39">
        <v>4.5199999999999996</v>
      </c>
      <c r="B325" s="39">
        <v>3585.95</v>
      </c>
      <c r="C325" s="39">
        <v>297.834</v>
      </c>
      <c r="D325" s="39">
        <v>1.1994499999999999</v>
      </c>
      <c r="E325">
        <v>1974.43</v>
      </c>
    </row>
    <row r="326" spans="1:5" x14ac:dyDescent="0.25">
      <c r="A326" s="39">
        <v>4.51</v>
      </c>
      <c r="B326" s="39">
        <v>3587.21</v>
      </c>
      <c r="C326" s="39">
        <v>297.988</v>
      </c>
      <c r="D326" s="39">
        <v>1.1994499999999999</v>
      </c>
      <c r="E326">
        <v>1974.41</v>
      </c>
    </row>
    <row r="327" spans="1:5" x14ac:dyDescent="0.25">
      <c r="A327" s="39">
        <v>4.5</v>
      </c>
      <c r="B327" s="39">
        <v>3588.47</v>
      </c>
      <c r="C327" s="39">
        <v>298.14299999999997</v>
      </c>
      <c r="D327" s="39">
        <v>1.1994499999999999</v>
      </c>
      <c r="E327">
        <v>1974.39</v>
      </c>
    </row>
    <row r="328" spans="1:5" x14ac:dyDescent="0.25">
      <c r="A328" s="39">
        <v>4.49</v>
      </c>
      <c r="B328" s="39">
        <v>3589.73</v>
      </c>
      <c r="C328" s="39">
        <v>298.29899999999998</v>
      </c>
      <c r="D328" s="39">
        <v>1.1994499999999999</v>
      </c>
      <c r="E328">
        <v>1974.36</v>
      </c>
    </row>
    <row r="329" spans="1:5" x14ac:dyDescent="0.25">
      <c r="A329" s="39">
        <v>4.4800000000000004</v>
      </c>
      <c r="B329" s="39">
        <v>3590.98</v>
      </c>
      <c r="C329" s="39">
        <v>298.45499999999998</v>
      </c>
      <c r="D329" s="39">
        <v>1.1994499999999999</v>
      </c>
      <c r="E329">
        <v>1974.34</v>
      </c>
    </row>
    <row r="330" spans="1:5" x14ac:dyDescent="0.25">
      <c r="A330" s="39">
        <v>4.47</v>
      </c>
      <c r="B330" s="39">
        <v>3592.23</v>
      </c>
      <c r="C330" s="39">
        <v>298.61200000000002</v>
      </c>
      <c r="D330" s="39">
        <v>1.1994499999999999</v>
      </c>
      <c r="E330">
        <v>1974.32</v>
      </c>
    </row>
    <row r="331" spans="1:5" x14ac:dyDescent="0.25">
      <c r="A331" s="39">
        <v>4.46</v>
      </c>
      <c r="B331" s="39">
        <v>3593.48</v>
      </c>
      <c r="C331" s="39">
        <v>298.77</v>
      </c>
      <c r="D331" s="39">
        <v>1.1994499999999999</v>
      </c>
      <c r="E331">
        <v>1974.29</v>
      </c>
    </row>
    <row r="332" spans="1:5" x14ac:dyDescent="0.25">
      <c r="A332" s="39">
        <v>4.45</v>
      </c>
      <c r="B332" s="39">
        <v>3594.73</v>
      </c>
      <c r="C332" s="39">
        <v>298.92899999999997</v>
      </c>
      <c r="D332" s="39">
        <v>1.1994499999999999</v>
      </c>
      <c r="E332">
        <v>1974.27</v>
      </c>
    </row>
    <row r="333" spans="1:5" x14ac:dyDescent="0.25">
      <c r="A333" s="39">
        <v>4.4400000000000004</v>
      </c>
      <c r="B333" s="39">
        <v>3595.97</v>
      </c>
      <c r="C333" s="39">
        <v>299.08800000000002</v>
      </c>
      <c r="D333" s="39">
        <v>1.1994499999999999</v>
      </c>
      <c r="E333">
        <v>1974.24</v>
      </c>
    </row>
    <row r="334" spans="1:5" x14ac:dyDescent="0.25">
      <c r="A334" s="39">
        <v>4.43</v>
      </c>
      <c r="B334" s="39">
        <v>3597.22</v>
      </c>
      <c r="C334" s="39">
        <v>299.24900000000002</v>
      </c>
      <c r="D334" s="39">
        <v>1.19946</v>
      </c>
      <c r="E334">
        <v>1974.22</v>
      </c>
    </row>
    <row r="335" spans="1:5" x14ac:dyDescent="0.25">
      <c r="A335" s="39">
        <v>4.42</v>
      </c>
      <c r="B335" s="39">
        <v>3598.46</v>
      </c>
      <c r="C335" s="39">
        <v>299.41000000000003</v>
      </c>
      <c r="D335" s="39">
        <v>1.19946</v>
      </c>
      <c r="E335">
        <v>1974.2</v>
      </c>
    </row>
    <row r="336" spans="1:5" x14ac:dyDescent="0.25">
      <c r="A336" s="39">
        <v>4.41</v>
      </c>
      <c r="B336" s="39">
        <v>3599.7</v>
      </c>
      <c r="C336" s="39">
        <v>299.57100000000003</v>
      </c>
      <c r="D336" s="39">
        <v>1.19946</v>
      </c>
      <c r="E336">
        <v>1974.17</v>
      </c>
    </row>
    <row r="337" spans="1:5" x14ac:dyDescent="0.25">
      <c r="A337" s="39">
        <v>4.4000000000000004</v>
      </c>
      <c r="B337" s="39">
        <v>3600.93</v>
      </c>
      <c r="C337" s="39">
        <v>299.73399999999998</v>
      </c>
      <c r="D337" s="39">
        <v>1.19946</v>
      </c>
      <c r="E337">
        <v>1974.15</v>
      </c>
    </row>
    <row r="338" spans="1:5" x14ac:dyDescent="0.25">
      <c r="A338" s="39">
        <v>4.3899999999999997</v>
      </c>
      <c r="B338" s="39">
        <v>3602.17</v>
      </c>
      <c r="C338" s="39">
        <v>299.89699999999999</v>
      </c>
      <c r="D338" s="39">
        <v>1.19946</v>
      </c>
      <c r="E338">
        <v>1974.12</v>
      </c>
    </row>
    <row r="339" spans="1:5" x14ac:dyDescent="0.25">
      <c r="A339" s="39">
        <v>4.38</v>
      </c>
      <c r="B339" s="39">
        <v>3603.4</v>
      </c>
      <c r="C339" s="39">
        <v>300.06099999999998</v>
      </c>
      <c r="D339" s="39">
        <v>1.19947</v>
      </c>
      <c r="E339">
        <v>1974.1</v>
      </c>
    </row>
    <row r="340" spans="1:5" x14ac:dyDescent="0.25">
      <c r="A340" s="39">
        <v>4.37</v>
      </c>
      <c r="B340" s="39">
        <v>3604.63</v>
      </c>
      <c r="C340" s="39">
        <v>300.226</v>
      </c>
      <c r="D340" s="39">
        <v>1.19947</v>
      </c>
      <c r="E340">
        <v>1974.07</v>
      </c>
    </row>
    <row r="341" spans="1:5" x14ac:dyDescent="0.25">
      <c r="A341" s="39">
        <v>4.3600000000000003</v>
      </c>
      <c r="B341" s="39">
        <v>3605.86</v>
      </c>
      <c r="C341" s="39">
        <v>300.392</v>
      </c>
      <c r="D341" s="39">
        <v>1.19947</v>
      </c>
      <c r="E341">
        <v>1974.05</v>
      </c>
    </row>
    <row r="342" spans="1:5" x14ac:dyDescent="0.25">
      <c r="A342" s="39">
        <v>4.3499999999999996</v>
      </c>
      <c r="B342" s="39">
        <v>3607.09</v>
      </c>
      <c r="C342" s="39">
        <v>300.55799999999999</v>
      </c>
      <c r="D342" s="39">
        <v>1.1994800000000001</v>
      </c>
      <c r="E342">
        <v>1974.03</v>
      </c>
    </row>
    <row r="343" spans="1:5" x14ac:dyDescent="0.25">
      <c r="A343" s="39">
        <v>4.34</v>
      </c>
      <c r="B343" s="39">
        <v>3608.31</v>
      </c>
      <c r="C343" s="39">
        <v>300.726</v>
      </c>
      <c r="D343" s="39">
        <v>1.1994800000000001</v>
      </c>
      <c r="E343">
        <v>1974</v>
      </c>
    </row>
    <row r="344" spans="1:5" x14ac:dyDescent="0.25">
      <c r="A344" s="39">
        <v>4.33</v>
      </c>
      <c r="B344" s="39">
        <v>3609.53</v>
      </c>
      <c r="C344" s="39">
        <v>300.89400000000001</v>
      </c>
      <c r="D344" s="39">
        <v>1.1994800000000001</v>
      </c>
      <c r="E344">
        <v>1973.98</v>
      </c>
    </row>
    <row r="345" spans="1:5" x14ac:dyDescent="0.25">
      <c r="A345" s="39">
        <v>4.32</v>
      </c>
      <c r="B345" s="39">
        <v>3610.75</v>
      </c>
      <c r="C345" s="39">
        <v>301.06299999999999</v>
      </c>
      <c r="D345" s="39">
        <v>1.1994899999999999</v>
      </c>
      <c r="E345">
        <v>1973.95</v>
      </c>
    </row>
    <row r="346" spans="1:5" x14ac:dyDescent="0.25">
      <c r="A346" s="39">
        <v>4.3099999999999996</v>
      </c>
      <c r="B346" s="39">
        <v>3611.97</v>
      </c>
      <c r="C346" s="39">
        <v>301.23200000000003</v>
      </c>
      <c r="D346" s="39">
        <v>1.1994899999999999</v>
      </c>
      <c r="E346">
        <v>1973.93</v>
      </c>
    </row>
    <row r="347" spans="1:5" x14ac:dyDescent="0.25">
      <c r="A347" s="39">
        <v>4.3</v>
      </c>
      <c r="B347" s="39">
        <v>3613.18</v>
      </c>
      <c r="C347" s="39">
        <v>301.40300000000002</v>
      </c>
      <c r="D347" s="39">
        <v>1.1995</v>
      </c>
      <c r="E347">
        <v>1973.9</v>
      </c>
    </row>
    <row r="348" spans="1:5" x14ac:dyDescent="0.25">
      <c r="A348" s="39">
        <v>4.29</v>
      </c>
      <c r="B348" s="39">
        <v>3614.4</v>
      </c>
      <c r="C348" s="39">
        <v>301.57400000000001</v>
      </c>
      <c r="D348" s="39">
        <v>1.1995</v>
      </c>
      <c r="E348">
        <v>1973.88</v>
      </c>
    </row>
    <row r="349" spans="1:5" x14ac:dyDescent="0.25">
      <c r="A349" s="39">
        <v>4.28</v>
      </c>
      <c r="B349" s="39">
        <v>3615.61</v>
      </c>
      <c r="C349" s="39">
        <v>301.74599999999998</v>
      </c>
      <c r="D349" s="39">
        <v>1.1995100000000001</v>
      </c>
      <c r="E349">
        <v>1973.85</v>
      </c>
    </row>
    <row r="350" spans="1:5" x14ac:dyDescent="0.25">
      <c r="A350" s="39">
        <v>4.2699999999999996</v>
      </c>
      <c r="B350" s="39">
        <v>3616.81</v>
      </c>
      <c r="C350" s="39">
        <v>301.91899999999998</v>
      </c>
      <c r="D350" s="39">
        <v>1.1995100000000001</v>
      </c>
      <c r="E350">
        <v>1973.83</v>
      </c>
    </row>
    <row r="351" spans="1:5" x14ac:dyDescent="0.25">
      <c r="A351" s="39">
        <v>4.26</v>
      </c>
      <c r="B351" s="39">
        <v>3618.02</v>
      </c>
      <c r="C351" s="39">
        <v>302.09300000000002</v>
      </c>
      <c r="D351" s="39">
        <v>1.1995199999999999</v>
      </c>
      <c r="E351">
        <v>1973.8</v>
      </c>
    </row>
    <row r="352" spans="1:5" x14ac:dyDescent="0.25">
      <c r="A352" s="39">
        <v>4.25</v>
      </c>
      <c r="B352" s="39">
        <v>3619.22</v>
      </c>
      <c r="C352" s="39">
        <v>302.26799999999997</v>
      </c>
      <c r="D352" s="39">
        <v>1.19953</v>
      </c>
      <c r="E352">
        <v>1973.78</v>
      </c>
    </row>
    <row r="353" spans="1:5" x14ac:dyDescent="0.25">
      <c r="A353" s="39">
        <v>4.24</v>
      </c>
      <c r="B353" s="39">
        <v>3620.42</v>
      </c>
      <c r="C353" s="39">
        <v>302.44400000000002</v>
      </c>
      <c r="D353" s="39">
        <v>1.19953</v>
      </c>
      <c r="E353">
        <v>1973.75</v>
      </c>
    </row>
    <row r="354" spans="1:5" x14ac:dyDescent="0.25">
      <c r="A354" s="39">
        <v>4.2300000000000004</v>
      </c>
      <c r="B354" s="39">
        <v>3621.62</v>
      </c>
      <c r="C354" s="39">
        <v>302.62</v>
      </c>
      <c r="D354" s="39">
        <v>1.1995400000000001</v>
      </c>
      <c r="E354">
        <v>1973.73</v>
      </c>
    </row>
    <row r="355" spans="1:5" x14ac:dyDescent="0.25">
      <c r="A355" s="39">
        <v>4.22</v>
      </c>
      <c r="B355" s="39">
        <v>3622.81</v>
      </c>
      <c r="C355" s="39">
        <v>302.798</v>
      </c>
      <c r="D355" s="39">
        <v>1.1995499999999999</v>
      </c>
      <c r="E355">
        <v>1973.7</v>
      </c>
    </row>
    <row r="356" spans="1:5" x14ac:dyDescent="0.25">
      <c r="A356" s="39">
        <v>4.21</v>
      </c>
      <c r="B356" s="39">
        <v>3624</v>
      </c>
      <c r="C356" s="39">
        <v>302.976</v>
      </c>
      <c r="D356" s="39">
        <v>1.1995499999999999</v>
      </c>
      <c r="E356">
        <v>1973.68</v>
      </c>
    </row>
    <row r="357" spans="1:5" x14ac:dyDescent="0.25">
      <c r="A357" s="39">
        <v>4.2</v>
      </c>
      <c r="B357" s="39">
        <v>3625.19</v>
      </c>
      <c r="C357" s="39">
        <v>303.15499999999997</v>
      </c>
      <c r="D357" s="39">
        <v>1.19956</v>
      </c>
      <c r="E357">
        <v>1973.65</v>
      </c>
    </row>
    <row r="358" spans="1:5" x14ac:dyDescent="0.25">
      <c r="A358" s="39">
        <v>4.1900000000000004</v>
      </c>
      <c r="B358" s="39">
        <v>3626.37</v>
      </c>
      <c r="C358" s="39">
        <v>303.33499999999998</v>
      </c>
      <c r="D358" s="39">
        <v>1.19957</v>
      </c>
      <c r="E358">
        <v>1973.63</v>
      </c>
    </row>
    <row r="359" spans="1:5" x14ac:dyDescent="0.25">
      <c r="A359" s="39">
        <v>4.18</v>
      </c>
      <c r="B359" s="39">
        <v>3627.56</v>
      </c>
      <c r="C359" s="39">
        <v>303.51600000000002</v>
      </c>
      <c r="D359" s="39">
        <v>1.1995800000000001</v>
      </c>
      <c r="E359">
        <v>1973.6</v>
      </c>
    </row>
    <row r="360" spans="1:5" x14ac:dyDescent="0.25">
      <c r="A360" s="39">
        <v>4.17</v>
      </c>
      <c r="B360" s="39">
        <v>3628.74</v>
      </c>
      <c r="C360" s="39">
        <v>303.69799999999998</v>
      </c>
      <c r="D360" s="39">
        <v>1.1995800000000001</v>
      </c>
      <c r="E360">
        <v>1973.57</v>
      </c>
    </row>
    <row r="361" spans="1:5" x14ac:dyDescent="0.25">
      <c r="A361" s="39">
        <v>4.16</v>
      </c>
      <c r="B361" s="39">
        <v>3629.92</v>
      </c>
      <c r="C361" s="39">
        <v>303.88</v>
      </c>
      <c r="D361" s="39">
        <v>1.1995899999999999</v>
      </c>
      <c r="E361">
        <v>1973.55</v>
      </c>
    </row>
    <row r="362" spans="1:5" x14ac:dyDescent="0.25">
      <c r="A362" s="39">
        <v>4.1500000000000004</v>
      </c>
      <c r="B362" s="39">
        <v>3631.09</v>
      </c>
      <c r="C362" s="39">
        <v>304.06400000000002</v>
      </c>
      <c r="D362" s="39">
        <v>1.1996</v>
      </c>
      <c r="E362">
        <v>1973.52</v>
      </c>
    </row>
    <row r="363" spans="1:5" x14ac:dyDescent="0.25">
      <c r="A363" s="39">
        <v>4.1399999999999997</v>
      </c>
      <c r="B363" s="39">
        <v>3632.26</v>
      </c>
      <c r="C363" s="39">
        <v>304.24900000000002</v>
      </c>
      <c r="D363" s="39">
        <v>1.1996100000000001</v>
      </c>
      <c r="E363">
        <v>1973.5</v>
      </c>
    </row>
    <row r="364" spans="1:5" x14ac:dyDescent="0.25">
      <c r="A364" s="39">
        <v>4.13</v>
      </c>
      <c r="B364" s="39">
        <v>3633.43</v>
      </c>
      <c r="C364" s="39">
        <v>304.43400000000003</v>
      </c>
      <c r="D364" s="39">
        <v>1.1996199999999999</v>
      </c>
      <c r="E364">
        <v>1973.47</v>
      </c>
    </row>
    <row r="365" spans="1:5" x14ac:dyDescent="0.25">
      <c r="A365" s="39">
        <v>4.12</v>
      </c>
      <c r="B365" s="39">
        <v>3634.59</v>
      </c>
      <c r="C365" s="39">
        <v>304.62099999999998</v>
      </c>
      <c r="D365" s="39">
        <v>1.19963</v>
      </c>
      <c r="E365">
        <v>1973.45</v>
      </c>
    </row>
    <row r="366" spans="1:5" x14ac:dyDescent="0.25">
      <c r="A366" s="39">
        <v>4.1100000000000003</v>
      </c>
      <c r="B366" s="39">
        <v>3635.75</v>
      </c>
      <c r="C366" s="39">
        <v>304.80799999999999</v>
      </c>
      <c r="D366" s="39">
        <v>1.19964</v>
      </c>
      <c r="E366">
        <v>1973.42</v>
      </c>
    </row>
    <row r="367" spans="1:5" x14ac:dyDescent="0.25">
      <c r="A367" s="39">
        <v>4.0999999999999996</v>
      </c>
      <c r="B367" s="39">
        <v>3636.91</v>
      </c>
      <c r="C367" s="39">
        <v>304.99599999999998</v>
      </c>
      <c r="D367" s="39">
        <v>1.1996500000000001</v>
      </c>
      <c r="E367">
        <v>1973.39</v>
      </c>
    </row>
    <row r="368" spans="1:5" x14ac:dyDescent="0.25">
      <c r="A368" s="39">
        <v>4.09</v>
      </c>
      <c r="B368" s="39">
        <v>3638.07</v>
      </c>
      <c r="C368" s="39">
        <v>305.18599999999998</v>
      </c>
      <c r="D368" s="39">
        <v>1.1996599999999999</v>
      </c>
      <c r="E368">
        <v>1973.37</v>
      </c>
    </row>
    <row r="369" spans="1:5" x14ac:dyDescent="0.25">
      <c r="A369" s="39">
        <v>4.08</v>
      </c>
      <c r="B369" s="39">
        <v>3639.22</v>
      </c>
      <c r="C369" s="39">
        <v>305.37599999999998</v>
      </c>
      <c r="D369" s="39">
        <v>1.19967</v>
      </c>
      <c r="E369">
        <v>1973.34</v>
      </c>
    </row>
    <row r="370" spans="1:5" x14ac:dyDescent="0.25">
      <c r="A370" s="39">
        <v>4.07</v>
      </c>
      <c r="B370" s="39">
        <v>3640.37</v>
      </c>
      <c r="C370" s="39">
        <v>305.56700000000001</v>
      </c>
      <c r="D370" s="39">
        <v>1.1996800000000001</v>
      </c>
      <c r="E370">
        <v>1973.32</v>
      </c>
    </row>
    <row r="371" spans="1:5" x14ac:dyDescent="0.25">
      <c r="A371" s="39">
        <v>4.0599999999999996</v>
      </c>
      <c r="B371" s="39">
        <v>3641.52</v>
      </c>
      <c r="C371" s="39">
        <v>305.75900000000001</v>
      </c>
      <c r="D371" s="39">
        <v>1.1996899999999999</v>
      </c>
      <c r="E371">
        <v>1973.29</v>
      </c>
    </row>
    <row r="372" spans="1:5" x14ac:dyDescent="0.25">
      <c r="A372" s="39">
        <v>4.05</v>
      </c>
      <c r="B372" s="39">
        <v>3642.66</v>
      </c>
      <c r="C372" s="39">
        <v>305.952</v>
      </c>
      <c r="D372" s="39">
        <v>1.1997</v>
      </c>
      <c r="E372">
        <v>1973.26</v>
      </c>
    </row>
    <row r="373" spans="1:5" x14ac:dyDescent="0.25">
      <c r="A373" s="39">
        <v>4.04</v>
      </c>
      <c r="B373" s="39">
        <v>3643.79</v>
      </c>
      <c r="C373" s="39">
        <v>306.14699999999999</v>
      </c>
      <c r="D373" s="39">
        <v>1.1997100000000001</v>
      </c>
      <c r="E373">
        <v>1973.24</v>
      </c>
    </row>
    <row r="374" spans="1:5" x14ac:dyDescent="0.25">
      <c r="A374" s="39">
        <v>4.03</v>
      </c>
      <c r="B374" s="39">
        <v>3644.93</v>
      </c>
      <c r="C374" s="39">
        <v>306.34199999999998</v>
      </c>
      <c r="D374" s="39">
        <v>1.19973</v>
      </c>
      <c r="E374">
        <v>1973.21</v>
      </c>
    </row>
    <row r="375" spans="1:5" x14ac:dyDescent="0.25">
      <c r="A375" s="39">
        <v>4.0199999999999996</v>
      </c>
      <c r="B375" s="39">
        <v>3646.06</v>
      </c>
      <c r="C375" s="39">
        <v>306.53800000000001</v>
      </c>
      <c r="D375" s="39">
        <v>1.19974</v>
      </c>
      <c r="E375">
        <v>1973.18</v>
      </c>
    </row>
    <row r="376" spans="1:5" x14ac:dyDescent="0.25">
      <c r="A376" s="39">
        <v>4.01</v>
      </c>
      <c r="B376" s="39">
        <v>3647.19</v>
      </c>
      <c r="C376" s="39">
        <v>306.73500000000001</v>
      </c>
      <c r="D376" s="39">
        <v>1.1997500000000001</v>
      </c>
      <c r="E376">
        <v>1973.16</v>
      </c>
    </row>
    <row r="377" spans="1:5" x14ac:dyDescent="0.25">
      <c r="A377" s="39">
        <v>4</v>
      </c>
      <c r="B377" s="39">
        <v>3648.31</v>
      </c>
      <c r="C377" s="39">
        <v>306.93299999999999</v>
      </c>
      <c r="D377" s="39">
        <v>1.1997599999999999</v>
      </c>
      <c r="E377">
        <v>1973.13</v>
      </c>
    </row>
    <row r="378" spans="1:5" x14ac:dyDescent="0.25">
      <c r="A378" s="39">
        <v>3.99</v>
      </c>
      <c r="B378" s="39">
        <v>3649.43</v>
      </c>
      <c r="C378" s="39">
        <v>307.13299999999998</v>
      </c>
      <c r="D378" s="39">
        <v>1.1997800000000001</v>
      </c>
      <c r="E378">
        <v>1973.1</v>
      </c>
    </row>
    <row r="379" spans="1:5" x14ac:dyDescent="0.25">
      <c r="A379" s="39">
        <v>3.98</v>
      </c>
      <c r="B379" s="39">
        <v>3650.55</v>
      </c>
      <c r="C379" s="39">
        <v>307.33300000000003</v>
      </c>
      <c r="D379" s="39">
        <v>1.1997899999999999</v>
      </c>
      <c r="E379">
        <v>1973.08</v>
      </c>
    </row>
    <row r="380" spans="1:5" x14ac:dyDescent="0.25">
      <c r="A380" s="39">
        <v>3.97</v>
      </c>
      <c r="B380" s="39">
        <v>3651.66</v>
      </c>
      <c r="C380" s="39">
        <v>307.53399999999999</v>
      </c>
      <c r="D380" s="39">
        <v>1.19981</v>
      </c>
      <c r="E380">
        <v>1973.05</v>
      </c>
    </row>
    <row r="381" spans="1:5" x14ac:dyDescent="0.25">
      <c r="A381" s="39">
        <v>3.96</v>
      </c>
      <c r="B381" s="39">
        <v>3652.77</v>
      </c>
      <c r="C381" s="39">
        <v>307.73700000000002</v>
      </c>
      <c r="D381" s="39">
        <v>1.1998200000000001</v>
      </c>
      <c r="E381">
        <v>1973.02</v>
      </c>
    </row>
    <row r="382" spans="1:5" x14ac:dyDescent="0.25">
      <c r="A382" s="39">
        <v>3.95</v>
      </c>
      <c r="B382" s="39">
        <v>3653.87</v>
      </c>
      <c r="C382" s="39">
        <v>307.94</v>
      </c>
      <c r="D382" s="39">
        <v>1.19984</v>
      </c>
      <c r="E382">
        <v>1973</v>
      </c>
    </row>
    <row r="383" spans="1:5" x14ac:dyDescent="0.25">
      <c r="A383" s="39">
        <v>3.94</v>
      </c>
      <c r="B383" s="39">
        <v>3654.97</v>
      </c>
      <c r="C383" s="39">
        <v>308.14499999999998</v>
      </c>
      <c r="D383" s="39">
        <v>1.1998500000000001</v>
      </c>
      <c r="E383">
        <v>1972.97</v>
      </c>
    </row>
    <row r="384" spans="1:5" x14ac:dyDescent="0.25">
      <c r="A384" s="39">
        <v>3.93</v>
      </c>
      <c r="B384" s="39">
        <v>3656.07</v>
      </c>
      <c r="C384" s="39">
        <v>308.35000000000002</v>
      </c>
      <c r="D384" s="39">
        <v>1.19987</v>
      </c>
      <c r="E384">
        <v>1972.94</v>
      </c>
    </row>
    <row r="385" spans="1:5" x14ac:dyDescent="0.25">
      <c r="A385" s="39">
        <v>3.92</v>
      </c>
      <c r="B385" s="39">
        <v>3657.16</v>
      </c>
      <c r="C385" s="39">
        <v>308.55700000000002</v>
      </c>
      <c r="D385" s="39">
        <v>1.1998800000000001</v>
      </c>
      <c r="E385">
        <v>1972.92</v>
      </c>
    </row>
    <row r="386" spans="1:5" x14ac:dyDescent="0.25">
      <c r="A386" s="39">
        <v>3.91</v>
      </c>
      <c r="B386" s="39">
        <v>3658.24</v>
      </c>
      <c r="C386" s="39">
        <v>308.76499999999999</v>
      </c>
      <c r="D386" s="39">
        <v>1.1999</v>
      </c>
      <c r="E386">
        <v>1972.89</v>
      </c>
    </row>
    <row r="387" spans="1:5" x14ac:dyDescent="0.25">
      <c r="A387" s="39">
        <v>3.9</v>
      </c>
      <c r="B387" s="39">
        <v>3659.33</v>
      </c>
      <c r="C387" s="39">
        <v>308.97399999999999</v>
      </c>
      <c r="D387" s="39">
        <v>1.19991</v>
      </c>
      <c r="E387">
        <v>1972.86</v>
      </c>
    </row>
    <row r="388" spans="1:5" x14ac:dyDescent="0.25">
      <c r="A388" s="39">
        <v>3.89</v>
      </c>
      <c r="B388" s="39">
        <v>3660.4</v>
      </c>
      <c r="C388" s="39">
        <v>309.18400000000003</v>
      </c>
      <c r="D388" s="39">
        <v>1.1999299999999999</v>
      </c>
      <c r="E388">
        <v>1972.83</v>
      </c>
    </row>
    <row r="389" spans="1:5" x14ac:dyDescent="0.25">
      <c r="A389" s="39">
        <v>3.88</v>
      </c>
      <c r="B389" s="39">
        <v>3661.48</v>
      </c>
      <c r="C389" s="39">
        <v>309.39499999999998</v>
      </c>
      <c r="D389" s="39">
        <v>1.1999500000000001</v>
      </c>
      <c r="E389">
        <v>1972.81</v>
      </c>
    </row>
    <row r="390" spans="1:5" x14ac:dyDescent="0.25">
      <c r="A390" s="39">
        <v>3.87</v>
      </c>
      <c r="B390" s="39">
        <v>3662.55</v>
      </c>
      <c r="C390" s="39">
        <v>309.60700000000003</v>
      </c>
      <c r="D390" s="39">
        <v>1.19997</v>
      </c>
      <c r="E390">
        <v>1972.78</v>
      </c>
    </row>
    <row r="391" spans="1:5" x14ac:dyDescent="0.25">
      <c r="A391" s="39">
        <v>3.86</v>
      </c>
      <c r="B391" s="39">
        <v>3663.61</v>
      </c>
      <c r="C391" s="39">
        <v>309.82</v>
      </c>
      <c r="D391" s="39">
        <v>1.19998</v>
      </c>
      <c r="E391">
        <v>1972.75</v>
      </c>
    </row>
    <row r="392" spans="1:5" x14ac:dyDescent="0.25">
      <c r="A392" s="39">
        <v>3.85</v>
      </c>
      <c r="B392" s="39">
        <v>3664.67</v>
      </c>
      <c r="C392" s="39">
        <v>310.03500000000003</v>
      </c>
      <c r="D392" s="39">
        <v>1.2</v>
      </c>
      <c r="E392">
        <v>1972.72</v>
      </c>
    </row>
    <row r="393" spans="1:5" x14ac:dyDescent="0.25">
      <c r="A393" s="39">
        <v>3.84</v>
      </c>
      <c r="B393" s="39">
        <v>3665.73</v>
      </c>
      <c r="C393" s="39">
        <v>310.25099999999998</v>
      </c>
      <c r="D393" s="39">
        <v>1.2000200000000001</v>
      </c>
      <c r="E393">
        <v>1972.7</v>
      </c>
    </row>
    <row r="394" spans="1:5" x14ac:dyDescent="0.25">
      <c r="A394" s="39">
        <v>3.83</v>
      </c>
      <c r="B394" s="39">
        <v>3666.77</v>
      </c>
      <c r="C394" s="39">
        <v>310.46800000000002</v>
      </c>
      <c r="D394" s="39">
        <v>1.20004</v>
      </c>
      <c r="E394">
        <v>1972.67</v>
      </c>
    </row>
    <row r="395" spans="1:5" x14ac:dyDescent="0.25">
      <c r="A395" s="39">
        <v>3.82</v>
      </c>
      <c r="B395" s="39">
        <v>3667.82</v>
      </c>
      <c r="C395" s="39">
        <v>310.68599999999998</v>
      </c>
      <c r="D395" s="39">
        <v>1.2000599999999999</v>
      </c>
      <c r="E395">
        <v>1972.64</v>
      </c>
    </row>
    <row r="396" spans="1:5" x14ac:dyDescent="0.25">
      <c r="A396" s="39">
        <v>3.81</v>
      </c>
      <c r="B396" s="39">
        <v>3668.86</v>
      </c>
      <c r="C396" s="39">
        <v>310.90499999999997</v>
      </c>
      <c r="D396" s="39">
        <v>1.20008</v>
      </c>
      <c r="E396">
        <v>1972.61</v>
      </c>
    </row>
    <row r="397" spans="1:5" x14ac:dyDescent="0.25">
      <c r="A397" s="39">
        <v>3.8</v>
      </c>
      <c r="B397" s="39">
        <v>3669.89</v>
      </c>
      <c r="C397" s="39">
        <v>311.125</v>
      </c>
      <c r="D397" s="39">
        <v>1.2000999999999999</v>
      </c>
      <c r="E397">
        <v>1972.59</v>
      </c>
    </row>
    <row r="398" spans="1:5" x14ac:dyDescent="0.25">
      <c r="A398" s="39">
        <v>3.79</v>
      </c>
      <c r="B398" s="39">
        <v>3670.92</v>
      </c>
      <c r="C398" s="39">
        <v>311.34699999999998</v>
      </c>
      <c r="D398" s="39">
        <v>1.2001200000000001</v>
      </c>
      <c r="E398">
        <v>1972.56</v>
      </c>
    </row>
    <row r="399" spans="1:5" x14ac:dyDescent="0.25">
      <c r="A399" s="39">
        <v>3.78</v>
      </c>
      <c r="B399" s="39">
        <v>3671.95</v>
      </c>
      <c r="C399" s="39">
        <v>311.57</v>
      </c>
      <c r="D399" s="39">
        <v>1.20014</v>
      </c>
      <c r="E399">
        <v>1972.53</v>
      </c>
    </row>
    <row r="400" spans="1:5" x14ac:dyDescent="0.25">
      <c r="A400" s="39">
        <v>3.77</v>
      </c>
      <c r="B400" s="39">
        <v>3672.96</v>
      </c>
      <c r="C400" s="39">
        <v>311.79399999999998</v>
      </c>
      <c r="D400" s="39">
        <v>1.2001599999999999</v>
      </c>
      <c r="E400">
        <v>1972.5</v>
      </c>
    </row>
    <row r="401" spans="1:5" x14ac:dyDescent="0.25">
      <c r="A401" s="39">
        <v>3.76</v>
      </c>
      <c r="B401" s="39">
        <v>3673.98</v>
      </c>
      <c r="C401" s="39">
        <v>312.01900000000001</v>
      </c>
      <c r="D401" s="39">
        <v>1.20018</v>
      </c>
      <c r="E401">
        <v>1972.47</v>
      </c>
    </row>
    <row r="402" spans="1:5" x14ac:dyDescent="0.25">
      <c r="A402" s="39">
        <v>3.75</v>
      </c>
      <c r="B402" s="39">
        <v>3674.98</v>
      </c>
      <c r="C402" s="39">
        <v>312.24599999999998</v>
      </c>
      <c r="D402" s="39">
        <v>1.20021</v>
      </c>
      <c r="E402">
        <v>1972.44</v>
      </c>
    </row>
    <row r="403" spans="1:5" x14ac:dyDescent="0.25">
      <c r="A403" s="39">
        <v>3.74</v>
      </c>
      <c r="B403" s="39">
        <v>3675.98</v>
      </c>
      <c r="C403" s="39">
        <v>312.47399999999999</v>
      </c>
      <c r="D403" s="39">
        <v>1.2002299999999999</v>
      </c>
      <c r="E403">
        <v>1972.42</v>
      </c>
    </row>
    <row r="404" spans="1:5" x14ac:dyDescent="0.25">
      <c r="A404" s="39">
        <v>3.73</v>
      </c>
      <c r="B404" s="39">
        <v>3676.98</v>
      </c>
      <c r="C404" s="39">
        <v>312.70299999999997</v>
      </c>
      <c r="D404" s="39">
        <v>1.20025</v>
      </c>
      <c r="E404">
        <v>1972.39</v>
      </c>
    </row>
    <row r="405" spans="1:5" x14ac:dyDescent="0.25">
      <c r="A405" s="39">
        <v>3.72</v>
      </c>
      <c r="B405" s="39">
        <v>3677.97</v>
      </c>
      <c r="C405" s="39">
        <v>312.93299999999999</v>
      </c>
      <c r="D405" s="39">
        <v>1.2002699999999999</v>
      </c>
      <c r="E405">
        <v>1972.36</v>
      </c>
    </row>
    <row r="406" spans="1:5" x14ac:dyDescent="0.25">
      <c r="A406" s="39">
        <v>3.71</v>
      </c>
      <c r="B406" s="39">
        <v>3678.95</v>
      </c>
      <c r="C406" s="39">
        <v>313.16500000000002</v>
      </c>
      <c r="D406" s="39">
        <v>1.2002999999999999</v>
      </c>
      <c r="E406">
        <v>1972.33</v>
      </c>
    </row>
    <row r="407" spans="1:5" x14ac:dyDescent="0.25">
      <c r="A407" s="39">
        <v>3.7</v>
      </c>
      <c r="B407" s="39">
        <v>3679.93</v>
      </c>
      <c r="C407" s="39">
        <v>313.39800000000002</v>
      </c>
      <c r="D407" s="39">
        <v>1.2003200000000001</v>
      </c>
      <c r="E407">
        <v>1972.3</v>
      </c>
    </row>
    <row r="408" spans="1:5" x14ac:dyDescent="0.25">
      <c r="A408" s="39">
        <v>3.69</v>
      </c>
      <c r="B408" s="39">
        <v>3680.9</v>
      </c>
      <c r="C408" s="39">
        <v>313.63200000000001</v>
      </c>
      <c r="D408" s="39">
        <v>1.20035</v>
      </c>
      <c r="E408">
        <v>1972.27</v>
      </c>
    </row>
    <row r="409" spans="1:5" x14ac:dyDescent="0.25">
      <c r="A409" s="39">
        <v>3.68</v>
      </c>
      <c r="B409" s="39">
        <v>3681.86</v>
      </c>
      <c r="C409" s="39">
        <v>313.86700000000002</v>
      </c>
      <c r="D409" s="39">
        <v>1.2003699999999999</v>
      </c>
      <c r="E409">
        <v>1972.24</v>
      </c>
    </row>
    <row r="410" spans="1:5" x14ac:dyDescent="0.25">
      <c r="A410" s="39">
        <v>3.67</v>
      </c>
      <c r="B410" s="39">
        <v>3682.82</v>
      </c>
      <c r="C410" s="39">
        <v>314.10399999999998</v>
      </c>
      <c r="D410" s="39">
        <v>1.2003999999999999</v>
      </c>
      <c r="E410">
        <v>1972.22</v>
      </c>
    </row>
    <row r="411" spans="1:5" x14ac:dyDescent="0.25">
      <c r="A411" s="39">
        <v>3.66</v>
      </c>
      <c r="B411" s="39">
        <v>3683.77</v>
      </c>
      <c r="C411" s="39">
        <v>314.34300000000002</v>
      </c>
      <c r="D411" s="39">
        <v>1.20042</v>
      </c>
      <c r="E411">
        <v>1972.19</v>
      </c>
    </row>
    <row r="412" spans="1:5" x14ac:dyDescent="0.25">
      <c r="A412" s="39">
        <v>3.65</v>
      </c>
      <c r="B412" s="39">
        <v>3684.72</v>
      </c>
      <c r="C412" s="39">
        <v>314.58199999999999</v>
      </c>
      <c r="D412" s="39">
        <v>1.20045</v>
      </c>
      <c r="E412">
        <v>1972.16</v>
      </c>
    </row>
    <row r="413" spans="1:5" x14ac:dyDescent="0.25">
      <c r="A413" s="39">
        <v>3.64</v>
      </c>
      <c r="B413" s="39">
        <v>3685.66</v>
      </c>
      <c r="C413" s="39">
        <v>314.82299999999998</v>
      </c>
      <c r="D413" s="39">
        <v>1.20048</v>
      </c>
      <c r="E413">
        <v>1972.13</v>
      </c>
    </row>
    <row r="414" spans="1:5" x14ac:dyDescent="0.25">
      <c r="A414" s="39">
        <v>3.63</v>
      </c>
      <c r="B414" s="39">
        <v>3686.59</v>
      </c>
      <c r="C414" s="39">
        <v>315.06599999999997</v>
      </c>
      <c r="D414" s="39">
        <v>1.2004999999999999</v>
      </c>
      <c r="E414">
        <v>1972.1</v>
      </c>
    </row>
    <row r="415" spans="1:5" x14ac:dyDescent="0.25">
      <c r="A415" s="39">
        <v>3.62</v>
      </c>
      <c r="B415" s="39">
        <v>3687.51</v>
      </c>
      <c r="C415" s="39">
        <v>315.30900000000003</v>
      </c>
      <c r="D415" s="39">
        <v>1.2005300000000001</v>
      </c>
      <c r="E415">
        <v>1972.07</v>
      </c>
    </row>
    <row r="416" spans="1:5" x14ac:dyDescent="0.25">
      <c r="A416" s="39">
        <v>3.61</v>
      </c>
      <c r="B416" s="39">
        <v>3688.43</v>
      </c>
      <c r="C416" s="39">
        <v>315.55500000000001</v>
      </c>
      <c r="D416" s="39">
        <v>1.2005600000000001</v>
      </c>
      <c r="E416">
        <v>1972.04</v>
      </c>
    </row>
    <row r="417" spans="1:5" x14ac:dyDescent="0.25">
      <c r="A417" s="39">
        <v>3.6</v>
      </c>
      <c r="B417" s="39">
        <v>3689.34</v>
      </c>
      <c r="C417" s="39">
        <v>315.80099999999999</v>
      </c>
      <c r="D417" s="39">
        <v>1.20059</v>
      </c>
      <c r="E417">
        <v>1972.01</v>
      </c>
    </row>
    <row r="418" spans="1:5" x14ac:dyDescent="0.25">
      <c r="A418" s="39">
        <v>3.59</v>
      </c>
      <c r="B418" s="39">
        <v>3690.24</v>
      </c>
      <c r="C418" s="39">
        <v>316.04899999999998</v>
      </c>
      <c r="D418" s="39">
        <v>1.20062</v>
      </c>
      <c r="E418">
        <v>1971.98</v>
      </c>
    </row>
    <row r="419" spans="1:5" x14ac:dyDescent="0.25">
      <c r="A419" s="39">
        <v>3.58</v>
      </c>
      <c r="B419" s="39">
        <v>3691.13</v>
      </c>
      <c r="C419" s="39">
        <v>316.29899999999998</v>
      </c>
      <c r="D419" s="39">
        <v>1.20065</v>
      </c>
      <c r="E419">
        <v>1971.95</v>
      </c>
    </row>
    <row r="420" spans="1:5" x14ac:dyDescent="0.25">
      <c r="A420" s="39">
        <v>3.57</v>
      </c>
      <c r="B420" s="39">
        <v>3692.02</v>
      </c>
      <c r="C420" s="39">
        <v>316.55</v>
      </c>
      <c r="D420" s="39">
        <v>1.20068</v>
      </c>
      <c r="E420">
        <v>1971.92</v>
      </c>
    </row>
    <row r="421" spans="1:5" x14ac:dyDescent="0.25">
      <c r="A421" s="39">
        <v>3.56</v>
      </c>
      <c r="B421" s="39">
        <v>3692.9</v>
      </c>
      <c r="C421" s="39">
        <v>316.80200000000002</v>
      </c>
      <c r="D421" s="39">
        <v>1.2007099999999999</v>
      </c>
      <c r="E421">
        <v>1971.89</v>
      </c>
    </row>
    <row r="422" spans="1:5" x14ac:dyDescent="0.25">
      <c r="A422" s="39">
        <v>3.55</v>
      </c>
      <c r="B422" s="39">
        <v>3693.77</v>
      </c>
      <c r="C422" s="39">
        <v>317.05599999999998</v>
      </c>
      <c r="D422" s="39">
        <v>1.2007399999999999</v>
      </c>
      <c r="E422">
        <v>1971.86</v>
      </c>
    </row>
    <row r="423" spans="1:5" x14ac:dyDescent="0.25">
      <c r="A423" s="39">
        <v>3.54</v>
      </c>
      <c r="B423" s="39">
        <v>3694.63</v>
      </c>
      <c r="C423" s="39">
        <v>317.31099999999998</v>
      </c>
      <c r="D423" s="39">
        <v>1.2007699999999999</v>
      </c>
      <c r="E423">
        <v>1971.83</v>
      </c>
    </row>
    <row r="424" spans="1:5" x14ac:dyDescent="0.25">
      <c r="A424" s="39">
        <v>3.53</v>
      </c>
      <c r="B424" s="39">
        <v>3695.48</v>
      </c>
      <c r="C424" s="39">
        <v>317.56799999999998</v>
      </c>
      <c r="D424" s="39">
        <v>1.2008099999999999</v>
      </c>
      <c r="E424">
        <v>1971.8</v>
      </c>
    </row>
    <row r="425" spans="1:5" x14ac:dyDescent="0.25">
      <c r="A425" s="39">
        <v>3.52</v>
      </c>
      <c r="B425" s="39">
        <v>3696.33</v>
      </c>
      <c r="C425" s="39">
        <v>317.827</v>
      </c>
      <c r="D425" s="39">
        <v>1.2008399999999999</v>
      </c>
      <c r="E425">
        <v>1971.77</v>
      </c>
    </row>
    <row r="426" spans="1:5" x14ac:dyDescent="0.25">
      <c r="A426" s="39">
        <v>3.51</v>
      </c>
      <c r="B426" s="39">
        <v>3697.16</v>
      </c>
      <c r="C426" s="39">
        <v>318.08699999999999</v>
      </c>
      <c r="D426" s="39">
        <v>1.2008700000000001</v>
      </c>
      <c r="E426">
        <v>1971.74</v>
      </c>
    </row>
    <row r="427" spans="1:5" x14ac:dyDescent="0.25">
      <c r="A427" s="39">
        <v>3.5</v>
      </c>
      <c r="B427" s="39">
        <v>3697.99</v>
      </c>
      <c r="C427" s="39">
        <v>318.34800000000001</v>
      </c>
      <c r="D427" s="39">
        <v>1.2009099999999999</v>
      </c>
      <c r="E427">
        <v>1971.71</v>
      </c>
    </row>
    <row r="428" spans="1:5" x14ac:dyDescent="0.25">
      <c r="A428" s="39">
        <v>3.49</v>
      </c>
      <c r="B428" s="39">
        <v>3698.81</v>
      </c>
      <c r="C428" s="39">
        <v>318.61099999999999</v>
      </c>
      <c r="D428" s="39">
        <v>1.2009399999999999</v>
      </c>
      <c r="E428">
        <v>1971.68</v>
      </c>
    </row>
    <row r="429" spans="1:5" x14ac:dyDescent="0.25">
      <c r="A429" s="39">
        <v>3.48</v>
      </c>
      <c r="B429" s="39">
        <v>3699.62</v>
      </c>
      <c r="C429" s="39">
        <v>318.87599999999998</v>
      </c>
      <c r="D429" s="39">
        <v>1.2009799999999999</v>
      </c>
      <c r="E429">
        <v>1971.65</v>
      </c>
    </row>
    <row r="430" spans="1:5" x14ac:dyDescent="0.25">
      <c r="A430" s="39">
        <v>3.47</v>
      </c>
      <c r="B430" s="39">
        <v>3700.42</v>
      </c>
      <c r="C430" s="39">
        <v>319.142</v>
      </c>
      <c r="D430" s="39">
        <v>1.2010099999999999</v>
      </c>
      <c r="E430">
        <v>1971.62</v>
      </c>
    </row>
    <row r="431" spans="1:5" x14ac:dyDescent="0.25">
      <c r="A431" s="39">
        <v>3.46</v>
      </c>
      <c r="B431" s="39">
        <v>3701.2</v>
      </c>
      <c r="C431" s="39">
        <v>319.41000000000003</v>
      </c>
      <c r="D431" s="39">
        <v>1.20105</v>
      </c>
      <c r="E431">
        <v>1971.59</v>
      </c>
    </row>
    <row r="432" spans="1:5" x14ac:dyDescent="0.25">
      <c r="A432" s="39">
        <v>3.45</v>
      </c>
      <c r="B432" s="39">
        <v>3701.99</v>
      </c>
      <c r="C432" s="39">
        <v>319.68</v>
      </c>
      <c r="D432" s="39">
        <v>1.2010799999999999</v>
      </c>
      <c r="E432">
        <v>1971.56</v>
      </c>
    </row>
    <row r="433" spans="1:5" x14ac:dyDescent="0.25">
      <c r="A433" s="39">
        <v>3.44</v>
      </c>
      <c r="B433" s="39">
        <v>3702.76</v>
      </c>
      <c r="C433" s="39">
        <v>319.95100000000002</v>
      </c>
      <c r="D433" s="39">
        <v>1.20112</v>
      </c>
      <c r="E433">
        <v>1971.53</v>
      </c>
    </row>
    <row r="434" spans="1:5" x14ac:dyDescent="0.25">
      <c r="A434" s="39">
        <v>3.43</v>
      </c>
      <c r="B434" s="39">
        <v>3703.52</v>
      </c>
      <c r="C434" s="39">
        <v>320.22399999999999</v>
      </c>
      <c r="D434" s="39">
        <v>1.20116</v>
      </c>
      <c r="E434">
        <v>1971.5</v>
      </c>
    </row>
    <row r="435" spans="1:5" x14ac:dyDescent="0.25">
      <c r="A435" s="39">
        <v>3.42</v>
      </c>
      <c r="B435" s="39">
        <v>3704.26</v>
      </c>
      <c r="C435" s="39">
        <v>320.49900000000002</v>
      </c>
      <c r="D435" s="39">
        <v>1.2012</v>
      </c>
      <c r="E435">
        <v>1971.47</v>
      </c>
    </row>
    <row r="436" spans="1:5" x14ac:dyDescent="0.25">
      <c r="A436" s="39">
        <v>3.41</v>
      </c>
      <c r="B436" s="39">
        <v>3705</v>
      </c>
      <c r="C436" s="39">
        <v>320.77499999999998</v>
      </c>
      <c r="D436" s="39">
        <v>1.2012400000000001</v>
      </c>
      <c r="E436">
        <v>1971.44</v>
      </c>
    </row>
    <row r="437" spans="1:5" x14ac:dyDescent="0.25">
      <c r="A437" s="39">
        <v>3.4</v>
      </c>
      <c r="B437" s="39">
        <v>3705.73</v>
      </c>
      <c r="C437" s="39">
        <v>321.053</v>
      </c>
      <c r="D437" s="39">
        <v>1.2012799999999999</v>
      </c>
      <c r="E437">
        <v>1971.41</v>
      </c>
    </row>
    <row r="438" spans="1:5" x14ac:dyDescent="0.25">
      <c r="A438" s="39">
        <v>3.39</v>
      </c>
      <c r="B438" s="39">
        <v>3706.45</v>
      </c>
      <c r="C438" s="39">
        <v>321.33300000000003</v>
      </c>
      <c r="D438" s="39">
        <v>1.2013199999999999</v>
      </c>
      <c r="E438">
        <v>1971.37</v>
      </c>
    </row>
    <row r="439" spans="1:5" x14ac:dyDescent="0.25">
      <c r="A439" s="39">
        <v>3.38</v>
      </c>
      <c r="B439" s="39">
        <v>3707.15</v>
      </c>
      <c r="C439" s="39">
        <v>321.61399999999998</v>
      </c>
      <c r="D439" s="39">
        <v>1.20136</v>
      </c>
      <c r="E439">
        <v>1971.34</v>
      </c>
    </row>
    <row r="440" spans="1:5" x14ac:dyDescent="0.25">
      <c r="A440" s="39">
        <v>3.37</v>
      </c>
      <c r="B440" s="39">
        <v>3707.85</v>
      </c>
      <c r="C440" s="39">
        <v>321.89699999999999</v>
      </c>
      <c r="D440" s="39">
        <v>1.2014</v>
      </c>
      <c r="E440">
        <v>1971.31</v>
      </c>
    </row>
    <row r="441" spans="1:5" x14ac:dyDescent="0.25">
      <c r="A441" s="39">
        <v>3.36</v>
      </c>
      <c r="B441" s="39">
        <v>3708.53</v>
      </c>
      <c r="C441" s="39">
        <v>322.18200000000002</v>
      </c>
      <c r="D441" s="39">
        <v>1.2014499999999999</v>
      </c>
      <c r="E441">
        <v>1971.28</v>
      </c>
    </row>
    <row r="442" spans="1:5" x14ac:dyDescent="0.25">
      <c r="A442" s="39">
        <v>3.35</v>
      </c>
      <c r="B442" s="39">
        <v>3709.21</v>
      </c>
      <c r="C442" s="39">
        <v>322.46899999999999</v>
      </c>
      <c r="D442" s="39">
        <v>1.2014899999999999</v>
      </c>
      <c r="E442">
        <v>1971.25</v>
      </c>
    </row>
    <row r="443" spans="1:5" x14ac:dyDescent="0.25">
      <c r="A443" s="39">
        <v>3.34</v>
      </c>
      <c r="B443" s="39">
        <v>3709.86</v>
      </c>
      <c r="C443" s="39">
        <v>322.75799999999998</v>
      </c>
      <c r="D443" s="39">
        <v>1.20153</v>
      </c>
      <c r="E443">
        <v>1971.22</v>
      </c>
    </row>
    <row r="444" spans="1:5" x14ac:dyDescent="0.25">
      <c r="A444" s="39">
        <v>3.33</v>
      </c>
      <c r="B444" s="39">
        <v>3710.51</v>
      </c>
      <c r="C444" s="39">
        <v>323.048</v>
      </c>
      <c r="D444" s="39">
        <v>1.2015800000000001</v>
      </c>
      <c r="E444">
        <v>1971.18</v>
      </c>
    </row>
    <row r="445" spans="1:5" x14ac:dyDescent="0.25">
      <c r="A445" s="39">
        <v>3.32</v>
      </c>
      <c r="B445" s="39">
        <v>3711.14</v>
      </c>
      <c r="C445" s="39">
        <v>323.34100000000001</v>
      </c>
      <c r="D445" s="39">
        <v>1.2016199999999999</v>
      </c>
      <c r="E445">
        <v>1971.15</v>
      </c>
    </row>
    <row r="446" spans="1:5" x14ac:dyDescent="0.25">
      <c r="A446" s="39">
        <v>3.31</v>
      </c>
      <c r="B446" s="39">
        <v>3711.76</v>
      </c>
      <c r="C446" s="39">
        <v>323.63499999999999</v>
      </c>
      <c r="D446" s="39">
        <v>1.20167</v>
      </c>
      <c r="E446">
        <v>1971.12</v>
      </c>
    </row>
    <row r="447" spans="1:5" x14ac:dyDescent="0.25">
      <c r="A447" s="39">
        <v>3.3</v>
      </c>
      <c r="B447" s="39">
        <v>3712.37</v>
      </c>
      <c r="C447" s="39">
        <v>323.93099999999998</v>
      </c>
      <c r="D447" s="39">
        <v>1.2017199999999999</v>
      </c>
      <c r="E447">
        <v>1971.09</v>
      </c>
    </row>
    <row r="448" spans="1:5" x14ac:dyDescent="0.25">
      <c r="A448" s="39">
        <v>3.29</v>
      </c>
      <c r="B448" s="39">
        <v>3712.96</v>
      </c>
      <c r="C448" s="39">
        <v>324.22899999999998</v>
      </c>
      <c r="D448" s="39">
        <v>1.2017599999999999</v>
      </c>
      <c r="E448">
        <v>1971.06</v>
      </c>
    </row>
    <row r="449" spans="1:5" x14ac:dyDescent="0.25">
      <c r="A449" s="39">
        <v>3.28</v>
      </c>
      <c r="B449" s="39">
        <v>3713.54</v>
      </c>
      <c r="C449" s="39">
        <v>324.52999999999997</v>
      </c>
      <c r="D449" s="39">
        <v>1.20181</v>
      </c>
      <c r="E449">
        <v>1971.02</v>
      </c>
    </row>
    <row r="450" spans="1:5" x14ac:dyDescent="0.25">
      <c r="A450" s="39">
        <v>3.27</v>
      </c>
      <c r="B450" s="39">
        <v>3714.11</v>
      </c>
      <c r="C450" s="39">
        <v>324.83199999999999</v>
      </c>
      <c r="D450" s="39">
        <v>1.2018599999999999</v>
      </c>
      <c r="E450">
        <v>1970.99</v>
      </c>
    </row>
    <row r="451" spans="1:5" x14ac:dyDescent="0.25">
      <c r="A451" s="39">
        <v>3.26</v>
      </c>
      <c r="B451" s="39">
        <v>3714.66</v>
      </c>
      <c r="C451" s="39">
        <v>325.13600000000002</v>
      </c>
      <c r="D451" s="39">
        <v>1.20191</v>
      </c>
      <c r="E451">
        <v>1970.96</v>
      </c>
    </row>
    <row r="452" spans="1:5" x14ac:dyDescent="0.25">
      <c r="A452" s="39">
        <v>3.25</v>
      </c>
      <c r="B452" s="39">
        <v>3715.19</v>
      </c>
      <c r="C452" s="39">
        <v>325.44200000000001</v>
      </c>
      <c r="D452" s="39">
        <v>1.2019599999999999</v>
      </c>
      <c r="E452">
        <v>1970.93</v>
      </c>
    </row>
    <row r="453" spans="1:5" x14ac:dyDescent="0.25">
      <c r="A453" s="39">
        <v>3.24</v>
      </c>
      <c r="B453" s="39">
        <v>3715.71</v>
      </c>
      <c r="C453" s="39">
        <v>325.75</v>
      </c>
      <c r="D453" s="39">
        <v>1.20201</v>
      </c>
      <c r="E453">
        <v>1970.9</v>
      </c>
    </row>
    <row r="454" spans="1:5" x14ac:dyDescent="0.25">
      <c r="A454" s="39">
        <v>3.23</v>
      </c>
      <c r="B454" s="39">
        <v>3716.22</v>
      </c>
      <c r="C454" s="39">
        <v>326.06</v>
      </c>
      <c r="D454" s="39">
        <v>1.20207</v>
      </c>
      <c r="E454">
        <v>1970.86</v>
      </c>
    </row>
    <row r="455" spans="1:5" x14ac:dyDescent="0.25">
      <c r="A455" s="39">
        <v>3.22</v>
      </c>
      <c r="B455" s="39">
        <v>3716.71</v>
      </c>
      <c r="C455" s="39">
        <v>326.37200000000001</v>
      </c>
      <c r="D455" s="39">
        <v>1.2021200000000001</v>
      </c>
      <c r="E455">
        <v>1970.83</v>
      </c>
    </row>
    <row r="456" spans="1:5" x14ac:dyDescent="0.25">
      <c r="A456" s="39">
        <v>3.21</v>
      </c>
      <c r="B456" s="39">
        <v>3717.18</v>
      </c>
      <c r="C456" s="39">
        <v>326.68700000000001</v>
      </c>
      <c r="D456" s="39">
        <v>1.20217</v>
      </c>
      <c r="E456">
        <v>1970.8</v>
      </c>
    </row>
    <row r="457" spans="1:5" x14ac:dyDescent="0.25">
      <c r="A457" s="39">
        <v>3.2</v>
      </c>
      <c r="B457" s="39">
        <v>3717.64</v>
      </c>
      <c r="C457" s="39">
        <v>327.00299999999999</v>
      </c>
      <c r="D457" s="39">
        <v>1.2022299999999999</v>
      </c>
      <c r="E457">
        <v>1970.76</v>
      </c>
    </row>
    <row r="458" spans="1:5" x14ac:dyDescent="0.25">
      <c r="A458" s="39">
        <v>3.19</v>
      </c>
      <c r="B458" s="39">
        <v>3718.08</v>
      </c>
      <c r="C458" s="39">
        <v>327.322</v>
      </c>
      <c r="D458" s="39">
        <v>1.20228</v>
      </c>
      <c r="E458">
        <v>1970.73</v>
      </c>
    </row>
    <row r="459" spans="1:5" x14ac:dyDescent="0.25">
      <c r="A459" s="39">
        <v>3.18</v>
      </c>
      <c r="B459" s="39">
        <v>3718.5</v>
      </c>
      <c r="C459" s="39">
        <v>327.64299999999997</v>
      </c>
      <c r="D459" s="39">
        <v>1.20234</v>
      </c>
      <c r="E459">
        <v>1970.7</v>
      </c>
    </row>
    <row r="460" spans="1:5" x14ac:dyDescent="0.25">
      <c r="A460" s="39">
        <v>3.17</v>
      </c>
      <c r="B460" s="39">
        <v>3718.91</v>
      </c>
      <c r="C460" s="39">
        <v>327.96600000000001</v>
      </c>
      <c r="D460" s="39">
        <v>1.2023999999999999</v>
      </c>
      <c r="E460">
        <v>1970.66</v>
      </c>
    </row>
    <row r="461" spans="1:5" x14ac:dyDescent="0.25">
      <c r="A461" s="39">
        <v>3.16</v>
      </c>
      <c r="B461" s="39">
        <v>3719.3</v>
      </c>
      <c r="C461" s="39">
        <v>328.291</v>
      </c>
      <c r="D461" s="39">
        <v>1.2024600000000001</v>
      </c>
      <c r="E461">
        <v>1970.63</v>
      </c>
    </row>
    <row r="462" spans="1:5" x14ac:dyDescent="0.25">
      <c r="A462" s="39">
        <v>3.15</v>
      </c>
      <c r="B462" s="39">
        <v>3719.67</v>
      </c>
      <c r="C462" s="39">
        <v>328.61799999999999</v>
      </c>
      <c r="D462" s="39">
        <v>1.20252</v>
      </c>
      <c r="E462">
        <v>1970.6</v>
      </c>
    </row>
    <row r="463" spans="1:5" x14ac:dyDescent="0.25">
      <c r="A463" s="39">
        <v>3.14</v>
      </c>
      <c r="B463" s="39">
        <v>3720.02</v>
      </c>
      <c r="C463" s="39">
        <v>328.94799999999998</v>
      </c>
      <c r="D463" s="39">
        <v>1.20258</v>
      </c>
      <c r="E463">
        <v>1970.56</v>
      </c>
    </row>
    <row r="464" spans="1:5" x14ac:dyDescent="0.25">
      <c r="A464" s="39">
        <v>3.13</v>
      </c>
      <c r="B464" s="39">
        <v>3720.35</v>
      </c>
      <c r="C464" s="39">
        <v>329.28</v>
      </c>
      <c r="D464" s="39">
        <v>1.2026399999999999</v>
      </c>
      <c r="E464">
        <v>1970.53</v>
      </c>
    </row>
    <row r="465" spans="1:5" x14ac:dyDescent="0.25">
      <c r="A465" s="39">
        <v>3.12</v>
      </c>
      <c r="B465" s="39">
        <v>3720.66</v>
      </c>
      <c r="C465" s="39">
        <v>329.61500000000001</v>
      </c>
      <c r="D465" s="39">
        <v>1.2027000000000001</v>
      </c>
      <c r="E465">
        <v>1970.5</v>
      </c>
    </row>
    <row r="466" spans="1:5" x14ac:dyDescent="0.25">
      <c r="A466" s="39">
        <v>3.11</v>
      </c>
      <c r="B466" s="39">
        <v>3720.95</v>
      </c>
      <c r="C466" s="39">
        <v>329.952</v>
      </c>
      <c r="D466" s="39">
        <v>1.2027600000000001</v>
      </c>
      <c r="E466">
        <v>1970.46</v>
      </c>
    </row>
    <row r="467" spans="1:5" x14ac:dyDescent="0.25">
      <c r="A467" s="39">
        <v>3.1</v>
      </c>
      <c r="B467" s="39">
        <v>3721.22</v>
      </c>
      <c r="C467" s="39">
        <v>330.291</v>
      </c>
      <c r="D467" s="39">
        <v>1.2028300000000001</v>
      </c>
      <c r="E467">
        <v>1970.43</v>
      </c>
    </row>
    <row r="468" spans="1:5" x14ac:dyDescent="0.25">
      <c r="A468" s="39">
        <v>3.09</v>
      </c>
      <c r="B468" s="39">
        <v>3721.47</v>
      </c>
      <c r="C468" s="39">
        <v>330.63299999999998</v>
      </c>
      <c r="D468" s="39">
        <v>1.20289</v>
      </c>
      <c r="E468">
        <v>1970.39</v>
      </c>
    </row>
    <row r="469" spans="1:5" x14ac:dyDescent="0.25">
      <c r="A469" s="39">
        <v>3.08</v>
      </c>
      <c r="B469" s="39">
        <v>3721.7</v>
      </c>
      <c r="C469" s="39">
        <v>330.97699999999998</v>
      </c>
      <c r="D469" s="39">
        <v>1.20296</v>
      </c>
      <c r="E469">
        <v>1970.36</v>
      </c>
    </row>
    <row r="470" spans="1:5" x14ac:dyDescent="0.25">
      <c r="A470" s="39">
        <v>3.07</v>
      </c>
      <c r="B470" s="39">
        <v>3721.91</v>
      </c>
      <c r="C470" s="39">
        <v>331.32400000000001</v>
      </c>
      <c r="D470" s="39">
        <v>1.20303</v>
      </c>
      <c r="E470">
        <v>1970.33</v>
      </c>
    </row>
    <row r="471" spans="1:5" x14ac:dyDescent="0.25">
      <c r="A471" s="39">
        <v>3.06</v>
      </c>
      <c r="B471" s="39">
        <v>3722.09</v>
      </c>
      <c r="C471" s="39">
        <v>331.673</v>
      </c>
      <c r="D471" s="39">
        <v>1.2031000000000001</v>
      </c>
      <c r="E471">
        <v>1970.29</v>
      </c>
    </row>
    <row r="472" spans="1:5" x14ac:dyDescent="0.25">
      <c r="A472" s="39">
        <v>3.05</v>
      </c>
      <c r="B472" s="39">
        <v>3722.25</v>
      </c>
      <c r="C472" s="39">
        <v>332.02499999999998</v>
      </c>
      <c r="D472" s="39">
        <v>1.2031700000000001</v>
      </c>
      <c r="E472">
        <v>1970.26</v>
      </c>
    </row>
    <row r="473" spans="1:5" x14ac:dyDescent="0.25">
      <c r="A473" s="39">
        <v>3.04</v>
      </c>
      <c r="B473" s="39">
        <v>3722.39</v>
      </c>
      <c r="C473" s="39">
        <v>332.37900000000002</v>
      </c>
      <c r="D473" s="39">
        <v>1.2032400000000001</v>
      </c>
      <c r="E473">
        <v>1970.22</v>
      </c>
    </row>
    <row r="474" spans="1:5" x14ac:dyDescent="0.25">
      <c r="A474" s="39">
        <v>3.03</v>
      </c>
      <c r="B474" s="39">
        <v>3722.5</v>
      </c>
      <c r="C474" s="39">
        <v>332.73599999999999</v>
      </c>
      <c r="D474" s="39">
        <v>1.2033100000000001</v>
      </c>
      <c r="E474">
        <v>1970.19</v>
      </c>
    </row>
    <row r="475" spans="1:5" x14ac:dyDescent="0.25">
      <c r="A475" s="39">
        <v>3.02</v>
      </c>
      <c r="B475" s="39">
        <v>3722.59</v>
      </c>
      <c r="C475" s="39">
        <v>333.096</v>
      </c>
      <c r="D475" s="39">
        <v>1.2033799999999999</v>
      </c>
      <c r="E475">
        <v>1970.15</v>
      </c>
    </row>
    <row r="476" spans="1:5" x14ac:dyDescent="0.25">
      <c r="A476" s="39">
        <v>3.01</v>
      </c>
      <c r="B476" s="39">
        <v>3722.66</v>
      </c>
      <c r="C476" s="39">
        <v>333.45800000000003</v>
      </c>
      <c r="D476" s="39">
        <v>1.20346</v>
      </c>
      <c r="E476">
        <v>1970.12</v>
      </c>
    </row>
    <row r="477" spans="1:5" x14ac:dyDescent="0.25">
      <c r="A477" s="39">
        <v>3</v>
      </c>
      <c r="B477" s="39">
        <v>3722.69</v>
      </c>
      <c r="C477" s="39">
        <v>333.82299999999998</v>
      </c>
      <c r="D477" s="39">
        <v>1.20353</v>
      </c>
      <c r="E477">
        <v>1970.08</v>
      </c>
    </row>
    <row r="478" spans="1:5" x14ac:dyDescent="0.25">
      <c r="A478" s="39">
        <v>2.99</v>
      </c>
      <c r="B478" s="39">
        <v>3722.7</v>
      </c>
      <c r="C478" s="39">
        <v>334.19099999999997</v>
      </c>
      <c r="D478" s="39">
        <v>1.2036100000000001</v>
      </c>
      <c r="E478">
        <v>1970.05</v>
      </c>
    </row>
    <row r="479" spans="1:5" x14ac:dyDescent="0.25">
      <c r="A479" s="39">
        <v>2.98</v>
      </c>
      <c r="B479" s="39">
        <v>3722.68</v>
      </c>
      <c r="C479" s="39">
        <v>334.56200000000001</v>
      </c>
      <c r="D479" s="39">
        <v>1.2036899999999999</v>
      </c>
      <c r="E479">
        <v>1970.01</v>
      </c>
    </row>
    <row r="480" spans="1:5" x14ac:dyDescent="0.25">
      <c r="A480" s="39">
        <v>2.97</v>
      </c>
      <c r="B480" s="39">
        <v>3722.64</v>
      </c>
      <c r="C480" s="39">
        <v>334.935</v>
      </c>
      <c r="D480" s="39">
        <v>1.20377</v>
      </c>
      <c r="E480">
        <v>1969.98</v>
      </c>
    </row>
    <row r="481" spans="1:5" x14ac:dyDescent="0.25">
      <c r="A481" s="39">
        <v>2.96</v>
      </c>
      <c r="B481" s="39">
        <v>3722.56</v>
      </c>
      <c r="C481" s="39">
        <v>335.31200000000001</v>
      </c>
      <c r="D481" s="39">
        <v>1.2038500000000001</v>
      </c>
      <c r="E481">
        <v>1969.94</v>
      </c>
    </row>
    <row r="482" spans="1:5" x14ac:dyDescent="0.25">
      <c r="A482" s="39">
        <v>2.95</v>
      </c>
      <c r="B482" s="39">
        <v>3722.46</v>
      </c>
      <c r="C482" s="39">
        <v>335.69099999999997</v>
      </c>
      <c r="D482" s="39">
        <v>1.2039299999999999</v>
      </c>
      <c r="E482">
        <v>1969.91</v>
      </c>
    </row>
    <row r="483" spans="1:5" x14ac:dyDescent="0.25">
      <c r="A483" s="39">
        <v>2.94</v>
      </c>
      <c r="B483" s="39">
        <v>3722.33</v>
      </c>
      <c r="C483" s="39">
        <v>336.07400000000001</v>
      </c>
      <c r="D483" s="39">
        <v>1.20401</v>
      </c>
      <c r="E483">
        <v>1969.87</v>
      </c>
    </row>
    <row r="484" spans="1:5" x14ac:dyDescent="0.25">
      <c r="A484" s="39">
        <v>2.93</v>
      </c>
      <c r="B484" s="39">
        <v>3722.16</v>
      </c>
      <c r="C484" s="39">
        <v>336.459</v>
      </c>
      <c r="D484" s="39">
        <v>1.2040999999999999</v>
      </c>
      <c r="E484">
        <v>1969.83</v>
      </c>
    </row>
    <row r="485" spans="1:5" x14ac:dyDescent="0.25">
      <c r="A485" s="39">
        <v>2.92</v>
      </c>
      <c r="B485" s="39">
        <v>3721.97</v>
      </c>
      <c r="C485" s="39">
        <v>336.84699999999998</v>
      </c>
      <c r="D485" s="39">
        <v>1.20418</v>
      </c>
      <c r="E485">
        <v>1969.8</v>
      </c>
    </row>
    <row r="486" spans="1:5" x14ac:dyDescent="0.25">
      <c r="A486" s="39">
        <v>2.91</v>
      </c>
      <c r="B486" s="39">
        <v>3721.74</v>
      </c>
      <c r="C486" s="39">
        <v>337.23899999999998</v>
      </c>
      <c r="D486" s="39">
        <v>1.20427</v>
      </c>
      <c r="E486">
        <v>1969.76</v>
      </c>
    </row>
    <row r="487" spans="1:5" x14ac:dyDescent="0.25">
      <c r="A487" s="39">
        <v>2.9</v>
      </c>
      <c r="B487" s="39">
        <v>3721.48</v>
      </c>
      <c r="C487" s="39">
        <v>337.63400000000001</v>
      </c>
      <c r="D487" s="39">
        <v>1.2043600000000001</v>
      </c>
      <c r="E487">
        <v>1969.72</v>
      </c>
    </row>
    <row r="488" spans="1:5" x14ac:dyDescent="0.25">
      <c r="A488" s="39">
        <v>2.89</v>
      </c>
      <c r="B488" s="39">
        <v>3721.19</v>
      </c>
      <c r="C488" s="39">
        <v>338.03199999999998</v>
      </c>
      <c r="D488" s="39">
        <v>1.20445</v>
      </c>
      <c r="E488">
        <v>1969.69</v>
      </c>
    </row>
    <row r="489" spans="1:5" x14ac:dyDescent="0.25">
      <c r="A489" s="39">
        <v>2.88</v>
      </c>
      <c r="B489" s="39">
        <v>3720.86</v>
      </c>
      <c r="C489" s="39">
        <v>338.43299999999999</v>
      </c>
      <c r="D489" s="39">
        <v>1.2045399999999999</v>
      </c>
      <c r="E489">
        <v>1969.65</v>
      </c>
    </row>
    <row r="490" spans="1:5" x14ac:dyDescent="0.25">
      <c r="A490" s="39">
        <v>2.87</v>
      </c>
      <c r="B490" s="39">
        <v>3720.49</v>
      </c>
      <c r="C490" s="39">
        <v>338.83699999999999</v>
      </c>
      <c r="D490" s="39">
        <v>1.2046399999999999</v>
      </c>
      <c r="E490">
        <v>1969.62</v>
      </c>
    </row>
    <row r="491" spans="1:5" x14ac:dyDescent="0.25">
      <c r="A491" s="39">
        <v>2.86</v>
      </c>
      <c r="B491" s="39">
        <v>3720.09</v>
      </c>
      <c r="C491" s="39">
        <v>339.245</v>
      </c>
      <c r="D491" s="39">
        <v>1.2047300000000001</v>
      </c>
      <c r="E491">
        <v>1969.58</v>
      </c>
    </row>
    <row r="492" spans="1:5" x14ac:dyDescent="0.25">
      <c r="A492" s="39">
        <v>2.85</v>
      </c>
      <c r="B492" s="39">
        <v>3719.65</v>
      </c>
      <c r="C492" s="39">
        <v>339.65600000000001</v>
      </c>
      <c r="D492" s="39">
        <v>1.2048300000000001</v>
      </c>
      <c r="E492">
        <v>1969.54</v>
      </c>
    </row>
    <row r="493" spans="1:5" x14ac:dyDescent="0.25">
      <c r="A493" s="39">
        <v>2.84</v>
      </c>
      <c r="B493" s="39">
        <v>3719.17</v>
      </c>
      <c r="C493" s="39">
        <v>340.07100000000003</v>
      </c>
      <c r="D493" s="39">
        <v>1.2049300000000001</v>
      </c>
      <c r="E493">
        <v>1969.5</v>
      </c>
    </row>
    <row r="494" spans="1:5" x14ac:dyDescent="0.25">
      <c r="A494" s="39">
        <v>2.83</v>
      </c>
      <c r="B494" s="39">
        <v>3718.65</v>
      </c>
      <c r="C494" s="39">
        <v>340.48899999999998</v>
      </c>
      <c r="D494" s="39">
        <v>1.20503</v>
      </c>
      <c r="E494">
        <v>1969.47</v>
      </c>
    </row>
    <row r="495" spans="1:5" x14ac:dyDescent="0.25">
      <c r="A495" s="39">
        <v>2.82</v>
      </c>
      <c r="B495" s="39">
        <v>3718.09</v>
      </c>
      <c r="C495" s="39">
        <v>340.91</v>
      </c>
      <c r="D495" s="39">
        <v>1.20513</v>
      </c>
      <c r="E495">
        <v>1969.43</v>
      </c>
    </row>
    <row r="496" spans="1:5" x14ac:dyDescent="0.25">
      <c r="A496" s="39">
        <v>2.81</v>
      </c>
      <c r="B496" s="39">
        <v>3717.49</v>
      </c>
      <c r="C496" s="39">
        <v>341.33600000000001</v>
      </c>
      <c r="D496" s="39">
        <v>1.2052400000000001</v>
      </c>
      <c r="E496">
        <v>1969.39</v>
      </c>
    </row>
    <row r="497" spans="1:5" x14ac:dyDescent="0.25">
      <c r="A497" s="39">
        <v>2.8</v>
      </c>
      <c r="B497" s="39">
        <v>3716.85</v>
      </c>
      <c r="C497" s="39">
        <v>341.76499999999999</v>
      </c>
      <c r="D497" s="39">
        <v>1.2053400000000001</v>
      </c>
      <c r="E497">
        <v>1969.36</v>
      </c>
    </row>
    <row r="498" spans="1:5" x14ac:dyDescent="0.25">
      <c r="A498" s="39">
        <v>2.79</v>
      </c>
      <c r="B498" s="39">
        <v>3716.16</v>
      </c>
      <c r="C498" s="39">
        <v>342.197</v>
      </c>
      <c r="D498" s="39">
        <v>1.2054499999999999</v>
      </c>
      <c r="E498">
        <v>1969.32</v>
      </c>
    </row>
    <row r="499" spans="1:5" x14ac:dyDescent="0.25">
      <c r="A499" s="39">
        <v>2.78</v>
      </c>
      <c r="B499" s="39">
        <v>3715.43</v>
      </c>
      <c r="C499" s="39">
        <v>342.63400000000001</v>
      </c>
      <c r="D499" s="39">
        <v>1.20556</v>
      </c>
      <c r="E499">
        <v>1969.28</v>
      </c>
    </row>
    <row r="500" spans="1:5" x14ac:dyDescent="0.25">
      <c r="A500" s="39">
        <v>2.77</v>
      </c>
      <c r="B500" s="39">
        <v>3714.65</v>
      </c>
      <c r="C500" s="39">
        <v>343.07400000000001</v>
      </c>
      <c r="D500" s="39">
        <v>1.20567</v>
      </c>
      <c r="E500">
        <v>1969.24</v>
      </c>
    </row>
    <row r="501" spans="1:5" x14ac:dyDescent="0.25">
      <c r="A501" s="39">
        <v>2.76</v>
      </c>
      <c r="B501" s="39">
        <v>3713.82</v>
      </c>
      <c r="C501" s="39">
        <v>343.51799999999997</v>
      </c>
      <c r="D501" s="39">
        <v>1.2057899999999999</v>
      </c>
      <c r="E501">
        <v>1969.2</v>
      </c>
    </row>
    <row r="502" spans="1:5" x14ac:dyDescent="0.25">
      <c r="A502" s="39">
        <v>2.75</v>
      </c>
      <c r="B502" s="39">
        <v>3712.94</v>
      </c>
      <c r="C502" s="39">
        <v>343.96600000000001</v>
      </c>
      <c r="D502" s="39">
        <v>1.2059</v>
      </c>
      <c r="E502">
        <v>1969.17</v>
      </c>
    </row>
    <row r="503" spans="1:5" x14ac:dyDescent="0.25">
      <c r="A503" s="39">
        <v>2.74</v>
      </c>
      <c r="B503" s="39">
        <v>3712.02</v>
      </c>
      <c r="C503" s="39">
        <v>344.41899999999998</v>
      </c>
      <c r="D503" s="39">
        <v>1.2060200000000001</v>
      </c>
      <c r="E503">
        <v>1969.13</v>
      </c>
    </row>
    <row r="504" spans="1:5" x14ac:dyDescent="0.25">
      <c r="A504" s="39">
        <v>2.73</v>
      </c>
      <c r="B504" s="39">
        <v>3711.04</v>
      </c>
      <c r="C504" s="39">
        <v>344.875</v>
      </c>
      <c r="D504" s="39">
        <v>1.20614</v>
      </c>
      <c r="E504">
        <v>1969.09</v>
      </c>
    </row>
    <row r="505" spans="1:5" x14ac:dyDescent="0.25">
      <c r="A505" s="39">
        <v>2.72</v>
      </c>
      <c r="B505" s="39">
        <v>3710.01</v>
      </c>
      <c r="C505" s="39">
        <v>345.33499999999998</v>
      </c>
      <c r="D505" s="39">
        <v>1.2062600000000001</v>
      </c>
      <c r="E505">
        <v>1969.05</v>
      </c>
    </row>
    <row r="506" spans="1:5" x14ac:dyDescent="0.25">
      <c r="A506" s="39">
        <v>2.71</v>
      </c>
      <c r="B506" s="39">
        <v>3708.92</v>
      </c>
      <c r="C506" s="39">
        <v>345.8</v>
      </c>
      <c r="D506" s="39">
        <v>1.2063900000000001</v>
      </c>
      <c r="E506">
        <v>1969.01</v>
      </c>
    </row>
    <row r="507" spans="1:5" x14ac:dyDescent="0.25">
      <c r="A507" s="39">
        <v>2.7</v>
      </c>
      <c r="B507" s="39">
        <v>3707.78</v>
      </c>
      <c r="C507" s="39">
        <v>346.26900000000001</v>
      </c>
      <c r="D507" s="39">
        <v>1.20652</v>
      </c>
      <c r="E507">
        <v>1968.97</v>
      </c>
    </row>
    <row r="508" spans="1:5" x14ac:dyDescent="0.25">
      <c r="A508" s="39">
        <v>2.69</v>
      </c>
      <c r="B508" s="39">
        <v>3706.58</v>
      </c>
      <c r="C508" s="39">
        <v>346.74299999999999</v>
      </c>
      <c r="D508" s="39">
        <v>1.20665</v>
      </c>
      <c r="E508">
        <v>1968.93</v>
      </c>
    </row>
    <row r="509" spans="1:5" x14ac:dyDescent="0.25">
      <c r="A509" s="39">
        <v>2.68</v>
      </c>
      <c r="B509" s="39">
        <v>3705.32</v>
      </c>
      <c r="C509" s="39">
        <v>347.221</v>
      </c>
      <c r="D509" s="39">
        <v>1.20678</v>
      </c>
      <c r="E509">
        <v>1968.9</v>
      </c>
    </row>
    <row r="510" spans="1:5" x14ac:dyDescent="0.25">
      <c r="A510" s="39">
        <v>2.67</v>
      </c>
      <c r="B510" s="39">
        <v>3704</v>
      </c>
      <c r="C510" s="39">
        <v>347.70299999999997</v>
      </c>
      <c r="D510" s="39">
        <v>1.2069099999999999</v>
      </c>
      <c r="E510">
        <v>1968.86</v>
      </c>
    </row>
    <row r="511" spans="1:5" x14ac:dyDescent="0.25">
      <c r="A511" s="39">
        <v>2.66</v>
      </c>
      <c r="B511" s="39">
        <v>3702.62</v>
      </c>
      <c r="C511" s="39">
        <v>348.19</v>
      </c>
      <c r="D511" s="39">
        <v>1.20705</v>
      </c>
      <c r="E511">
        <v>1968.82</v>
      </c>
    </row>
    <row r="512" spans="1:5" x14ac:dyDescent="0.25">
      <c r="A512" s="39">
        <v>2.65</v>
      </c>
      <c r="B512" s="39">
        <v>3701.18</v>
      </c>
      <c r="C512" s="39">
        <v>348.68200000000002</v>
      </c>
      <c r="D512" s="39">
        <v>1.20719</v>
      </c>
      <c r="E512">
        <v>1968.78</v>
      </c>
    </row>
    <row r="513" spans="1:5" x14ac:dyDescent="0.25">
      <c r="A513" s="39">
        <v>2.64</v>
      </c>
      <c r="B513" s="39">
        <v>3699.66</v>
      </c>
      <c r="C513" s="39">
        <v>349.17899999999997</v>
      </c>
      <c r="D513" s="39">
        <v>1.20733</v>
      </c>
      <c r="E513">
        <v>1968.74</v>
      </c>
    </row>
    <row r="514" spans="1:5" x14ac:dyDescent="0.25">
      <c r="A514" s="39">
        <v>2.63</v>
      </c>
      <c r="B514" s="39">
        <v>3698.09</v>
      </c>
      <c r="C514" s="39">
        <v>349.68099999999998</v>
      </c>
      <c r="D514" s="39">
        <v>1.2074800000000001</v>
      </c>
      <c r="E514">
        <v>1968.7</v>
      </c>
    </row>
    <row r="515" spans="1:5" x14ac:dyDescent="0.25">
      <c r="A515" s="39">
        <v>2.62</v>
      </c>
      <c r="B515" s="39">
        <v>3696.44</v>
      </c>
      <c r="C515" s="39">
        <v>350.18700000000001</v>
      </c>
      <c r="D515" s="39">
        <v>1.2076199999999999</v>
      </c>
      <c r="E515">
        <v>1968.66</v>
      </c>
    </row>
    <row r="516" spans="1:5" x14ac:dyDescent="0.25">
      <c r="A516" s="39">
        <v>2.61</v>
      </c>
      <c r="B516" s="39">
        <v>3694.72</v>
      </c>
      <c r="C516" s="39">
        <v>350.69900000000001</v>
      </c>
      <c r="D516" s="39">
        <v>1.20777</v>
      </c>
      <c r="E516">
        <v>1968.62</v>
      </c>
    </row>
    <row r="517" spans="1:5" x14ac:dyDescent="0.25">
      <c r="A517" s="39">
        <v>2.6</v>
      </c>
      <c r="B517" s="39">
        <v>3692.92</v>
      </c>
      <c r="C517" s="39">
        <v>351.21499999999997</v>
      </c>
      <c r="D517" s="39">
        <v>1.2079299999999999</v>
      </c>
      <c r="E517">
        <v>1968.58</v>
      </c>
    </row>
    <row r="518" spans="1:5" x14ac:dyDescent="0.25">
      <c r="A518" s="39">
        <v>2.59</v>
      </c>
      <c r="B518" s="39">
        <v>3691.06</v>
      </c>
      <c r="C518" s="39">
        <v>351.73700000000002</v>
      </c>
      <c r="D518" s="39">
        <v>1.20808</v>
      </c>
      <c r="E518">
        <v>1968.54</v>
      </c>
    </row>
    <row r="519" spans="1:5" x14ac:dyDescent="0.25">
      <c r="A519" s="39">
        <v>2.58</v>
      </c>
      <c r="B519" s="39">
        <v>3689.11</v>
      </c>
      <c r="C519" s="39">
        <v>352.26499999999999</v>
      </c>
      <c r="D519" s="39">
        <v>1.20824</v>
      </c>
      <c r="E519">
        <v>1968.5</v>
      </c>
    </row>
    <row r="520" spans="1:5" x14ac:dyDescent="0.25">
      <c r="A520" s="39">
        <v>2.57</v>
      </c>
      <c r="B520" s="39">
        <v>3687.08</v>
      </c>
      <c r="C520" s="39">
        <v>352.79700000000003</v>
      </c>
      <c r="D520" s="39">
        <v>1.20841</v>
      </c>
      <c r="E520">
        <v>1968.46</v>
      </c>
    </row>
    <row r="521" spans="1:5" x14ac:dyDescent="0.25">
      <c r="A521" s="39">
        <v>2.56</v>
      </c>
      <c r="B521" s="39">
        <v>3684.98</v>
      </c>
      <c r="C521" s="39">
        <v>353.33600000000001</v>
      </c>
      <c r="D521" s="39">
        <v>1.2085699999999999</v>
      </c>
      <c r="E521">
        <v>1968.41</v>
      </c>
    </row>
    <row r="522" spans="1:5" x14ac:dyDescent="0.25">
      <c r="A522" s="39">
        <v>2.5499999999999998</v>
      </c>
      <c r="B522" s="39">
        <v>3682.78</v>
      </c>
      <c r="C522" s="39">
        <v>353.88</v>
      </c>
      <c r="D522" s="39">
        <v>1.2087399999999999</v>
      </c>
      <c r="E522">
        <v>1968.37</v>
      </c>
    </row>
    <row r="523" spans="1:5" x14ac:dyDescent="0.25">
      <c r="A523" s="39">
        <v>2.54</v>
      </c>
      <c r="B523" s="39">
        <v>3680.5</v>
      </c>
      <c r="C523" s="39">
        <v>354.42899999999997</v>
      </c>
      <c r="D523" s="39">
        <v>1.2089099999999999</v>
      </c>
      <c r="E523">
        <v>1968.33</v>
      </c>
    </row>
    <row r="524" spans="1:5" x14ac:dyDescent="0.25">
      <c r="A524" s="39">
        <v>2.5299999999999998</v>
      </c>
      <c r="B524" s="39">
        <v>3678.14</v>
      </c>
      <c r="C524" s="39">
        <v>354.98500000000001</v>
      </c>
      <c r="D524" s="39">
        <v>1.20909</v>
      </c>
      <c r="E524">
        <v>1968.29</v>
      </c>
    </row>
    <row r="525" spans="1:5" x14ac:dyDescent="0.25">
      <c r="A525" s="39">
        <v>2.52</v>
      </c>
      <c r="B525" s="39">
        <v>3675.68</v>
      </c>
      <c r="C525" s="39">
        <v>355.54599999999999</v>
      </c>
      <c r="D525" s="39">
        <v>1.2092700000000001</v>
      </c>
      <c r="E525">
        <v>1968.25</v>
      </c>
    </row>
    <row r="526" spans="1:5" x14ac:dyDescent="0.25">
      <c r="A526" s="39">
        <v>2.5099999999999998</v>
      </c>
      <c r="B526" s="39">
        <v>3673.13</v>
      </c>
      <c r="C526" s="39">
        <v>356.11399999999998</v>
      </c>
      <c r="D526" s="39">
        <v>1.2094499999999999</v>
      </c>
      <c r="E526">
        <v>1968.21</v>
      </c>
    </row>
    <row r="527" spans="1:5" x14ac:dyDescent="0.25">
      <c r="A527" s="39">
        <v>2.5</v>
      </c>
      <c r="B527" s="39">
        <v>3670.48</v>
      </c>
      <c r="C527" s="39">
        <v>356.68799999999999</v>
      </c>
      <c r="D527" s="39">
        <v>1.20964</v>
      </c>
      <c r="E527">
        <v>1968.17</v>
      </c>
    </row>
    <row r="528" spans="1:5" x14ac:dyDescent="0.25">
      <c r="A528" s="39">
        <v>2.4900000000000002</v>
      </c>
      <c r="B528" s="39">
        <v>3667.73</v>
      </c>
      <c r="C528" s="39">
        <v>357.26799999999997</v>
      </c>
      <c r="D528" s="39">
        <v>1.20983</v>
      </c>
      <c r="E528">
        <v>1968.12</v>
      </c>
    </row>
    <row r="529" spans="1:5" x14ac:dyDescent="0.25">
      <c r="A529" s="39">
        <v>2.48</v>
      </c>
      <c r="B529" s="39">
        <v>3664.88</v>
      </c>
      <c r="C529" s="39">
        <v>357.85500000000002</v>
      </c>
      <c r="D529" s="39">
        <v>1.2100299999999999</v>
      </c>
      <c r="E529">
        <v>1968.08</v>
      </c>
    </row>
    <row r="530" spans="1:5" x14ac:dyDescent="0.25">
      <c r="A530" s="39">
        <v>2.4700000000000002</v>
      </c>
      <c r="B530" s="39">
        <v>3661.93</v>
      </c>
      <c r="C530" s="39">
        <v>358.44799999999998</v>
      </c>
      <c r="D530" s="39">
        <v>1.2102299999999999</v>
      </c>
      <c r="E530">
        <v>1968.04</v>
      </c>
    </row>
    <row r="531" spans="1:5" x14ac:dyDescent="0.25">
      <c r="A531" s="39">
        <v>2.46</v>
      </c>
      <c r="B531" s="39">
        <v>3658.87</v>
      </c>
      <c r="C531" s="39">
        <v>359.04700000000003</v>
      </c>
      <c r="D531" s="39">
        <v>1.2104299999999999</v>
      </c>
      <c r="E531">
        <v>1968</v>
      </c>
    </row>
    <row r="532" spans="1:5" x14ac:dyDescent="0.25">
      <c r="A532" s="39">
        <v>2.4500000000000002</v>
      </c>
      <c r="B532" s="39">
        <v>3655.7</v>
      </c>
      <c r="C532" s="39">
        <v>359.654</v>
      </c>
      <c r="D532" s="39">
        <v>1.2106399999999999</v>
      </c>
      <c r="E532">
        <v>1967.95</v>
      </c>
    </row>
    <row r="533" spans="1:5" x14ac:dyDescent="0.25">
      <c r="A533" s="39">
        <v>2.44</v>
      </c>
      <c r="B533" s="39">
        <v>3652.41</v>
      </c>
      <c r="C533" s="39">
        <v>360.26799999999997</v>
      </c>
      <c r="D533" s="39">
        <v>1.21085</v>
      </c>
      <c r="E533">
        <v>1967.91</v>
      </c>
    </row>
    <row r="534" spans="1:5" x14ac:dyDescent="0.25">
      <c r="A534" s="39">
        <v>2.4300000000000002</v>
      </c>
      <c r="B534" s="39">
        <v>3649.01</v>
      </c>
      <c r="C534" s="39">
        <v>360.88799999999998</v>
      </c>
      <c r="D534" s="39">
        <v>1.2110700000000001</v>
      </c>
      <c r="E534">
        <v>1967.87</v>
      </c>
    </row>
    <row r="535" spans="1:5" x14ac:dyDescent="0.25">
      <c r="A535" s="39">
        <v>2.42</v>
      </c>
      <c r="B535" s="39">
        <v>3645.5</v>
      </c>
      <c r="C535" s="39">
        <v>361.51600000000002</v>
      </c>
      <c r="D535" s="39">
        <v>1.21129</v>
      </c>
      <c r="E535">
        <v>1967.82</v>
      </c>
    </row>
    <row r="536" spans="1:5" x14ac:dyDescent="0.25">
      <c r="A536" s="39">
        <v>2.41</v>
      </c>
      <c r="B536" s="39">
        <v>3641.86</v>
      </c>
      <c r="C536" s="39">
        <v>362.15100000000001</v>
      </c>
      <c r="D536" s="39">
        <v>1.2115100000000001</v>
      </c>
      <c r="E536">
        <v>1967.78</v>
      </c>
    </row>
    <row r="537" spans="1:5" x14ac:dyDescent="0.25">
      <c r="A537" s="39">
        <v>2.4</v>
      </c>
      <c r="B537" s="39">
        <v>3638.09</v>
      </c>
      <c r="C537" s="39">
        <v>362.79300000000001</v>
      </c>
      <c r="D537" s="39">
        <v>1.21174</v>
      </c>
      <c r="E537">
        <v>1967.74</v>
      </c>
    </row>
    <row r="538" spans="1:5" x14ac:dyDescent="0.25">
      <c r="A538" s="39">
        <v>2.39</v>
      </c>
      <c r="B538" s="39">
        <v>3634.2</v>
      </c>
      <c r="C538" s="39">
        <v>363.44400000000002</v>
      </c>
      <c r="D538" s="39">
        <v>1.2119800000000001</v>
      </c>
      <c r="E538">
        <v>1967.69</v>
      </c>
    </row>
    <row r="539" spans="1:5" x14ac:dyDescent="0.25">
      <c r="A539" s="39">
        <v>2.38</v>
      </c>
      <c r="B539" s="39">
        <v>3630.17</v>
      </c>
      <c r="C539" s="39">
        <v>364.10199999999998</v>
      </c>
      <c r="D539" s="39">
        <v>1.2122200000000001</v>
      </c>
      <c r="E539">
        <v>1967.65</v>
      </c>
    </row>
    <row r="540" spans="1:5" x14ac:dyDescent="0.25">
      <c r="A540" s="39">
        <v>2.37</v>
      </c>
      <c r="B540" s="39">
        <v>3626.02</v>
      </c>
      <c r="C540" s="39">
        <v>364.767</v>
      </c>
      <c r="D540" s="39">
        <v>1.2124600000000001</v>
      </c>
      <c r="E540">
        <v>1967.61</v>
      </c>
    </row>
    <row r="541" spans="1:5" x14ac:dyDescent="0.25">
      <c r="A541" s="39">
        <v>2.36</v>
      </c>
      <c r="B541" s="39">
        <v>3621.72</v>
      </c>
      <c r="C541" s="39">
        <v>365.44099999999997</v>
      </c>
      <c r="D541" s="39">
        <v>1.21271</v>
      </c>
      <c r="E541">
        <v>1967.56</v>
      </c>
    </row>
    <row r="542" spans="1:5" x14ac:dyDescent="0.25">
      <c r="A542" s="39">
        <v>2.35</v>
      </c>
      <c r="B542" s="39">
        <v>3617.28</v>
      </c>
      <c r="C542" s="39">
        <v>366.12299999999999</v>
      </c>
      <c r="D542" s="39">
        <v>1.2129700000000001</v>
      </c>
      <c r="E542">
        <v>1967.52</v>
      </c>
    </row>
    <row r="543" spans="1:5" x14ac:dyDescent="0.25">
      <c r="A543" s="39">
        <v>2.34</v>
      </c>
      <c r="B543" s="39">
        <v>3612.7</v>
      </c>
      <c r="C543" s="39">
        <v>366.81299999999999</v>
      </c>
      <c r="D543" s="39">
        <v>1.21323</v>
      </c>
      <c r="E543">
        <v>1967.47</v>
      </c>
    </row>
    <row r="544" spans="1:5" x14ac:dyDescent="0.25">
      <c r="A544" s="39">
        <v>2.33</v>
      </c>
      <c r="B544" s="39">
        <v>3607.97</v>
      </c>
      <c r="C544" s="39">
        <v>367.512</v>
      </c>
      <c r="D544" s="39">
        <v>1.2135</v>
      </c>
      <c r="E544">
        <v>1967.43</v>
      </c>
    </row>
    <row r="545" spans="1:5" x14ac:dyDescent="0.25">
      <c r="A545" s="39">
        <v>2.3199999999999998</v>
      </c>
      <c r="B545" s="39">
        <v>3603.09</v>
      </c>
      <c r="C545" s="39">
        <v>368.21899999999999</v>
      </c>
      <c r="D545" s="39">
        <v>1.21377</v>
      </c>
      <c r="E545">
        <v>1967.38</v>
      </c>
    </row>
    <row r="546" spans="1:5" x14ac:dyDescent="0.25">
      <c r="A546" s="39">
        <v>2.31</v>
      </c>
      <c r="B546" s="39">
        <v>3598.05</v>
      </c>
      <c r="C546" s="39">
        <v>368.93599999999998</v>
      </c>
      <c r="D546" s="39">
        <v>1.2140500000000001</v>
      </c>
      <c r="E546">
        <v>1967.34</v>
      </c>
    </row>
    <row r="547" spans="1:5" x14ac:dyDescent="0.25">
      <c r="A547" s="39">
        <v>2.2999999999999998</v>
      </c>
      <c r="B547" s="39">
        <v>3592.86</v>
      </c>
      <c r="C547" s="39">
        <v>369.661</v>
      </c>
      <c r="D547" s="39">
        <v>1.21434</v>
      </c>
      <c r="E547">
        <v>1967.29</v>
      </c>
    </row>
    <row r="548" spans="1:5" x14ac:dyDescent="0.25">
      <c r="A548" s="39">
        <v>2.29</v>
      </c>
      <c r="B548" s="39">
        <v>3587.51</v>
      </c>
      <c r="C548" s="39">
        <v>370.39499999999998</v>
      </c>
      <c r="D548" s="39">
        <v>1.2146300000000001</v>
      </c>
      <c r="E548">
        <v>1967.25</v>
      </c>
    </row>
    <row r="549" spans="1:5" x14ac:dyDescent="0.25">
      <c r="A549" s="39">
        <v>2.2799999999999998</v>
      </c>
      <c r="B549" s="39">
        <v>3581.99</v>
      </c>
      <c r="C549" s="39">
        <v>371.13799999999998</v>
      </c>
      <c r="D549" s="39">
        <v>1.21492</v>
      </c>
      <c r="E549">
        <v>1967.2</v>
      </c>
    </row>
    <row r="550" spans="1:5" x14ac:dyDescent="0.25">
      <c r="A550" s="39">
        <v>2.27</v>
      </c>
      <c r="B550" s="39">
        <v>3576.3</v>
      </c>
      <c r="C550" s="39">
        <v>371.89100000000002</v>
      </c>
      <c r="D550" s="39">
        <v>1.21523</v>
      </c>
      <c r="E550">
        <v>1967.16</v>
      </c>
    </row>
    <row r="551" spans="1:5" x14ac:dyDescent="0.25">
      <c r="A551" s="39">
        <v>2.2599999999999998</v>
      </c>
      <c r="B551" s="39">
        <v>3570.44</v>
      </c>
      <c r="C551" s="39">
        <v>372.65300000000002</v>
      </c>
      <c r="D551" s="39">
        <v>1.2155400000000001</v>
      </c>
      <c r="E551">
        <v>1967.11</v>
      </c>
    </row>
    <row r="552" spans="1:5" x14ac:dyDescent="0.25">
      <c r="A552" s="39">
        <v>2.25</v>
      </c>
      <c r="B552" s="39">
        <v>3564.41</v>
      </c>
      <c r="C552" s="39">
        <v>373.42500000000001</v>
      </c>
      <c r="D552" s="39">
        <v>1.2158500000000001</v>
      </c>
      <c r="E552">
        <v>1967.06</v>
      </c>
    </row>
    <row r="553" spans="1:5" x14ac:dyDescent="0.25">
      <c r="A553" s="39">
        <v>2.2400000000000002</v>
      </c>
      <c r="B553" s="39">
        <v>3558.2</v>
      </c>
      <c r="C553" s="39">
        <v>374.20600000000002</v>
      </c>
      <c r="D553" s="39">
        <v>1.21618</v>
      </c>
      <c r="E553">
        <v>1967.02</v>
      </c>
    </row>
    <row r="554" spans="1:5" x14ac:dyDescent="0.25">
      <c r="A554" s="39">
        <v>2.23</v>
      </c>
      <c r="B554" s="39">
        <v>3551.81</v>
      </c>
      <c r="C554" s="39">
        <v>374.99799999999999</v>
      </c>
      <c r="D554" s="39">
        <v>1.21651</v>
      </c>
      <c r="E554">
        <v>1966.97</v>
      </c>
    </row>
    <row r="555" spans="1:5" x14ac:dyDescent="0.25">
      <c r="A555" s="39">
        <v>2.2200000000000002</v>
      </c>
      <c r="B555" s="39">
        <v>3545.24</v>
      </c>
      <c r="C555" s="39">
        <v>375.79899999999998</v>
      </c>
      <c r="D555" s="39">
        <v>1.21685</v>
      </c>
      <c r="E555">
        <v>1966.92</v>
      </c>
    </row>
    <row r="556" spans="1:5" x14ac:dyDescent="0.25">
      <c r="A556" s="39">
        <v>2.21</v>
      </c>
      <c r="B556" s="39">
        <v>3538.48</v>
      </c>
      <c r="C556" s="39">
        <v>376.61099999999999</v>
      </c>
      <c r="D556" s="39">
        <v>1.21719</v>
      </c>
      <c r="E556">
        <v>1966.88</v>
      </c>
    </row>
    <row r="557" spans="1:5" x14ac:dyDescent="0.25">
      <c r="A557" s="39">
        <v>2.2000000000000002</v>
      </c>
      <c r="B557" s="39">
        <v>3531.53</v>
      </c>
      <c r="C557" s="39">
        <v>377.43299999999999</v>
      </c>
      <c r="D557" s="39">
        <v>1.2175400000000001</v>
      </c>
      <c r="E557">
        <v>1966.83</v>
      </c>
    </row>
    <row r="558" spans="1:5" x14ac:dyDescent="0.25">
      <c r="A558" s="39">
        <v>2.19</v>
      </c>
      <c r="B558" s="39">
        <v>3524.38</v>
      </c>
      <c r="C558" s="39">
        <v>378.26600000000002</v>
      </c>
      <c r="D558" s="39">
        <v>1.2179</v>
      </c>
      <c r="E558">
        <v>1966.78</v>
      </c>
    </row>
    <row r="559" spans="1:5" x14ac:dyDescent="0.25">
      <c r="A559" s="39">
        <v>2.1800000000000002</v>
      </c>
      <c r="B559" s="39">
        <v>3517.04</v>
      </c>
      <c r="C559" s="39">
        <v>379.11</v>
      </c>
      <c r="D559" s="39">
        <v>1.21827</v>
      </c>
      <c r="E559">
        <v>1966.73</v>
      </c>
    </row>
    <row r="560" spans="1:5" x14ac:dyDescent="0.25">
      <c r="A560" s="39">
        <v>2.17</v>
      </c>
      <c r="B560" s="39">
        <v>3509.5</v>
      </c>
      <c r="C560" s="39">
        <v>379.964</v>
      </c>
      <c r="D560" s="39">
        <v>1.2186399999999999</v>
      </c>
      <c r="E560">
        <v>1966.69</v>
      </c>
    </row>
    <row r="561" spans="1:5" x14ac:dyDescent="0.25">
      <c r="A561" s="39">
        <v>2.16</v>
      </c>
      <c r="B561" s="39">
        <v>3501.76</v>
      </c>
      <c r="C561" s="39">
        <v>380.82900000000001</v>
      </c>
      <c r="D561" s="39">
        <v>1.2190300000000001</v>
      </c>
      <c r="E561">
        <v>1966.64</v>
      </c>
    </row>
    <row r="562" spans="1:5" x14ac:dyDescent="0.25">
      <c r="A562" s="39">
        <v>2.15</v>
      </c>
      <c r="B562" s="39">
        <v>3493.82</v>
      </c>
      <c r="C562" s="39">
        <v>381.70499999999998</v>
      </c>
      <c r="D562" s="39">
        <v>1.2194199999999999</v>
      </c>
      <c r="E562">
        <v>1966.59</v>
      </c>
    </row>
    <row r="563" spans="1:5" x14ac:dyDescent="0.25">
      <c r="A563" s="39">
        <v>2.14</v>
      </c>
      <c r="B563" s="39">
        <v>3485.67</v>
      </c>
      <c r="C563" s="39">
        <v>382.59300000000002</v>
      </c>
      <c r="D563" s="39">
        <v>1.2198199999999999</v>
      </c>
      <c r="E563">
        <v>1966.54</v>
      </c>
    </row>
    <row r="564" spans="1:5" x14ac:dyDescent="0.25">
      <c r="A564" s="39">
        <v>2.13</v>
      </c>
      <c r="B564" s="39">
        <v>3477.31</v>
      </c>
      <c r="C564" s="39">
        <v>383.49200000000002</v>
      </c>
      <c r="D564" s="39">
        <v>1.2202200000000001</v>
      </c>
      <c r="E564">
        <v>1966.49</v>
      </c>
    </row>
    <row r="565" spans="1:5" x14ac:dyDescent="0.25">
      <c r="A565" s="39">
        <v>2.12</v>
      </c>
      <c r="B565" s="39">
        <v>3468.74</v>
      </c>
      <c r="C565" s="39">
        <v>384.40199999999999</v>
      </c>
      <c r="D565" s="39">
        <v>1.2206399999999999</v>
      </c>
      <c r="E565">
        <v>1966.44</v>
      </c>
    </row>
    <row r="566" spans="1:5" x14ac:dyDescent="0.25">
      <c r="A566" s="39">
        <v>2.11</v>
      </c>
      <c r="B566" s="39">
        <v>3459.95</v>
      </c>
      <c r="C566" s="39">
        <v>385.32400000000001</v>
      </c>
      <c r="D566" s="39">
        <v>1.22106</v>
      </c>
      <c r="E566">
        <v>1966.39</v>
      </c>
    </row>
    <row r="567" spans="1:5" x14ac:dyDescent="0.25">
      <c r="A567" s="39">
        <v>2.1</v>
      </c>
      <c r="B567" s="39">
        <v>3450.95</v>
      </c>
      <c r="C567" s="39">
        <v>386.25700000000001</v>
      </c>
      <c r="D567" s="39">
        <v>1.22149</v>
      </c>
      <c r="E567">
        <v>1966.34</v>
      </c>
    </row>
    <row r="568" spans="1:5" x14ac:dyDescent="0.25">
      <c r="A568" s="39">
        <v>2.09</v>
      </c>
      <c r="B568" s="39">
        <v>3441.74</v>
      </c>
      <c r="C568" s="39">
        <v>387.20299999999997</v>
      </c>
      <c r="D568" s="39">
        <v>1.22193</v>
      </c>
      <c r="E568">
        <v>1966.29</v>
      </c>
    </row>
    <row r="569" spans="1:5" x14ac:dyDescent="0.25">
      <c r="A569" s="39">
        <v>2.08</v>
      </c>
      <c r="B569" s="39">
        <v>3432.3</v>
      </c>
      <c r="C569" s="39">
        <v>388.16</v>
      </c>
      <c r="D569" s="39">
        <v>1.22238</v>
      </c>
      <c r="E569">
        <v>1966.24</v>
      </c>
    </row>
    <row r="570" spans="1:5" x14ac:dyDescent="0.25">
      <c r="A570" s="39">
        <v>2.0699999999999998</v>
      </c>
      <c r="B570" s="39">
        <v>3422.64</v>
      </c>
      <c r="C570" s="39">
        <v>389.12900000000002</v>
      </c>
      <c r="D570" s="39">
        <v>1.2228399999999999</v>
      </c>
      <c r="E570">
        <v>1966.19</v>
      </c>
    </row>
    <row r="571" spans="1:5" x14ac:dyDescent="0.25">
      <c r="A571" s="39">
        <v>2.06</v>
      </c>
      <c r="B571" s="39">
        <v>3412.77</v>
      </c>
      <c r="C571" s="39">
        <v>390.11099999999999</v>
      </c>
      <c r="D571" s="39">
        <v>1.2233099999999999</v>
      </c>
      <c r="E571">
        <v>1966.14</v>
      </c>
    </row>
    <row r="572" spans="1:5" x14ac:dyDescent="0.25">
      <c r="A572" s="39">
        <v>2.0499999999999998</v>
      </c>
      <c r="B572" s="39">
        <v>3402.66</v>
      </c>
      <c r="C572" s="39">
        <v>391.10500000000002</v>
      </c>
      <c r="D572" s="39">
        <v>1.2237899999999999</v>
      </c>
      <c r="E572">
        <v>1966.09</v>
      </c>
    </row>
    <row r="573" spans="1:5" x14ac:dyDescent="0.25">
      <c r="A573" s="39">
        <v>2.04</v>
      </c>
      <c r="B573" s="39">
        <v>3392.34</v>
      </c>
      <c r="C573" s="39">
        <v>392.11099999999999</v>
      </c>
      <c r="D573" s="39">
        <v>1.22427</v>
      </c>
      <c r="E573">
        <v>1966.04</v>
      </c>
    </row>
    <row r="574" spans="1:5" x14ac:dyDescent="0.25">
      <c r="A574" s="39">
        <v>2.0299999999999998</v>
      </c>
      <c r="B574" s="39">
        <v>3381.79</v>
      </c>
      <c r="C574" s="39">
        <v>393.12900000000002</v>
      </c>
      <c r="D574" s="39">
        <v>1.2247699999999999</v>
      </c>
      <c r="E574">
        <v>1965.99</v>
      </c>
    </row>
    <row r="575" spans="1:5" x14ac:dyDescent="0.25">
      <c r="A575" s="39">
        <v>2.02</v>
      </c>
      <c r="B575" s="39">
        <v>3371.01</v>
      </c>
      <c r="C575" s="39">
        <v>394.161</v>
      </c>
      <c r="D575" s="39">
        <v>1.2252700000000001</v>
      </c>
      <c r="E575">
        <v>1965.94</v>
      </c>
    </row>
    <row r="576" spans="1:5" x14ac:dyDescent="0.25">
      <c r="A576" s="39">
        <v>2.0099999999999998</v>
      </c>
      <c r="B576" s="39">
        <v>3360</v>
      </c>
      <c r="C576" s="39">
        <v>395.20499999999998</v>
      </c>
      <c r="D576" s="39">
        <v>1.2257800000000001</v>
      </c>
      <c r="E576">
        <v>1965.89</v>
      </c>
    </row>
    <row r="577" spans="1:5" x14ac:dyDescent="0.25">
      <c r="A577" s="39">
        <v>2</v>
      </c>
      <c r="B577" s="39">
        <v>3348.76</v>
      </c>
      <c r="C577" s="39">
        <v>396.26100000000002</v>
      </c>
      <c r="D577" s="39">
        <v>1.22631</v>
      </c>
      <c r="E577">
        <v>1965.84</v>
      </c>
    </row>
    <row r="578" spans="1:5" x14ac:dyDescent="0.25">
      <c r="A578" s="39">
        <v>1.99</v>
      </c>
      <c r="B578" s="39">
        <v>3337.3</v>
      </c>
      <c r="C578" s="39">
        <v>397.33100000000002</v>
      </c>
      <c r="D578" s="39">
        <v>1.2268399999999999</v>
      </c>
      <c r="E578">
        <v>1965.78</v>
      </c>
    </row>
    <row r="579" spans="1:5" x14ac:dyDescent="0.25">
      <c r="A579" s="39">
        <v>1.98</v>
      </c>
      <c r="B579" s="39">
        <v>3325.6</v>
      </c>
      <c r="C579" s="39">
        <v>398.41399999999999</v>
      </c>
      <c r="D579" s="39">
        <v>1.2273799999999999</v>
      </c>
      <c r="E579">
        <v>1965.73</v>
      </c>
    </row>
    <row r="580" spans="1:5" x14ac:dyDescent="0.25">
      <c r="A580" s="39">
        <v>1.97</v>
      </c>
      <c r="B580" s="39">
        <v>3313.68</v>
      </c>
      <c r="C580" s="39">
        <v>399.50900000000001</v>
      </c>
      <c r="D580" s="39">
        <v>1.22794</v>
      </c>
      <c r="E580">
        <v>1965.68</v>
      </c>
    </row>
    <row r="581" spans="1:5" x14ac:dyDescent="0.25">
      <c r="A581" s="39">
        <v>1.96</v>
      </c>
      <c r="B581" s="39">
        <v>3301.52</v>
      </c>
      <c r="C581" s="39">
        <v>400.61799999999999</v>
      </c>
      <c r="D581" s="39">
        <v>1.2284999999999999</v>
      </c>
      <c r="E581">
        <v>1965.63</v>
      </c>
    </row>
    <row r="582" spans="1:5" x14ac:dyDescent="0.25">
      <c r="A582" s="39">
        <v>1.95</v>
      </c>
      <c r="B582" s="39">
        <v>3289.13</v>
      </c>
      <c r="C582" s="39">
        <v>401.74099999999999</v>
      </c>
      <c r="D582" s="39">
        <v>1.2290700000000001</v>
      </c>
      <c r="E582">
        <v>1965.57</v>
      </c>
    </row>
    <row r="583" spans="1:5" x14ac:dyDescent="0.25">
      <c r="A583" s="39">
        <v>1.94</v>
      </c>
      <c r="B583" s="39">
        <v>3276.5</v>
      </c>
      <c r="C583" s="39">
        <v>402.87599999999998</v>
      </c>
      <c r="D583" s="39">
        <v>1.2296499999999999</v>
      </c>
      <c r="E583">
        <v>1965.52</v>
      </c>
    </row>
    <row r="584" spans="1:5" x14ac:dyDescent="0.25">
      <c r="A584" s="39">
        <v>1.93</v>
      </c>
      <c r="B584" s="39">
        <v>3263.65</v>
      </c>
      <c r="C584" s="39">
        <v>404.02499999999998</v>
      </c>
      <c r="D584" s="39">
        <v>1.2302500000000001</v>
      </c>
      <c r="E584">
        <v>1965.47</v>
      </c>
    </row>
    <row r="585" spans="1:5" x14ac:dyDescent="0.25">
      <c r="A585" s="39">
        <v>1.92</v>
      </c>
      <c r="B585" s="39">
        <v>3250.56</v>
      </c>
      <c r="C585" s="39">
        <v>405.18700000000001</v>
      </c>
      <c r="D585" s="39">
        <v>1.23085</v>
      </c>
      <c r="E585">
        <v>1965.41</v>
      </c>
    </row>
    <row r="586" spans="1:5" x14ac:dyDescent="0.25">
      <c r="A586" s="39">
        <v>1.91</v>
      </c>
      <c r="B586" s="39">
        <v>3237.24</v>
      </c>
      <c r="C586" s="39">
        <v>406.36399999999998</v>
      </c>
      <c r="D586" s="39">
        <v>1.2314700000000001</v>
      </c>
      <c r="E586">
        <v>1965.36</v>
      </c>
    </row>
    <row r="587" spans="1:5" x14ac:dyDescent="0.25">
      <c r="A587" s="39">
        <v>1.9</v>
      </c>
      <c r="B587" s="39">
        <v>3223.69</v>
      </c>
      <c r="C587" s="39">
        <v>407.553</v>
      </c>
      <c r="D587" s="39">
        <v>1.2320899999999999</v>
      </c>
      <c r="E587">
        <v>1965.3</v>
      </c>
    </row>
    <row r="588" spans="1:5" x14ac:dyDescent="0.25">
      <c r="A588" s="39">
        <v>1.89</v>
      </c>
      <c r="B588" s="39">
        <v>3209.91</v>
      </c>
      <c r="C588" s="39">
        <v>408.75700000000001</v>
      </c>
      <c r="D588" s="39">
        <v>1.2327300000000001</v>
      </c>
      <c r="E588">
        <v>1965.25</v>
      </c>
    </row>
    <row r="589" spans="1:5" x14ac:dyDescent="0.25">
      <c r="A589" s="39">
        <v>1.88</v>
      </c>
      <c r="B589" s="39">
        <v>3195.89</v>
      </c>
      <c r="C589" s="39">
        <v>409.97500000000002</v>
      </c>
      <c r="D589" s="39">
        <v>1.2333700000000001</v>
      </c>
      <c r="E589">
        <v>1965.19</v>
      </c>
    </row>
    <row r="590" spans="1:5" x14ac:dyDescent="0.25">
      <c r="A590" s="39">
        <v>1.87</v>
      </c>
      <c r="B590" s="39">
        <v>3181.64</v>
      </c>
      <c r="C590" s="39">
        <v>411.20600000000002</v>
      </c>
      <c r="D590" s="39">
        <v>1.23403</v>
      </c>
      <c r="E590">
        <v>1965.14</v>
      </c>
    </row>
    <row r="591" spans="1:5" x14ac:dyDescent="0.25">
      <c r="A591" s="39">
        <v>1.86</v>
      </c>
      <c r="B591" s="39">
        <v>3167.16</v>
      </c>
      <c r="C591" s="39">
        <v>412.452</v>
      </c>
      <c r="D591" s="39">
        <v>1.2346999999999999</v>
      </c>
      <c r="E591">
        <v>1965.08</v>
      </c>
    </row>
    <row r="592" spans="1:5" x14ac:dyDescent="0.25">
      <c r="A592" s="39">
        <v>1.85</v>
      </c>
      <c r="B592" s="39">
        <v>3152.44</v>
      </c>
      <c r="C592" s="39">
        <v>413.71199999999999</v>
      </c>
      <c r="D592" s="39">
        <v>1.2353799999999999</v>
      </c>
      <c r="E592">
        <v>1965.03</v>
      </c>
    </row>
    <row r="593" spans="1:5" x14ac:dyDescent="0.25">
      <c r="A593" s="39">
        <v>1.84</v>
      </c>
      <c r="B593" s="39">
        <v>3137.49</v>
      </c>
      <c r="C593" s="39">
        <v>414.98599999999999</v>
      </c>
      <c r="D593" s="39">
        <v>1.23607</v>
      </c>
      <c r="E593">
        <v>1964.97</v>
      </c>
    </row>
    <row r="594" spans="1:5" x14ac:dyDescent="0.25">
      <c r="A594" s="39">
        <v>1.83</v>
      </c>
      <c r="B594" s="39">
        <v>3122.31</v>
      </c>
      <c r="C594" s="39">
        <v>416.27499999999998</v>
      </c>
      <c r="D594" s="39">
        <v>1.2367699999999999</v>
      </c>
      <c r="E594">
        <v>1964.91</v>
      </c>
    </row>
    <row r="595" spans="1:5" x14ac:dyDescent="0.25">
      <c r="A595" s="39">
        <v>1.82</v>
      </c>
      <c r="B595" s="39">
        <v>3106.9</v>
      </c>
      <c r="C595" s="39">
        <v>417.57799999999997</v>
      </c>
      <c r="D595" s="39">
        <v>1.23749</v>
      </c>
      <c r="E595">
        <v>1964.86</v>
      </c>
    </row>
    <row r="596" spans="1:5" x14ac:dyDescent="0.25">
      <c r="A596" s="39">
        <v>1.81</v>
      </c>
      <c r="B596" s="39">
        <v>3091.25</v>
      </c>
      <c r="C596" s="39">
        <v>418.89600000000002</v>
      </c>
      <c r="D596" s="39">
        <v>1.23821</v>
      </c>
      <c r="E596">
        <v>1964.8</v>
      </c>
    </row>
    <row r="597" spans="1:5" x14ac:dyDescent="0.25">
      <c r="A597" s="39">
        <v>1.8</v>
      </c>
      <c r="B597" s="39">
        <v>3075.38</v>
      </c>
      <c r="C597" s="39">
        <v>420.22800000000001</v>
      </c>
      <c r="D597" s="39">
        <v>1.23895</v>
      </c>
      <c r="E597">
        <v>1964.74</v>
      </c>
    </row>
    <row r="598" spans="1:5" x14ac:dyDescent="0.25">
      <c r="A598" s="39">
        <v>1.79</v>
      </c>
      <c r="B598" s="39">
        <v>3059.27</v>
      </c>
      <c r="C598" s="39">
        <v>421.57600000000002</v>
      </c>
      <c r="D598" s="39">
        <v>1.2397</v>
      </c>
      <c r="E598">
        <v>1964.68</v>
      </c>
    </row>
    <row r="599" spans="1:5" x14ac:dyDescent="0.25">
      <c r="A599" s="39">
        <v>1.78</v>
      </c>
      <c r="B599" s="39">
        <v>3042.93</v>
      </c>
      <c r="C599" s="39">
        <v>422.93799999999999</v>
      </c>
      <c r="D599" s="39">
        <v>1.2404599999999999</v>
      </c>
      <c r="E599">
        <v>1964.63</v>
      </c>
    </row>
    <row r="600" spans="1:5" x14ac:dyDescent="0.25">
      <c r="A600" s="39">
        <v>1.77</v>
      </c>
      <c r="B600" s="39">
        <v>3026.36</v>
      </c>
      <c r="C600" s="39">
        <v>424.315</v>
      </c>
      <c r="D600" s="39">
        <v>1.2412399999999999</v>
      </c>
      <c r="E600">
        <v>1964.57</v>
      </c>
    </row>
    <row r="601" spans="1:5" x14ac:dyDescent="0.25">
      <c r="A601" s="39">
        <v>1.76</v>
      </c>
      <c r="B601" s="39">
        <v>3009.56</v>
      </c>
      <c r="C601" s="39">
        <v>425.70699999999999</v>
      </c>
      <c r="D601" s="39">
        <v>1.2420199999999999</v>
      </c>
      <c r="E601">
        <v>1964.51</v>
      </c>
    </row>
    <row r="602" spans="1:5" x14ac:dyDescent="0.25">
      <c r="A602" s="39">
        <v>1.75</v>
      </c>
      <c r="B602" s="39">
        <v>2992.12</v>
      </c>
      <c r="C602" s="39">
        <v>427.11200000000002</v>
      </c>
      <c r="D602" s="39">
        <v>1.2428300000000001</v>
      </c>
      <c r="E602">
        <v>1964.45</v>
      </c>
    </row>
    <row r="603" spans="1:5" x14ac:dyDescent="0.25">
      <c r="A603" s="39">
        <v>1.74</v>
      </c>
      <c r="B603" s="39">
        <v>2974.85</v>
      </c>
      <c r="C603" s="39">
        <v>428.53500000000003</v>
      </c>
      <c r="D603" s="39">
        <v>1.2436499999999999</v>
      </c>
      <c r="E603">
        <v>1964.39</v>
      </c>
    </row>
    <row r="604" spans="1:5" x14ac:dyDescent="0.25">
      <c r="A604" s="39">
        <v>1.73</v>
      </c>
      <c r="B604" s="39">
        <v>2957.35</v>
      </c>
      <c r="C604" s="39">
        <v>429.97300000000001</v>
      </c>
      <c r="D604" s="39">
        <v>1.24448</v>
      </c>
      <c r="E604">
        <v>1964.33</v>
      </c>
    </row>
    <row r="605" spans="1:5" x14ac:dyDescent="0.25">
      <c r="A605" s="39">
        <v>1.72</v>
      </c>
      <c r="B605" s="39">
        <v>2939.62</v>
      </c>
      <c r="C605" s="39">
        <v>431.42700000000002</v>
      </c>
      <c r="D605" s="39">
        <v>1.24532</v>
      </c>
      <c r="E605">
        <v>1964.27</v>
      </c>
    </row>
    <row r="606" spans="1:5" x14ac:dyDescent="0.25">
      <c r="A606" s="39">
        <v>1.71</v>
      </c>
      <c r="B606" s="39">
        <v>2921.67</v>
      </c>
      <c r="C606" s="39">
        <v>432.89600000000002</v>
      </c>
      <c r="D606" s="39">
        <v>1.24617</v>
      </c>
      <c r="E606">
        <v>1964.21</v>
      </c>
    </row>
    <row r="607" spans="1:5" x14ac:dyDescent="0.25">
      <c r="A607" s="39">
        <v>1.7</v>
      </c>
      <c r="B607" s="39">
        <v>2903.48</v>
      </c>
      <c r="C607" s="39">
        <v>434.38099999999997</v>
      </c>
      <c r="D607" s="39">
        <v>1.2470300000000001</v>
      </c>
      <c r="E607">
        <v>1964.15</v>
      </c>
    </row>
    <row r="608" spans="1:5" x14ac:dyDescent="0.25">
      <c r="A608" s="39">
        <v>1.69</v>
      </c>
      <c r="B608" s="39">
        <v>2885.07</v>
      </c>
      <c r="C608" s="39">
        <v>435.88200000000001</v>
      </c>
      <c r="D608" s="39">
        <v>1.2479100000000001</v>
      </c>
      <c r="E608">
        <v>1964.09</v>
      </c>
    </row>
    <row r="609" spans="1:5" x14ac:dyDescent="0.25">
      <c r="A609" s="39">
        <v>1.68</v>
      </c>
      <c r="B609" s="39">
        <v>2866.43</v>
      </c>
      <c r="C609" s="39">
        <v>437.399</v>
      </c>
      <c r="D609" s="39">
        <v>1.2487900000000001</v>
      </c>
      <c r="E609">
        <v>1964.03</v>
      </c>
    </row>
    <row r="610" spans="1:5" x14ac:dyDescent="0.25">
      <c r="A610" s="39">
        <v>1.67</v>
      </c>
      <c r="B610" s="39">
        <v>2847.56</v>
      </c>
      <c r="C610" s="39">
        <v>438.93200000000002</v>
      </c>
      <c r="D610" s="39">
        <v>1.24969</v>
      </c>
      <c r="E610">
        <v>1963.97</v>
      </c>
    </row>
    <row r="611" spans="1:5" x14ac:dyDescent="0.25">
      <c r="A611" s="39">
        <v>1.66</v>
      </c>
      <c r="B611" s="39">
        <v>2828.47</v>
      </c>
      <c r="C611" s="39">
        <v>440.48099999999999</v>
      </c>
      <c r="D611" s="39">
        <v>1.2505999999999999</v>
      </c>
      <c r="E611">
        <v>1963.9</v>
      </c>
    </row>
    <row r="612" spans="1:5" x14ac:dyDescent="0.25">
      <c r="A612" s="39">
        <v>1.65</v>
      </c>
      <c r="B612" s="39">
        <v>2809.16</v>
      </c>
      <c r="C612" s="39">
        <v>442.04700000000003</v>
      </c>
      <c r="D612" s="39">
        <v>1.25152</v>
      </c>
      <c r="E612">
        <v>1963.84</v>
      </c>
    </row>
    <row r="613" spans="1:5" x14ac:dyDescent="0.25">
      <c r="A613" s="39">
        <v>1.64</v>
      </c>
      <c r="B613" s="39">
        <v>2789.62</v>
      </c>
      <c r="C613" s="39">
        <v>443.62900000000002</v>
      </c>
      <c r="D613" s="39">
        <v>1.2524500000000001</v>
      </c>
      <c r="E613">
        <v>1963.78</v>
      </c>
    </row>
    <row r="614" spans="1:5" x14ac:dyDescent="0.25">
      <c r="A614" s="39">
        <v>1.63</v>
      </c>
      <c r="B614" s="39">
        <v>2769.86</v>
      </c>
      <c r="C614" s="39">
        <v>445.22699999999998</v>
      </c>
      <c r="D614" s="39">
        <v>1.2534000000000001</v>
      </c>
      <c r="E614">
        <v>1963.72</v>
      </c>
    </row>
    <row r="615" spans="1:5" x14ac:dyDescent="0.25">
      <c r="A615" s="39">
        <v>1.62</v>
      </c>
      <c r="B615" s="39">
        <v>2749.88</v>
      </c>
      <c r="C615" s="39">
        <v>446.84100000000001</v>
      </c>
      <c r="D615" s="39">
        <v>1.2543599999999999</v>
      </c>
      <c r="E615">
        <v>1963.65</v>
      </c>
    </row>
    <row r="616" spans="1:5" x14ac:dyDescent="0.25">
      <c r="A616" s="39">
        <v>1.61</v>
      </c>
      <c r="B616" s="39">
        <v>2729.67</v>
      </c>
      <c r="C616" s="39">
        <v>448.47300000000001</v>
      </c>
      <c r="D616" s="39">
        <v>1.2553399999999999</v>
      </c>
      <c r="E616">
        <v>1963.59</v>
      </c>
    </row>
    <row r="617" spans="1:5" x14ac:dyDescent="0.25">
      <c r="A617" s="39">
        <v>1.6</v>
      </c>
      <c r="B617" s="39">
        <v>2709.25</v>
      </c>
      <c r="C617" s="39">
        <v>450.12099999999998</v>
      </c>
      <c r="D617" s="39">
        <v>1.2563200000000001</v>
      </c>
      <c r="E617">
        <v>1963.52</v>
      </c>
    </row>
    <row r="618" spans="1:5" x14ac:dyDescent="0.25">
      <c r="A618" s="39">
        <v>1.59</v>
      </c>
      <c r="B618" s="39">
        <v>2688.61</v>
      </c>
      <c r="C618" s="39">
        <v>451.786</v>
      </c>
      <c r="D618" s="39">
        <v>1.2573300000000001</v>
      </c>
      <c r="E618">
        <v>1963.46</v>
      </c>
    </row>
    <row r="619" spans="1:5" x14ac:dyDescent="0.25">
      <c r="A619" s="39">
        <v>1.58</v>
      </c>
      <c r="B619" s="39">
        <v>2667.76</v>
      </c>
      <c r="C619" s="39">
        <v>453.46699999999998</v>
      </c>
      <c r="D619" s="39">
        <v>1.25834</v>
      </c>
      <c r="E619">
        <v>1963.39</v>
      </c>
    </row>
    <row r="620" spans="1:5" x14ac:dyDescent="0.25">
      <c r="A620" s="39">
        <v>1.57</v>
      </c>
      <c r="B620" s="39">
        <v>2646.69</v>
      </c>
      <c r="C620" s="39">
        <v>455.166</v>
      </c>
      <c r="D620" s="39">
        <v>1.2593799999999999</v>
      </c>
      <c r="E620">
        <v>1963.33</v>
      </c>
    </row>
    <row r="621" spans="1:5" x14ac:dyDescent="0.25">
      <c r="A621" s="39">
        <v>1.56</v>
      </c>
      <c r="B621" s="39">
        <v>2625.4</v>
      </c>
      <c r="C621" s="39">
        <v>456.88200000000001</v>
      </c>
      <c r="D621" s="39">
        <v>1.2604200000000001</v>
      </c>
      <c r="E621">
        <v>1963.26</v>
      </c>
    </row>
    <row r="622" spans="1:5" x14ac:dyDescent="0.25">
      <c r="A622" s="39">
        <v>1.55</v>
      </c>
      <c r="B622" s="39">
        <v>2603.9</v>
      </c>
      <c r="C622" s="39">
        <v>458.61399999999998</v>
      </c>
      <c r="D622" s="39">
        <v>1.2614799999999999</v>
      </c>
      <c r="E622">
        <v>1963.2</v>
      </c>
    </row>
    <row r="623" spans="1:5" x14ac:dyDescent="0.25">
      <c r="A623" s="39">
        <v>1.54</v>
      </c>
      <c r="B623" s="39">
        <v>2582.19</v>
      </c>
      <c r="C623" s="39">
        <v>460.36399999999998</v>
      </c>
      <c r="D623" s="39">
        <v>1.2625599999999999</v>
      </c>
      <c r="E623">
        <v>1963.13</v>
      </c>
    </row>
    <row r="624" spans="1:5" x14ac:dyDescent="0.25">
      <c r="A624" s="39">
        <v>1.53</v>
      </c>
      <c r="B624" s="39">
        <v>2560.27</v>
      </c>
      <c r="C624" s="39">
        <v>462.13200000000001</v>
      </c>
      <c r="D624" s="39">
        <v>1.26366</v>
      </c>
      <c r="E624">
        <v>1963.06</v>
      </c>
    </row>
    <row r="625" spans="1:5" x14ac:dyDescent="0.25">
      <c r="A625" s="39">
        <v>1.52</v>
      </c>
      <c r="B625" s="39">
        <v>2538.14</v>
      </c>
      <c r="C625" s="39">
        <v>463.916</v>
      </c>
      <c r="D625" s="39">
        <v>1.2647699999999999</v>
      </c>
      <c r="E625">
        <v>1963</v>
      </c>
    </row>
    <row r="626" spans="1:5" x14ac:dyDescent="0.25">
      <c r="A626" s="39">
        <v>1.51</v>
      </c>
      <c r="B626" s="39">
        <v>2515.81</v>
      </c>
      <c r="C626" s="39">
        <v>465.71899999999999</v>
      </c>
      <c r="D626" s="39">
        <v>1.2659</v>
      </c>
      <c r="E626">
        <v>1962.93</v>
      </c>
    </row>
    <row r="627" spans="1:5" x14ac:dyDescent="0.25">
      <c r="A627" s="39">
        <v>1.5</v>
      </c>
      <c r="B627" s="39">
        <v>2493.27</v>
      </c>
      <c r="C627" s="39">
        <v>467.53800000000001</v>
      </c>
      <c r="D627" s="39">
        <v>1.2670399999999999</v>
      </c>
      <c r="E627">
        <v>1962.86</v>
      </c>
    </row>
    <row r="628" spans="1:5" x14ac:dyDescent="0.25">
      <c r="A628" s="39">
        <v>1.49</v>
      </c>
      <c r="B628" s="39">
        <v>2470.52</v>
      </c>
      <c r="C628" s="39">
        <v>469.375</v>
      </c>
      <c r="D628" s="39">
        <v>1.2682100000000001</v>
      </c>
      <c r="E628">
        <v>1962.79</v>
      </c>
    </row>
    <row r="629" spans="1:5" x14ac:dyDescent="0.25">
      <c r="A629" s="39">
        <v>1.48</v>
      </c>
      <c r="B629" s="39">
        <v>2447.5700000000002</v>
      </c>
      <c r="C629" s="39">
        <v>471.23</v>
      </c>
      <c r="D629" s="39">
        <v>1.26939</v>
      </c>
      <c r="E629">
        <v>1962.72</v>
      </c>
    </row>
    <row r="630" spans="1:5" x14ac:dyDescent="0.25">
      <c r="A630" s="39">
        <v>1.47</v>
      </c>
      <c r="B630" s="39">
        <v>2424.42</v>
      </c>
      <c r="C630" s="39">
        <v>473.10300000000001</v>
      </c>
      <c r="D630" s="39">
        <v>1.2705900000000001</v>
      </c>
      <c r="E630">
        <v>1962.65</v>
      </c>
    </row>
    <row r="631" spans="1:5" x14ac:dyDescent="0.25">
      <c r="A631" s="39">
        <v>1.46</v>
      </c>
      <c r="B631" s="39">
        <v>2401.06</v>
      </c>
      <c r="C631" s="39">
        <v>474.99299999999999</v>
      </c>
      <c r="D631" s="39">
        <v>1.2718100000000001</v>
      </c>
      <c r="E631">
        <v>1962.58</v>
      </c>
    </row>
    <row r="632" spans="1:5" x14ac:dyDescent="0.25">
      <c r="A632" s="39">
        <v>1.45</v>
      </c>
      <c r="B632" s="39">
        <v>2377.5100000000002</v>
      </c>
      <c r="C632" s="39">
        <v>476.90100000000001</v>
      </c>
      <c r="D632" s="39">
        <v>1.27305</v>
      </c>
      <c r="E632">
        <v>1962.51</v>
      </c>
    </row>
    <row r="633" spans="1:5" x14ac:dyDescent="0.25">
      <c r="A633" s="39">
        <v>1.44</v>
      </c>
      <c r="B633" s="39">
        <v>2353.7600000000002</v>
      </c>
      <c r="C633" s="39">
        <v>478.82600000000002</v>
      </c>
      <c r="D633" s="39">
        <v>1.2743100000000001</v>
      </c>
      <c r="E633">
        <v>1962.44</v>
      </c>
    </row>
    <row r="634" spans="1:5" x14ac:dyDescent="0.25">
      <c r="A634" s="39">
        <v>1.43</v>
      </c>
      <c r="B634" s="39">
        <v>2329.8200000000002</v>
      </c>
      <c r="C634" s="39">
        <v>480.77</v>
      </c>
      <c r="D634" s="39">
        <v>1.2756000000000001</v>
      </c>
      <c r="E634">
        <v>1962.37</v>
      </c>
    </row>
    <row r="635" spans="1:5" x14ac:dyDescent="0.25">
      <c r="A635" s="39">
        <v>1.42</v>
      </c>
      <c r="B635" s="39">
        <v>2305.6799999999998</v>
      </c>
      <c r="C635" s="39">
        <v>482.73099999999999</v>
      </c>
      <c r="D635" s="39">
        <v>1.2768999999999999</v>
      </c>
      <c r="E635">
        <v>1962.3</v>
      </c>
    </row>
    <row r="636" spans="1:5" x14ac:dyDescent="0.25">
      <c r="A636" s="39">
        <v>1.41</v>
      </c>
      <c r="B636" s="39">
        <v>2281.35</v>
      </c>
      <c r="C636" s="39">
        <v>484.71</v>
      </c>
      <c r="D636" s="39">
        <v>1.2782199999999999</v>
      </c>
      <c r="E636">
        <v>1962.22</v>
      </c>
    </row>
    <row r="637" spans="1:5" x14ac:dyDescent="0.25">
      <c r="A637" s="39">
        <v>1.4</v>
      </c>
      <c r="B637" s="39">
        <v>2256.83</v>
      </c>
      <c r="C637" s="39">
        <v>486.70600000000002</v>
      </c>
      <c r="D637" s="39">
        <v>1.2795700000000001</v>
      </c>
      <c r="E637">
        <v>1962.15</v>
      </c>
    </row>
    <row r="638" spans="1:5" x14ac:dyDescent="0.25">
      <c r="A638" s="39">
        <v>1.39</v>
      </c>
      <c r="B638" s="39">
        <v>2232.12</v>
      </c>
      <c r="C638" s="39">
        <v>488.721</v>
      </c>
      <c r="D638" s="39">
        <v>1.28094</v>
      </c>
      <c r="E638">
        <v>1962.08</v>
      </c>
    </row>
    <row r="639" spans="1:5" x14ac:dyDescent="0.25">
      <c r="A639" s="39">
        <v>1.38</v>
      </c>
      <c r="B639" s="39">
        <v>2207.2199999999998</v>
      </c>
      <c r="C639" s="39">
        <v>490.75200000000001</v>
      </c>
      <c r="D639" s="39">
        <v>1.28233</v>
      </c>
      <c r="E639">
        <v>1962</v>
      </c>
    </row>
    <row r="640" spans="1:5" x14ac:dyDescent="0.25">
      <c r="A640" s="39">
        <v>1.37</v>
      </c>
      <c r="B640" s="39">
        <v>2182.14</v>
      </c>
      <c r="C640" s="39">
        <v>492.8</v>
      </c>
      <c r="D640" s="39">
        <v>1.2837400000000001</v>
      </c>
      <c r="E640">
        <v>1961.93</v>
      </c>
    </row>
    <row r="641" spans="1:5" x14ac:dyDescent="0.25">
      <c r="A641" s="39">
        <v>1.36</v>
      </c>
      <c r="B641" s="39">
        <v>2156.88</v>
      </c>
      <c r="C641" s="39">
        <v>494.86500000000001</v>
      </c>
      <c r="D641" s="39">
        <v>1.28518</v>
      </c>
      <c r="E641">
        <v>1961.85</v>
      </c>
    </row>
    <row r="642" spans="1:5" x14ac:dyDescent="0.25">
      <c r="A642" s="39">
        <v>1.35</v>
      </c>
      <c r="B642" s="39">
        <v>2131.44</v>
      </c>
      <c r="C642" s="39">
        <v>496.94600000000003</v>
      </c>
      <c r="D642" s="39">
        <v>1.28664</v>
      </c>
      <c r="E642">
        <v>1961.78</v>
      </c>
    </row>
    <row r="643" spans="1:5" x14ac:dyDescent="0.25">
      <c r="A643" s="39">
        <v>1.34</v>
      </c>
      <c r="B643" s="39">
        <v>2105.84</v>
      </c>
      <c r="C643" s="39">
        <v>499.04199999999997</v>
      </c>
      <c r="D643" s="39">
        <v>1.2881199999999999</v>
      </c>
      <c r="E643">
        <v>1961.7</v>
      </c>
    </row>
    <row r="644" spans="1:5" x14ac:dyDescent="0.25">
      <c r="A644" s="39">
        <v>1.33</v>
      </c>
      <c r="B644" s="39">
        <v>2080.0700000000002</v>
      </c>
      <c r="C644" s="39">
        <v>501.15199999999999</v>
      </c>
      <c r="D644" s="39">
        <v>1.2896300000000001</v>
      </c>
      <c r="E644">
        <v>1961.62</v>
      </c>
    </row>
    <row r="645" spans="1:5" x14ac:dyDescent="0.25">
      <c r="A645" s="39">
        <v>1.32</v>
      </c>
      <c r="B645" s="39">
        <v>2054.15</v>
      </c>
      <c r="C645" s="39">
        <v>503.274</v>
      </c>
      <c r="D645" s="39">
        <v>1.29115</v>
      </c>
      <c r="E645">
        <v>1961.55</v>
      </c>
    </row>
    <row r="646" spans="1:5" x14ac:dyDescent="0.25">
      <c r="A646" s="39">
        <v>1.31</v>
      </c>
      <c r="B646" s="39">
        <v>2028.1</v>
      </c>
      <c r="C646" s="39">
        <v>505.40499999999997</v>
      </c>
      <c r="D646" s="39">
        <v>1.2926899999999999</v>
      </c>
      <c r="E646">
        <v>1961.47</v>
      </c>
    </row>
    <row r="647" spans="1:5" x14ac:dyDescent="0.25">
      <c r="A647" s="39">
        <v>1.3</v>
      </c>
      <c r="B647" s="39">
        <v>2001.93</v>
      </c>
      <c r="C647" s="39">
        <v>507.541</v>
      </c>
      <c r="D647" s="39">
        <v>1.2942499999999999</v>
      </c>
      <c r="E647">
        <v>1961.39</v>
      </c>
    </row>
    <row r="648" spans="1:5" x14ac:dyDescent="0.25">
      <c r="A648" s="39">
        <v>1.29</v>
      </c>
      <c r="B648" s="39">
        <v>1975.69</v>
      </c>
      <c r="C648" s="39">
        <v>509.678</v>
      </c>
      <c r="D648" s="39">
        <v>1.29582</v>
      </c>
      <c r="E648">
        <v>1961.31</v>
      </c>
    </row>
    <row r="649" spans="1:5" x14ac:dyDescent="0.25">
      <c r="A649" s="39">
        <v>1.28</v>
      </c>
      <c r="B649" s="39">
        <v>1949.41</v>
      </c>
      <c r="C649" s="39">
        <v>511.80700000000002</v>
      </c>
      <c r="D649" s="39">
        <v>1.29738</v>
      </c>
      <c r="E649">
        <v>1961.23</v>
      </c>
    </row>
    <row r="650" spans="1:5" x14ac:dyDescent="0.25">
      <c r="A650" s="39">
        <v>1.27</v>
      </c>
      <c r="B650" s="39">
        <v>1923.17</v>
      </c>
      <c r="C650" s="39">
        <v>513.91800000000001</v>
      </c>
      <c r="D650" s="39">
        <v>1.29894</v>
      </c>
      <c r="E650">
        <v>1961.15</v>
      </c>
    </row>
    <row r="651" spans="1:5" x14ac:dyDescent="0.25">
      <c r="A651" s="39">
        <v>1.26</v>
      </c>
      <c r="B651" s="39">
        <v>1897.06</v>
      </c>
      <c r="C651" s="39">
        <v>515.99400000000003</v>
      </c>
      <c r="D651" s="39">
        <v>1.30047</v>
      </c>
      <c r="E651">
        <v>1961.07</v>
      </c>
    </row>
    <row r="652" spans="1:5" x14ac:dyDescent="0.25">
      <c r="A652" s="39">
        <v>1.25</v>
      </c>
      <c r="B652" s="39">
        <v>1871.22</v>
      </c>
      <c r="C652" s="39">
        <v>518.01400000000001</v>
      </c>
      <c r="D652" s="39">
        <v>1.3019499999999999</v>
      </c>
      <c r="E652">
        <v>1960.99</v>
      </c>
    </row>
    <row r="653" spans="1:5" x14ac:dyDescent="0.25">
      <c r="A653" s="39">
        <v>1.24</v>
      </c>
      <c r="B653" s="39">
        <v>1845.83</v>
      </c>
      <c r="C653" s="39">
        <v>519.94600000000003</v>
      </c>
      <c r="D653" s="39">
        <v>1.3033399999999999</v>
      </c>
      <c r="E653">
        <v>1960.91</v>
      </c>
    </row>
    <row r="654" spans="1:5" x14ac:dyDescent="0.25">
      <c r="A654" s="39">
        <v>1.23</v>
      </c>
      <c r="B654" s="39">
        <v>1821.15</v>
      </c>
      <c r="C654" s="39">
        <v>521.75</v>
      </c>
      <c r="D654" s="39">
        <v>1.3046</v>
      </c>
      <c r="E654">
        <v>1960.82</v>
      </c>
    </row>
    <row r="655" spans="1:5" x14ac:dyDescent="0.25">
      <c r="A655" s="39">
        <v>1.22</v>
      </c>
      <c r="B655" s="39">
        <v>1797.48</v>
      </c>
      <c r="C655" s="39">
        <v>523.37599999999998</v>
      </c>
      <c r="D655" s="39">
        <v>1.3056700000000001</v>
      </c>
      <c r="E655">
        <v>1960.74</v>
      </c>
    </row>
    <row r="656" spans="1:5" x14ac:dyDescent="0.25">
      <c r="A656" s="39">
        <v>1.21</v>
      </c>
      <c r="B656" s="39">
        <v>1775.16</v>
      </c>
      <c r="C656" s="39">
        <v>524.77099999999996</v>
      </c>
      <c r="D656" s="39">
        <v>1.3064899999999999</v>
      </c>
      <c r="E656">
        <v>1960.66</v>
      </c>
    </row>
    <row r="657" spans="1:5" x14ac:dyDescent="0.25">
      <c r="A657" s="39">
        <v>1.2</v>
      </c>
      <c r="B657" s="39">
        <v>1754.5</v>
      </c>
      <c r="C657" s="39">
        <v>525.88099999999997</v>
      </c>
      <c r="D657" s="39">
        <v>1.3069999999999999</v>
      </c>
      <c r="E657">
        <v>1960.57</v>
      </c>
    </row>
    <row r="658" spans="1:5" x14ac:dyDescent="0.25">
      <c r="A658" s="39">
        <v>1.19</v>
      </c>
      <c r="B658" s="39">
        <v>1735.75</v>
      </c>
      <c r="C658" s="39">
        <v>526.66999999999996</v>
      </c>
      <c r="D658" s="39">
        <v>1.3071600000000001</v>
      </c>
      <c r="E658">
        <v>1960.49</v>
      </c>
    </row>
    <row r="659" spans="1:5" x14ac:dyDescent="0.25">
      <c r="A659" s="39">
        <v>1.18</v>
      </c>
      <c r="B659" s="39">
        <v>1719.01</v>
      </c>
      <c r="C659" s="39">
        <v>527.12099999999998</v>
      </c>
      <c r="D659" s="39">
        <v>1.30694</v>
      </c>
      <c r="E659">
        <v>1960.4</v>
      </c>
    </row>
    <row r="660" spans="1:5" x14ac:dyDescent="0.25">
      <c r="A660" s="39">
        <v>1.17</v>
      </c>
      <c r="B660" s="39">
        <v>1704.23</v>
      </c>
      <c r="C660" s="39">
        <v>527.23900000000003</v>
      </c>
      <c r="D660" s="39">
        <v>1.30637</v>
      </c>
      <c r="E660">
        <v>1960.31</v>
      </c>
    </row>
    <row r="661" spans="1:5" x14ac:dyDescent="0.25">
      <c r="A661" s="39">
        <v>1.1599999999999999</v>
      </c>
      <c r="B661" s="39">
        <v>1691.27</v>
      </c>
      <c r="C661" s="39">
        <v>527.04899999999998</v>
      </c>
      <c r="D661" s="39">
        <v>1.3054600000000001</v>
      </c>
      <c r="E661">
        <v>1960.23</v>
      </c>
    </row>
    <row r="662" spans="1:5" x14ac:dyDescent="0.25">
      <c r="A662" s="39">
        <v>1.1499999999999999</v>
      </c>
      <c r="B662" s="39">
        <v>1679.93</v>
      </c>
      <c r="C662" s="39">
        <v>526.58100000000002</v>
      </c>
      <c r="D662" s="39">
        <v>1.3042499999999999</v>
      </c>
      <c r="E662">
        <v>1960.14</v>
      </c>
    </row>
    <row r="663" spans="1:5" x14ac:dyDescent="0.25">
      <c r="A663" s="39">
        <v>1.1399999999999999</v>
      </c>
      <c r="B663" s="39">
        <v>1669.98</v>
      </c>
      <c r="C663" s="39">
        <v>525.87099999999998</v>
      </c>
      <c r="D663" s="39">
        <v>1.3027899999999999</v>
      </c>
      <c r="E663">
        <v>1960.05</v>
      </c>
    </row>
    <row r="664" spans="1:5" x14ac:dyDescent="0.25">
      <c r="A664" s="39">
        <v>1.1299999999999999</v>
      </c>
      <c r="B664" s="39">
        <v>1661.49</v>
      </c>
      <c r="C664" s="39">
        <v>525.68200000000002</v>
      </c>
      <c r="D664" s="39">
        <v>1.3011999999999999</v>
      </c>
      <c r="E664">
        <v>1959.96</v>
      </c>
    </row>
    <row r="665" spans="1:5" x14ac:dyDescent="0.25">
      <c r="A665" s="39">
        <v>1.1200000000000001</v>
      </c>
      <c r="B665" s="39">
        <v>1653.97</v>
      </c>
      <c r="C665" s="39">
        <v>526.94500000000005</v>
      </c>
      <c r="D665" s="39">
        <v>1.2997399999999999</v>
      </c>
      <c r="E665">
        <v>1959.87</v>
      </c>
    </row>
    <row r="666" spans="1:5" x14ac:dyDescent="0.25">
      <c r="A666" s="39">
        <v>1.1100000000000001</v>
      </c>
      <c r="B666" s="39">
        <v>1646.52</v>
      </c>
      <c r="C666" s="39">
        <v>528.21400000000006</v>
      </c>
      <c r="D666" s="39">
        <v>1.29826</v>
      </c>
      <c r="E666">
        <v>1959.78</v>
      </c>
    </row>
    <row r="667" spans="1:5" x14ac:dyDescent="0.25">
      <c r="A667" s="39">
        <v>1.1000000000000001</v>
      </c>
      <c r="B667" s="39">
        <v>1639.14</v>
      </c>
      <c r="C667" s="39">
        <v>529.48900000000003</v>
      </c>
      <c r="D667" s="39">
        <v>1.2967599999999999</v>
      </c>
      <c r="E667">
        <v>1959.69</v>
      </c>
    </row>
    <row r="668" spans="1:5" x14ac:dyDescent="0.25">
      <c r="A668" s="39">
        <v>1.0900000000000001</v>
      </c>
      <c r="B668" s="39">
        <v>1631.85</v>
      </c>
      <c r="C668" s="39">
        <v>530.77</v>
      </c>
      <c r="D668" s="39">
        <v>1.2952399999999999</v>
      </c>
      <c r="E668">
        <v>1959.59</v>
      </c>
    </row>
    <row r="669" spans="1:5" x14ac:dyDescent="0.25">
      <c r="A669" s="39">
        <v>1.08</v>
      </c>
      <c r="B669" s="39">
        <v>1624.63</v>
      </c>
      <c r="C669" s="39">
        <v>532.05600000000004</v>
      </c>
      <c r="D669" s="39">
        <v>1.2937099999999999</v>
      </c>
      <c r="E669">
        <v>1959.5</v>
      </c>
    </row>
    <row r="670" spans="1:5" x14ac:dyDescent="0.25">
      <c r="A670" s="39">
        <v>1.07</v>
      </c>
      <c r="B670" s="39">
        <v>1617.48</v>
      </c>
      <c r="C670" s="39">
        <v>533.34900000000005</v>
      </c>
      <c r="D670" s="39">
        <v>1.29216</v>
      </c>
      <c r="E670">
        <v>1959.4</v>
      </c>
    </row>
    <row r="671" spans="1:5" x14ac:dyDescent="0.25">
      <c r="A671" s="39">
        <v>1.06</v>
      </c>
      <c r="B671" s="39">
        <v>1610.42</v>
      </c>
      <c r="C671" s="39">
        <v>534.649</v>
      </c>
      <c r="D671" s="39">
        <v>1.2905899999999999</v>
      </c>
      <c r="E671">
        <v>1959.31</v>
      </c>
    </row>
    <row r="672" spans="1:5" x14ac:dyDescent="0.25">
      <c r="A672" s="39">
        <v>1.05</v>
      </c>
      <c r="B672" s="39">
        <v>1603.43</v>
      </c>
      <c r="C672" s="39">
        <v>535.95500000000004</v>
      </c>
      <c r="D672" s="39">
        <v>1.28901</v>
      </c>
      <c r="E672">
        <v>1959.21</v>
      </c>
    </row>
    <row r="673" spans="1:5" x14ac:dyDescent="0.25">
      <c r="A673" s="39">
        <v>1.04</v>
      </c>
      <c r="B673" s="39">
        <v>1596.52</v>
      </c>
      <c r="C673" s="39">
        <v>537.26900000000001</v>
      </c>
      <c r="D673" s="39">
        <v>1.2874099999999999</v>
      </c>
      <c r="E673">
        <v>1959.11</v>
      </c>
    </row>
    <row r="674" spans="1:5" x14ac:dyDescent="0.25">
      <c r="A674" s="39">
        <v>1.03</v>
      </c>
      <c r="B674" s="39">
        <v>1589.69</v>
      </c>
      <c r="C674" s="39">
        <v>538.59</v>
      </c>
      <c r="D674" s="39">
        <v>1.28579</v>
      </c>
      <c r="E674">
        <v>1959.02</v>
      </c>
    </row>
    <row r="675" spans="1:5" x14ac:dyDescent="0.25">
      <c r="A675" s="39">
        <v>1.02</v>
      </c>
      <c r="B675" s="39">
        <v>1582.93</v>
      </c>
      <c r="C675" s="39">
        <v>539.91899999999998</v>
      </c>
      <c r="D675" s="39">
        <v>1.28416</v>
      </c>
      <c r="E675">
        <v>1958.92</v>
      </c>
    </row>
    <row r="676" spans="1:5" x14ac:dyDescent="0.25">
      <c r="A676" s="39">
        <v>1.01</v>
      </c>
      <c r="B676" s="39">
        <v>1576.25</v>
      </c>
      <c r="C676" s="39">
        <v>541.255</v>
      </c>
      <c r="D676" s="39">
        <v>1.28251</v>
      </c>
      <c r="E676">
        <v>1958.82</v>
      </c>
    </row>
    <row r="677" spans="1:5" x14ac:dyDescent="0.25">
      <c r="A677" s="39">
        <v>1</v>
      </c>
      <c r="B677" s="39">
        <v>1569.64</v>
      </c>
      <c r="C677" s="39">
        <v>542.6</v>
      </c>
      <c r="D677" s="39">
        <v>1.28085</v>
      </c>
      <c r="E677">
        <v>1958.72</v>
      </c>
    </row>
    <row r="678" spans="1:5" x14ac:dyDescent="0.25">
      <c r="A678" s="39">
        <v>0.99</v>
      </c>
      <c r="B678" s="39">
        <v>1563.11</v>
      </c>
      <c r="C678" s="39">
        <v>543.95399999999995</v>
      </c>
      <c r="D678" s="39">
        <v>1.2791699999999999</v>
      </c>
      <c r="E678">
        <v>1958.62</v>
      </c>
    </row>
    <row r="679" spans="1:5" x14ac:dyDescent="0.25">
      <c r="A679" s="39">
        <v>0.98</v>
      </c>
      <c r="B679" s="39">
        <v>1556.66</v>
      </c>
      <c r="C679" s="39">
        <v>545.31700000000001</v>
      </c>
      <c r="D679" s="39">
        <v>1.2774700000000001</v>
      </c>
      <c r="E679">
        <v>1958.51</v>
      </c>
    </row>
    <row r="680" spans="1:5" x14ac:dyDescent="0.25">
      <c r="A680" s="39">
        <v>0.97</v>
      </c>
      <c r="B680" s="39">
        <v>1550.27</v>
      </c>
      <c r="C680" s="39">
        <v>546.69000000000005</v>
      </c>
      <c r="D680" s="39">
        <v>1.2757700000000001</v>
      </c>
      <c r="E680">
        <v>1958.41</v>
      </c>
    </row>
    <row r="681" spans="1:5" x14ac:dyDescent="0.25">
      <c r="A681" s="39">
        <v>0.96</v>
      </c>
      <c r="B681" s="39">
        <v>1543.96</v>
      </c>
      <c r="C681" s="39">
        <v>548.072</v>
      </c>
      <c r="D681" s="39">
        <v>1.2740400000000001</v>
      </c>
      <c r="E681">
        <v>1958.3</v>
      </c>
    </row>
    <row r="682" spans="1:5" x14ac:dyDescent="0.25">
      <c r="A682" s="39">
        <v>0.95</v>
      </c>
      <c r="B682" s="39">
        <v>1537.71</v>
      </c>
      <c r="C682" s="39">
        <v>549.46500000000003</v>
      </c>
      <c r="D682" s="39">
        <v>1.2723</v>
      </c>
      <c r="E682">
        <v>1958.2</v>
      </c>
    </row>
    <row r="683" spans="1:5" x14ac:dyDescent="0.25">
      <c r="A683" s="39">
        <v>0.94</v>
      </c>
      <c r="B683" s="39">
        <v>1531.54</v>
      </c>
      <c r="C683" s="39">
        <v>550.86900000000003</v>
      </c>
      <c r="D683" s="39">
        <v>1.2705500000000001</v>
      </c>
      <c r="E683">
        <v>1958.09</v>
      </c>
    </row>
    <row r="684" spans="1:5" x14ac:dyDescent="0.25">
      <c r="A684" s="39">
        <v>0.93</v>
      </c>
      <c r="B684" s="39">
        <v>1525.43</v>
      </c>
      <c r="C684" s="39">
        <v>552.28300000000002</v>
      </c>
      <c r="D684" s="39">
        <v>1.26878</v>
      </c>
      <c r="E684">
        <v>1957.98</v>
      </c>
    </row>
    <row r="685" spans="1:5" x14ac:dyDescent="0.25">
      <c r="A685" s="39">
        <v>0.92</v>
      </c>
      <c r="B685" s="39">
        <v>1519.38</v>
      </c>
      <c r="C685" s="39">
        <v>553.70899999999995</v>
      </c>
      <c r="D685" s="39">
        <v>1.2669999999999999</v>
      </c>
      <c r="E685">
        <v>1957.87</v>
      </c>
    </row>
    <row r="686" spans="1:5" x14ac:dyDescent="0.25">
      <c r="A686" s="39">
        <v>0.91</v>
      </c>
      <c r="B686" s="39">
        <v>1513.4</v>
      </c>
      <c r="C686" s="39">
        <v>555.14800000000002</v>
      </c>
      <c r="D686" s="39">
        <v>1.2652099999999999</v>
      </c>
      <c r="E686">
        <v>1957.76</v>
      </c>
    </row>
    <row r="687" spans="1:5" x14ac:dyDescent="0.25">
      <c r="A687" s="39">
        <v>0.9</v>
      </c>
      <c r="B687" s="39">
        <v>1507.49</v>
      </c>
      <c r="C687" s="39">
        <v>556.59900000000005</v>
      </c>
      <c r="D687" s="39">
        <v>1.2634099999999999</v>
      </c>
      <c r="E687">
        <v>1957.65</v>
      </c>
    </row>
    <row r="688" spans="1:5" x14ac:dyDescent="0.25">
      <c r="A688" s="39">
        <v>0.89</v>
      </c>
      <c r="B688" s="39">
        <v>1501.63</v>
      </c>
      <c r="C688" s="39">
        <v>558.06299999999999</v>
      </c>
      <c r="D688" s="39">
        <v>1.26159</v>
      </c>
      <c r="E688">
        <v>1957.54</v>
      </c>
    </row>
    <row r="689" spans="1:5" x14ac:dyDescent="0.25">
      <c r="A689" s="39">
        <v>0.88</v>
      </c>
      <c r="B689" s="39">
        <v>1495.83</v>
      </c>
      <c r="C689" s="39">
        <v>559.54</v>
      </c>
      <c r="D689" s="39">
        <v>1.25976</v>
      </c>
      <c r="E689">
        <v>1957.42</v>
      </c>
    </row>
    <row r="690" spans="1:5" x14ac:dyDescent="0.25">
      <c r="A690" s="39">
        <v>0.87</v>
      </c>
      <c r="B690" s="39">
        <v>1490.09</v>
      </c>
      <c r="C690" s="39">
        <v>561.03200000000004</v>
      </c>
      <c r="D690" s="39">
        <v>1.2579199999999999</v>
      </c>
      <c r="E690">
        <v>1957.31</v>
      </c>
    </row>
    <row r="691" spans="1:5" x14ac:dyDescent="0.25">
      <c r="A691" s="39">
        <v>0.86</v>
      </c>
      <c r="B691" s="39">
        <v>1484.4</v>
      </c>
      <c r="C691" s="39">
        <v>562.53700000000003</v>
      </c>
      <c r="D691" s="39">
        <v>1.25606</v>
      </c>
      <c r="E691">
        <v>1957.19</v>
      </c>
    </row>
    <row r="692" spans="1:5" x14ac:dyDescent="0.25">
      <c r="A692" s="39">
        <v>0.85</v>
      </c>
      <c r="B692" s="39">
        <v>1478.76</v>
      </c>
      <c r="C692" s="39">
        <v>564.05799999999999</v>
      </c>
      <c r="D692" s="39">
        <v>1.2542</v>
      </c>
      <c r="E692">
        <v>1957.07</v>
      </c>
    </row>
    <row r="693" spans="1:5" x14ac:dyDescent="0.25">
      <c r="A693" s="39">
        <v>0.84</v>
      </c>
      <c r="B693" s="39">
        <v>1473.18</v>
      </c>
      <c r="C693" s="39">
        <v>565.59299999999996</v>
      </c>
      <c r="D693" s="39">
        <v>1.2523299999999999</v>
      </c>
      <c r="E693">
        <v>1956.96</v>
      </c>
    </row>
    <row r="694" spans="1:5" x14ac:dyDescent="0.25">
      <c r="A694" s="39">
        <v>0.83</v>
      </c>
      <c r="B694" s="39">
        <v>1467.64</v>
      </c>
      <c r="C694" s="39">
        <v>567.14400000000001</v>
      </c>
      <c r="D694" s="39">
        <v>1.25044</v>
      </c>
      <c r="E694">
        <v>1956.83</v>
      </c>
    </row>
    <row r="695" spans="1:5" x14ac:dyDescent="0.25">
      <c r="A695" s="39">
        <v>0.82</v>
      </c>
      <c r="B695" s="39">
        <v>1462.15</v>
      </c>
      <c r="C695" s="39">
        <v>568.71199999999999</v>
      </c>
      <c r="D695" s="39">
        <v>1.24855</v>
      </c>
      <c r="E695">
        <v>1956.71</v>
      </c>
    </row>
    <row r="696" spans="1:5" x14ac:dyDescent="0.25">
      <c r="A696" s="39">
        <v>0.81</v>
      </c>
      <c r="B696" s="39">
        <v>1456.71</v>
      </c>
      <c r="C696" s="39">
        <v>570.29600000000005</v>
      </c>
      <c r="D696" s="39">
        <v>1.24664</v>
      </c>
      <c r="E696">
        <v>1956.59</v>
      </c>
    </row>
    <row r="697" spans="1:5" x14ac:dyDescent="0.25">
      <c r="A697" s="39">
        <v>0.8</v>
      </c>
      <c r="B697" s="39">
        <v>1451.3</v>
      </c>
      <c r="C697" s="39">
        <v>571.89700000000005</v>
      </c>
      <c r="D697" s="39">
        <v>1.2447299999999999</v>
      </c>
      <c r="E697">
        <v>1956.46</v>
      </c>
    </row>
    <row r="698" spans="1:5" x14ac:dyDescent="0.25">
      <c r="A698" s="39">
        <v>0.79</v>
      </c>
      <c r="B698" s="39">
        <v>1445.94</v>
      </c>
      <c r="C698" s="39">
        <v>573.51499999999999</v>
      </c>
      <c r="D698" s="39">
        <v>1.24281</v>
      </c>
      <c r="E698">
        <v>1956.34</v>
      </c>
    </row>
    <row r="699" spans="1:5" x14ac:dyDescent="0.25">
      <c r="A699" s="39">
        <v>0.78</v>
      </c>
      <c r="B699" s="39">
        <v>1440.61</v>
      </c>
      <c r="C699" s="39">
        <v>575.15200000000004</v>
      </c>
      <c r="D699" s="39">
        <v>1.24088</v>
      </c>
      <c r="E699">
        <v>1956.21</v>
      </c>
    </row>
    <row r="700" spans="1:5" x14ac:dyDescent="0.25">
      <c r="A700" s="39">
        <v>0.77</v>
      </c>
      <c r="B700" s="39">
        <v>1435.31</v>
      </c>
      <c r="C700" s="39">
        <v>576.80600000000004</v>
      </c>
      <c r="D700" s="39">
        <v>1.2389399999999999</v>
      </c>
      <c r="E700">
        <v>1956.08</v>
      </c>
    </row>
    <row r="701" spans="1:5" x14ac:dyDescent="0.25">
      <c r="A701" s="39">
        <v>0.76</v>
      </c>
      <c r="B701" s="39">
        <v>1430.05</v>
      </c>
      <c r="C701" s="39">
        <v>578.47900000000004</v>
      </c>
      <c r="D701" s="39">
        <v>1.2370000000000001</v>
      </c>
      <c r="E701">
        <v>1955.95</v>
      </c>
    </row>
    <row r="702" spans="1:5" x14ac:dyDescent="0.25">
      <c r="A702" s="39">
        <v>0.75</v>
      </c>
      <c r="B702" s="39">
        <v>1424.82</v>
      </c>
      <c r="C702" s="39">
        <v>580.17200000000003</v>
      </c>
      <c r="D702" s="39">
        <v>1.2350399999999999</v>
      </c>
      <c r="E702">
        <v>1955.82</v>
      </c>
    </row>
    <row r="703" spans="1:5" x14ac:dyDescent="0.25">
      <c r="A703" s="39">
        <v>0.74</v>
      </c>
      <c r="B703" s="39">
        <v>1419.62</v>
      </c>
      <c r="C703" s="39">
        <v>581.88300000000004</v>
      </c>
      <c r="D703" s="39">
        <v>1.23308</v>
      </c>
      <c r="E703">
        <v>1955.68</v>
      </c>
    </row>
    <row r="704" spans="1:5" x14ac:dyDescent="0.25">
      <c r="A704" s="39">
        <v>0.73</v>
      </c>
      <c r="B704" s="39">
        <v>1414.44</v>
      </c>
      <c r="C704" s="39">
        <v>583.61400000000003</v>
      </c>
      <c r="D704" s="39">
        <v>1.23112</v>
      </c>
      <c r="E704">
        <v>1955.55</v>
      </c>
    </row>
    <row r="705" spans="1:5" x14ac:dyDescent="0.25">
      <c r="A705" s="39">
        <v>0.72</v>
      </c>
      <c r="B705" s="39">
        <v>1409.29</v>
      </c>
      <c r="C705" s="39">
        <v>585.36500000000001</v>
      </c>
      <c r="D705" s="39">
        <v>1.2291399999999999</v>
      </c>
      <c r="E705">
        <v>1955.41</v>
      </c>
    </row>
    <row r="706" spans="1:5" x14ac:dyDescent="0.25">
      <c r="A706" s="39">
        <v>0.71</v>
      </c>
      <c r="B706" s="39">
        <v>1404.15</v>
      </c>
      <c r="C706" s="39">
        <v>587.13599999999997</v>
      </c>
      <c r="D706" s="39">
        <v>1.2271700000000001</v>
      </c>
      <c r="E706">
        <v>1955.27</v>
      </c>
    </row>
    <row r="707" spans="1:5" x14ac:dyDescent="0.25">
      <c r="A707" s="39">
        <v>0.7</v>
      </c>
      <c r="B707" s="39">
        <v>1399.03</v>
      </c>
      <c r="C707" s="39">
        <v>588.92700000000002</v>
      </c>
      <c r="D707" s="39">
        <v>1.2251799999999999</v>
      </c>
      <c r="E707">
        <v>1955.13</v>
      </c>
    </row>
    <row r="708" spans="1:5" x14ac:dyDescent="0.25">
      <c r="A708" s="39">
        <v>0.69</v>
      </c>
      <c r="B708" s="39">
        <v>1393.93</v>
      </c>
      <c r="C708" s="39">
        <v>590.73900000000003</v>
      </c>
      <c r="D708" s="39">
        <v>1.22319</v>
      </c>
      <c r="E708">
        <v>1954.98</v>
      </c>
    </row>
    <row r="709" spans="1:5" x14ac:dyDescent="0.25">
      <c r="A709" s="39">
        <v>0.68</v>
      </c>
      <c r="B709" s="39">
        <v>1388.84</v>
      </c>
      <c r="C709" s="39">
        <v>592.572</v>
      </c>
      <c r="D709" s="39">
        <v>1.2212000000000001</v>
      </c>
      <c r="E709">
        <v>1954.84</v>
      </c>
    </row>
    <row r="710" spans="1:5" x14ac:dyDescent="0.25">
      <c r="A710" s="39">
        <v>0.67</v>
      </c>
      <c r="B710" s="39">
        <v>1383.77</v>
      </c>
      <c r="C710" s="39">
        <v>594.42600000000004</v>
      </c>
      <c r="D710" s="39">
        <v>1.2192000000000001</v>
      </c>
      <c r="E710">
        <v>1954.69</v>
      </c>
    </row>
    <row r="711" spans="1:5" x14ac:dyDescent="0.25">
      <c r="A711" s="39">
        <v>0.66</v>
      </c>
      <c r="B711" s="39">
        <v>1378.69</v>
      </c>
      <c r="C711" s="39">
        <v>596.29999999999995</v>
      </c>
      <c r="D711" s="39">
        <v>1.21719</v>
      </c>
      <c r="E711">
        <v>1954.54</v>
      </c>
    </row>
    <row r="712" spans="1:5" x14ac:dyDescent="0.25">
      <c r="A712" s="39">
        <v>0.65</v>
      </c>
      <c r="B712" s="39">
        <v>1373.63</v>
      </c>
      <c r="C712" s="39">
        <v>598.19500000000005</v>
      </c>
      <c r="D712" s="39">
        <v>1.2151799999999999</v>
      </c>
      <c r="E712">
        <v>1954.39</v>
      </c>
    </row>
    <row r="713" spans="1:5" x14ac:dyDescent="0.25">
      <c r="A713" s="39">
        <v>0.64</v>
      </c>
      <c r="B713" s="39">
        <v>1368.56</v>
      </c>
      <c r="C713" s="39">
        <v>600.11099999999999</v>
      </c>
      <c r="D713" s="39">
        <v>1.2131700000000001</v>
      </c>
      <c r="E713">
        <v>1954.23</v>
      </c>
    </row>
    <row r="714" spans="1:5" x14ac:dyDescent="0.25">
      <c r="A714" s="39">
        <v>0.63</v>
      </c>
      <c r="B714" s="39">
        <v>1363.5</v>
      </c>
      <c r="C714" s="39">
        <v>602.04700000000003</v>
      </c>
      <c r="D714" s="39">
        <v>1.21116</v>
      </c>
      <c r="E714">
        <v>1954.07</v>
      </c>
    </row>
    <row r="715" spans="1:5" x14ac:dyDescent="0.25">
      <c r="A715" s="39">
        <v>0.62</v>
      </c>
      <c r="B715" s="39">
        <v>1358.43</v>
      </c>
      <c r="C715" s="39">
        <v>604.00400000000002</v>
      </c>
      <c r="D715" s="39">
        <v>1.2091400000000001</v>
      </c>
      <c r="E715">
        <v>1953.92</v>
      </c>
    </row>
    <row r="716" spans="1:5" x14ac:dyDescent="0.25">
      <c r="A716" s="39">
        <v>0.61</v>
      </c>
      <c r="B716" s="39">
        <v>1353.35</v>
      </c>
      <c r="C716" s="39">
        <v>605.98</v>
      </c>
      <c r="D716" s="39">
        <v>1.20712</v>
      </c>
      <c r="E716">
        <v>1953.75</v>
      </c>
    </row>
    <row r="717" spans="1:5" x14ac:dyDescent="0.25">
      <c r="A717" s="39">
        <v>0.6</v>
      </c>
      <c r="B717" s="39">
        <v>1348.26</v>
      </c>
      <c r="C717" s="39">
        <v>607.976</v>
      </c>
      <c r="D717" s="39">
        <v>1.20509</v>
      </c>
      <c r="E717">
        <v>1953.59</v>
      </c>
    </row>
    <row r="718" spans="1:5" x14ac:dyDescent="0.25">
      <c r="A718" s="39">
        <v>0.59</v>
      </c>
      <c r="B718" s="39">
        <v>1343.16</v>
      </c>
      <c r="C718" s="39">
        <v>609.99099999999999</v>
      </c>
      <c r="D718" s="39">
        <v>1.2030700000000001</v>
      </c>
      <c r="E718">
        <v>1953.42</v>
      </c>
    </row>
    <row r="719" spans="1:5" x14ac:dyDescent="0.25">
      <c r="A719" s="39">
        <v>0.57999999999999996</v>
      </c>
      <c r="B719" s="39">
        <v>1338.04</v>
      </c>
      <c r="C719" s="39">
        <v>612.024</v>
      </c>
      <c r="D719" s="39">
        <v>1.2010400000000001</v>
      </c>
      <c r="E719">
        <v>1953.25</v>
      </c>
    </row>
    <row r="720" spans="1:5" x14ac:dyDescent="0.25">
      <c r="A720" s="39">
        <v>0.56999999999999995</v>
      </c>
      <c r="B720" s="39">
        <v>1332.91</v>
      </c>
      <c r="C720" s="39">
        <v>614.07500000000005</v>
      </c>
      <c r="D720" s="39">
        <v>1.1990099999999999</v>
      </c>
      <c r="E720">
        <v>1953.08</v>
      </c>
    </row>
    <row r="721" spans="1:5" x14ac:dyDescent="0.25">
      <c r="A721" s="39">
        <v>0.56000000000000005</v>
      </c>
      <c r="B721" s="39">
        <v>1327.75</v>
      </c>
      <c r="C721" s="39">
        <v>616.14200000000005</v>
      </c>
      <c r="D721" s="39">
        <v>1.1969799999999999</v>
      </c>
      <c r="E721">
        <v>1952.9</v>
      </c>
    </row>
    <row r="722" spans="1:5" x14ac:dyDescent="0.25">
      <c r="A722" s="39">
        <v>0.55000000000000004</v>
      </c>
      <c r="B722" s="39">
        <v>1322.56</v>
      </c>
      <c r="C722" s="39">
        <v>618.22400000000005</v>
      </c>
      <c r="D722" s="39">
        <v>1.1949399999999999</v>
      </c>
      <c r="E722">
        <v>1952.73</v>
      </c>
    </row>
    <row r="723" spans="1:5" x14ac:dyDescent="0.25">
      <c r="A723" s="39">
        <v>0.54</v>
      </c>
      <c r="B723" s="39">
        <v>1317.34</v>
      </c>
      <c r="C723" s="39">
        <v>620.31899999999996</v>
      </c>
      <c r="D723" s="39">
        <v>1.1929099999999999</v>
      </c>
      <c r="E723">
        <v>1952.54</v>
      </c>
    </row>
    <row r="724" spans="1:5" x14ac:dyDescent="0.25">
      <c r="A724" s="39">
        <v>0.53</v>
      </c>
      <c r="B724" s="39">
        <v>1312.09</v>
      </c>
      <c r="C724" s="39">
        <v>622.42700000000002</v>
      </c>
      <c r="D724" s="39">
        <v>1.1908799999999999</v>
      </c>
      <c r="E724">
        <v>1952.36</v>
      </c>
    </row>
    <row r="725" spans="1:5" x14ac:dyDescent="0.25">
      <c r="A725" s="39">
        <v>0.52</v>
      </c>
      <c r="B725" s="39">
        <v>1306.8</v>
      </c>
      <c r="C725" s="39">
        <v>624.54499999999996</v>
      </c>
      <c r="D725" s="39">
        <v>1.1888399999999999</v>
      </c>
      <c r="E725">
        <v>1952.17</v>
      </c>
    </row>
    <row r="726" spans="1:5" x14ac:dyDescent="0.25">
      <c r="A726" s="39">
        <v>0.51</v>
      </c>
      <c r="B726" s="39">
        <v>1301.46</v>
      </c>
      <c r="C726" s="39">
        <v>626.67100000000005</v>
      </c>
      <c r="D726" s="39">
        <v>1.1868099999999999</v>
      </c>
      <c r="E726">
        <v>1951.98</v>
      </c>
    </row>
    <row r="727" spans="1:5" x14ac:dyDescent="0.25">
      <c r="A727" s="39">
        <v>0.5</v>
      </c>
      <c r="B727" s="39">
        <v>1296.08</v>
      </c>
      <c r="C727" s="39">
        <v>628.803</v>
      </c>
      <c r="D727" s="39">
        <v>1.1847799999999999</v>
      </c>
      <c r="E727">
        <v>1951.78</v>
      </c>
    </row>
    <row r="728" spans="1:5" x14ac:dyDescent="0.25">
      <c r="A728" s="39">
        <v>0.49</v>
      </c>
      <c r="B728" s="39">
        <v>1290.6500000000001</v>
      </c>
      <c r="C728" s="39">
        <v>630.93799999999999</v>
      </c>
      <c r="D728" s="39">
        <v>1.1827399999999999</v>
      </c>
      <c r="E728">
        <v>1951.58</v>
      </c>
    </row>
    <row r="729" spans="1:5" x14ac:dyDescent="0.25">
      <c r="A729" s="39">
        <v>0.48</v>
      </c>
      <c r="B729" s="39">
        <v>1285.1600000000001</v>
      </c>
      <c r="C729" s="39">
        <v>633.072</v>
      </c>
      <c r="D729" s="39">
        <v>1.1807099999999999</v>
      </c>
      <c r="E729">
        <v>1951.38</v>
      </c>
    </row>
    <row r="730" spans="1:5" x14ac:dyDescent="0.25">
      <c r="A730" s="39">
        <v>0.47</v>
      </c>
      <c r="B730" s="39">
        <v>1279.6099999999999</v>
      </c>
      <c r="C730" s="39">
        <v>635.20299999999997</v>
      </c>
      <c r="D730" s="39">
        <v>1.17869</v>
      </c>
      <c r="E730">
        <v>1951.17</v>
      </c>
    </row>
    <row r="731" spans="1:5" x14ac:dyDescent="0.25">
      <c r="A731" s="39">
        <v>0.46</v>
      </c>
      <c r="B731" s="39">
        <v>1273.99</v>
      </c>
      <c r="C731" s="39">
        <v>637.32500000000005</v>
      </c>
      <c r="D731" s="39">
        <v>1.17666</v>
      </c>
      <c r="E731">
        <v>1953.72</v>
      </c>
    </row>
    <row r="732" spans="1:5" x14ac:dyDescent="0.25">
      <c r="A732" s="39">
        <v>0.45</v>
      </c>
      <c r="B732" s="39">
        <v>1268.29</v>
      </c>
      <c r="C732" s="39">
        <v>639.43499999999995</v>
      </c>
      <c r="D732" s="39">
        <v>1.1746399999999999</v>
      </c>
      <c r="E732">
        <v>1953.47</v>
      </c>
    </row>
    <row r="733" spans="1:5" x14ac:dyDescent="0.25">
      <c r="A733" s="39">
        <v>0.44</v>
      </c>
      <c r="B733" s="39">
        <v>1262.52</v>
      </c>
      <c r="C733" s="39">
        <v>641.52700000000004</v>
      </c>
      <c r="D733" s="39">
        <v>1.1726099999999999</v>
      </c>
      <c r="E733">
        <v>1953.22</v>
      </c>
    </row>
    <row r="734" spans="1:5" x14ac:dyDescent="0.25">
      <c r="A734" s="39">
        <v>0.43</v>
      </c>
      <c r="B734" s="39">
        <v>1256.6600000000001</v>
      </c>
      <c r="C734" s="39">
        <v>643.59500000000003</v>
      </c>
      <c r="D734" s="39">
        <v>1.1706000000000001</v>
      </c>
      <c r="E734">
        <v>1952.96</v>
      </c>
    </row>
    <row r="735" spans="1:5" x14ac:dyDescent="0.25">
      <c r="A735" s="39">
        <v>0.42</v>
      </c>
      <c r="B735" s="39">
        <v>1250.71</v>
      </c>
      <c r="C735" s="39">
        <v>645.63300000000004</v>
      </c>
      <c r="D735" s="39">
        <v>1.16858</v>
      </c>
      <c r="E735">
        <v>1952.69</v>
      </c>
    </row>
    <row r="736" spans="1:5" x14ac:dyDescent="0.25">
      <c r="A736" s="39">
        <v>0.41</v>
      </c>
      <c r="B736" s="39">
        <v>1244.6600000000001</v>
      </c>
      <c r="C736" s="39">
        <v>647.63400000000001</v>
      </c>
      <c r="D736" s="39">
        <v>1.16658</v>
      </c>
      <c r="E736">
        <v>1952.42</v>
      </c>
    </row>
    <row r="737" spans="1:5" x14ac:dyDescent="0.25">
      <c r="A737" s="39">
        <v>0.4</v>
      </c>
      <c r="B737" s="39">
        <v>1238.5</v>
      </c>
      <c r="C737" s="39">
        <v>649.58900000000006</v>
      </c>
      <c r="D737" s="39">
        <v>1.1645700000000001</v>
      </c>
      <c r="E737">
        <v>1952.14</v>
      </c>
    </row>
    <row r="738" spans="1:5" x14ac:dyDescent="0.25">
      <c r="A738" s="39">
        <v>0.39</v>
      </c>
      <c r="B738" s="39">
        <v>1232.22</v>
      </c>
      <c r="C738" s="39">
        <v>651.48900000000003</v>
      </c>
      <c r="D738" s="39">
        <v>1.1625700000000001</v>
      </c>
      <c r="E738">
        <v>1951.86</v>
      </c>
    </row>
    <row r="739" spans="1:5" x14ac:dyDescent="0.25">
      <c r="A739" s="39">
        <v>0.38</v>
      </c>
      <c r="B739" s="39">
        <v>1225.82</v>
      </c>
      <c r="C739" s="39">
        <v>653.32399999999996</v>
      </c>
      <c r="D739" s="39">
        <v>1.1605799999999999</v>
      </c>
      <c r="E739">
        <v>1951.57</v>
      </c>
    </row>
    <row r="740" spans="1:5" x14ac:dyDescent="0.25">
      <c r="A740" s="39">
        <v>0.37</v>
      </c>
      <c r="B740" s="39">
        <v>1219.28</v>
      </c>
      <c r="C740" s="39">
        <v>655.08199999999999</v>
      </c>
      <c r="D740" s="39">
        <v>1.1586000000000001</v>
      </c>
      <c r="E740">
        <v>1951.27</v>
      </c>
    </row>
    <row r="741" spans="1:5" x14ac:dyDescent="0.25">
      <c r="A741" s="39">
        <v>0.36</v>
      </c>
      <c r="B741" s="39">
        <v>1212.5999999999999</v>
      </c>
      <c r="C741" s="39">
        <v>656.75199999999995</v>
      </c>
      <c r="D741" s="39">
        <v>1.15662</v>
      </c>
      <c r="E741">
        <v>1950.97</v>
      </c>
    </row>
    <row r="742" spans="1:5" x14ac:dyDescent="0.25">
      <c r="A742" s="39">
        <v>0.35</v>
      </c>
      <c r="B742" s="39">
        <v>1205.76</v>
      </c>
      <c r="C742" s="39">
        <v>658.31799999999998</v>
      </c>
      <c r="D742" s="39">
        <v>1.15466</v>
      </c>
      <c r="E742">
        <v>1950.65</v>
      </c>
    </row>
    <row r="743" spans="1:5" x14ac:dyDescent="0.25">
      <c r="A743" s="39">
        <v>0.34</v>
      </c>
      <c r="B743" s="39">
        <v>1198.76</v>
      </c>
      <c r="C743" s="39">
        <v>659.78200000000004</v>
      </c>
      <c r="D743" s="39">
        <v>1.1527000000000001</v>
      </c>
      <c r="E743">
        <v>1950.33</v>
      </c>
    </row>
    <row r="744" spans="1:5" x14ac:dyDescent="0.25">
      <c r="A744" s="39">
        <v>0.33</v>
      </c>
      <c r="B744" s="39">
        <v>1191.57</v>
      </c>
      <c r="C744" s="39">
        <v>661.09400000000005</v>
      </c>
      <c r="D744" s="39">
        <v>1.1507700000000001</v>
      </c>
      <c r="E744">
        <v>1950.01</v>
      </c>
    </row>
    <row r="745" spans="1:5" x14ac:dyDescent="0.25">
      <c r="A745" s="39">
        <v>0.32</v>
      </c>
      <c r="B745" s="39">
        <v>1184.19</v>
      </c>
      <c r="C745" s="39">
        <v>662.25199999999995</v>
      </c>
      <c r="D745" s="39">
        <v>1.1488400000000001</v>
      </c>
      <c r="E745">
        <v>1949.67</v>
      </c>
    </row>
    <row r="746" spans="1:5" x14ac:dyDescent="0.25">
      <c r="A746" s="39">
        <v>0.31</v>
      </c>
      <c r="B746" s="39">
        <v>1176.5899999999999</v>
      </c>
      <c r="C746" s="39">
        <v>663.23599999999999</v>
      </c>
      <c r="D746" s="39">
        <v>1.14693</v>
      </c>
      <c r="E746">
        <v>1949.32</v>
      </c>
    </row>
    <row r="747" spans="1:5" x14ac:dyDescent="0.25">
      <c r="A747" s="39">
        <v>0.3</v>
      </c>
      <c r="B747" s="39">
        <v>1168.78</v>
      </c>
      <c r="C747" s="39">
        <v>664.02</v>
      </c>
      <c r="D747" s="39">
        <v>1.1450400000000001</v>
      </c>
      <c r="E747">
        <v>1948.97</v>
      </c>
    </row>
    <row r="748" spans="1:5" x14ac:dyDescent="0.25">
      <c r="A748" s="39">
        <v>0.28999999999999998</v>
      </c>
      <c r="B748" s="39">
        <v>1160.71</v>
      </c>
      <c r="C748" s="39">
        <v>664.58399999999995</v>
      </c>
      <c r="D748" s="39">
        <v>1.14316</v>
      </c>
      <c r="E748">
        <v>1948.6</v>
      </c>
    </row>
    <row r="749" spans="1:5" x14ac:dyDescent="0.25">
      <c r="A749" s="39">
        <v>0.28000000000000003</v>
      </c>
      <c r="B749" s="39">
        <v>1152.3699999999999</v>
      </c>
      <c r="C749" s="39">
        <v>664.90099999999995</v>
      </c>
      <c r="D749" s="39">
        <v>1.14131</v>
      </c>
      <c r="E749">
        <v>1948.22</v>
      </c>
    </row>
    <row r="750" spans="1:5" x14ac:dyDescent="0.25">
      <c r="A750" s="39">
        <v>0.27</v>
      </c>
      <c r="B750" s="39">
        <v>1143.76</v>
      </c>
      <c r="C750" s="39">
        <v>664.93799999999999</v>
      </c>
      <c r="D750" s="39">
        <v>1.13947</v>
      </c>
      <c r="E750">
        <v>1947.83</v>
      </c>
    </row>
    <row r="751" spans="1:5" x14ac:dyDescent="0.25">
      <c r="A751" s="39">
        <v>0.26</v>
      </c>
      <c r="B751" s="39">
        <v>1134.83</v>
      </c>
      <c r="C751" s="39">
        <v>664.67</v>
      </c>
      <c r="D751" s="39">
        <v>1.1376599999999999</v>
      </c>
      <c r="E751">
        <v>1947.42</v>
      </c>
    </row>
    <row r="752" spans="1:5" x14ac:dyDescent="0.25">
      <c r="A752" s="39">
        <v>0.25</v>
      </c>
      <c r="B752" s="39">
        <v>1125.56</v>
      </c>
      <c r="C752" s="39">
        <v>664.06299999999999</v>
      </c>
      <c r="D752" s="39">
        <v>1.1358699999999999</v>
      </c>
      <c r="E752">
        <v>1947</v>
      </c>
    </row>
    <row r="753" spans="1:5" x14ac:dyDescent="0.25">
      <c r="A753" s="39">
        <v>0.24</v>
      </c>
      <c r="B753" s="39">
        <v>1115.94</v>
      </c>
      <c r="C753" s="39">
        <v>663.08299999999997</v>
      </c>
      <c r="D753" s="39">
        <v>1.13411</v>
      </c>
      <c r="E753">
        <v>1946.57</v>
      </c>
    </row>
    <row r="754" spans="1:5" x14ac:dyDescent="0.25">
      <c r="A754" s="39">
        <v>0.23</v>
      </c>
      <c r="B754" s="39">
        <v>1105.92</v>
      </c>
      <c r="C754" s="39">
        <v>661.69600000000003</v>
      </c>
      <c r="D754" s="39">
        <v>1.1323799999999999</v>
      </c>
      <c r="E754">
        <v>1946.12</v>
      </c>
    </row>
    <row r="755" spans="1:5" x14ac:dyDescent="0.25">
      <c r="A755" s="39">
        <v>0.22</v>
      </c>
      <c r="B755" s="39">
        <v>1095.48</v>
      </c>
      <c r="C755" s="39">
        <v>659.86800000000005</v>
      </c>
      <c r="D755" s="39">
        <v>1.13069</v>
      </c>
      <c r="E755">
        <v>1945.65</v>
      </c>
    </row>
    <row r="756" spans="1:5" x14ac:dyDescent="0.25">
      <c r="A756" s="39">
        <v>0.21</v>
      </c>
      <c r="B756" s="39">
        <v>1084.57</v>
      </c>
      <c r="C756" s="39">
        <v>657.56399999999996</v>
      </c>
      <c r="D756" s="39">
        <v>1.12904</v>
      </c>
      <c r="E756">
        <v>1945.16</v>
      </c>
    </row>
    <row r="757" spans="1:5" x14ac:dyDescent="0.25">
      <c r="A757" s="39">
        <v>0.2</v>
      </c>
      <c r="B757" s="39">
        <v>1073.17</v>
      </c>
      <c r="C757" s="39">
        <v>654.75099999999998</v>
      </c>
      <c r="D757" s="39">
        <v>1.1274299999999999</v>
      </c>
      <c r="E757">
        <v>1944.65</v>
      </c>
    </row>
    <row r="758" spans="1:5" x14ac:dyDescent="0.25">
      <c r="A758" s="39">
        <v>0.19</v>
      </c>
      <c r="B758" s="39">
        <v>1061.22</v>
      </c>
      <c r="C758" s="39">
        <v>651.4</v>
      </c>
      <c r="D758" s="39">
        <v>1.1258699999999999</v>
      </c>
      <c r="E758">
        <v>1944.12</v>
      </c>
    </row>
    <row r="759" spans="1:5" x14ac:dyDescent="0.25">
      <c r="A759" s="39">
        <v>0.18</v>
      </c>
      <c r="B759" s="39">
        <v>1048.69</v>
      </c>
      <c r="C759" s="39">
        <v>647.48400000000004</v>
      </c>
      <c r="D759" s="39">
        <v>1.1243700000000001</v>
      </c>
      <c r="E759">
        <v>1943.56</v>
      </c>
    </row>
    <row r="760" spans="1:5" x14ac:dyDescent="0.25">
      <c r="A760" s="39">
        <v>0.17</v>
      </c>
      <c r="B760" s="39">
        <v>1035.53</v>
      </c>
      <c r="C760" s="39">
        <v>642.98699999999997</v>
      </c>
      <c r="D760" s="39">
        <v>1.12293</v>
      </c>
      <c r="E760">
        <v>1942.97</v>
      </c>
    </row>
    <row r="761" spans="1:5" x14ac:dyDescent="0.25">
      <c r="A761" s="39">
        <v>0.16</v>
      </c>
      <c r="B761" s="39">
        <v>1021.67</v>
      </c>
      <c r="C761" s="39">
        <v>637.89599999999996</v>
      </c>
      <c r="D761" s="39">
        <v>1.1215599999999999</v>
      </c>
      <c r="E761">
        <v>1942.35</v>
      </c>
    </row>
    <row r="762" spans="1:5" x14ac:dyDescent="0.25">
      <c r="A762" s="39">
        <v>0.15</v>
      </c>
      <c r="B762" s="39">
        <v>1007.08</v>
      </c>
      <c r="C762" s="39">
        <v>632.21299999999997</v>
      </c>
      <c r="D762" s="39">
        <v>1.1202700000000001</v>
      </c>
      <c r="E762">
        <v>1941.69</v>
      </c>
    </row>
    <row r="763" spans="1:5" x14ac:dyDescent="0.25">
      <c r="A763" s="39">
        <v>0.14000000000000001</v>
      </c>
      <c r="B763" s="39">
        <v>991.67399999999998</v>
      </c>
      <c r="C763" s="39">
        <v>625.95399999999995</v>
      </c>
      <c r="D763" s="39">
        <v>1.1190800000000001</v>
      </c>
      <c r="E763">
        <v>1941</v>
      </c>
    </row>
    <row r="764" spans="1:5" x14ac:dyDescent="0.25">
      <c r="A764" s="39">
        <v>0.13</v>
      </c>
      <c r="B764" s="39">
        <v>975.4</v>
      </c>
      <c r="C764" s="39">
        <v>619.14700000000005</v>
      </c>
      <c r="D764" s="39">
        <v>1.11799</v>
      </c>
      <c r="E764">
        <v>1940.25</v>
      </c>
    </row>
    <row r="765" spans="1:5" x14ac:dyDescent="0.25">
      <c r="A765" s="39">
        <v>0.12</v>
      </c>
      <c r="B765" s="39">
        <v>958.18200000000002</v>
      </c>
      <c r="C765" s="39">
        <v>611.84299999999996</v>
      </c>
      <c r="D765" s="39">
        <v>1.1170100000000001</v>
      </c>
      <c r="E765">
        <v>1939.46</v>
      </c>
    </row>
    <row r="766" spans="1:5" x14ac:dyDescent="0.25">
      <c r="A766" s="39">
        <v>0.11</v>
      </c>
      <c r="B766" s="39">
        <v>939.94299999999998</v>
      </c>
      <c r="C766" s="39">
        <v>604.10699999999997</v>
      </c>
      <c r="D766" s="39">
        <v>1.1161799999999999</v>
      </c>
      <c r="E766">
        <v>1938.6</v>
      </c>
    </row>
    <row r="767" spans="1:5" x14ac:dyDescent="0.25">
      <c r="A767" s="39">
        <v>9.9999999999999895E-2</v>
      </c>
      <c r="B767" s="39">
        <v>920.59699999999998</v>
      </c>
      <c r="C767" s="39">
        <v>596.029</v>
      </c>
      <c r="D767" s="39">
        <v>1.11551</v>
      </c>
      <c r="E767">
        <v>1937.66</v>
      </c>
    </row>
    <row r="768" spans="1:5" x14ac:dyDescent="0.25">
      <c r="A768" s="39">
        <v>8.99999999999999E-2</v>
      </c>
      <c r="B768" s="39">
        <v>900.04700000000003</v>
      </c>
      <c r="C768" s="39">
        <v>587.71500000000003</v>
      </c>
      <c r="D768" s="39">
        <v>1.1150199999999999</v>
      </c>
      <c r="E768">
        <v>1936.64</v>
      </c>
    </row>
    <row r="769" spans="1:5" x14ac:dyDescent="0.25">
      <c r="A769" s="39">
        <v>7.9999999999999905E-2</v>
      </c>
      <c r="B769" s="39">
        <v>878.18200000000002</v>
      </c>
      <c r="C769" s="39">
        <v>579.28899999999999</v>
      </c>
      <c r="D769" s="39">
        <v>1.1147400000000001</v>
      </c>
      <c r="E769">
        <v>1935.51</v>
      </c>
    </row>
    <row r="770" spans="1:5" x14ac:dyDescent="0.25">
      <c r="A770" s="39">
        <v>6.9999999999999896E-2</v>
      </c>
      <c r="B770" s="39">
        <v>854.875</v>
      </c>
      <c r="C770" s="39">
        <v>570.89300000000003</v>
      </c>
      <c r="D770" s="39">
        <v>1.1147199999999999</v>
      </c>
      <c r="E770">
        <v>1934.24</v>
      </c>
    </row>
    <row r="771" spans="1:5" x14ac:dyDescent="0.25">
      <c r="A771" s="39">
        <v>5.9999999999999901E-2</v>
      </c>
      <c r="B771" s="39">
        <v>829.971</v>
      </c>
      <c r="C771" s="39">
        <v>562.68100000000004</v>
      </c>
      <c r="D771" s="39">
        <v>1.115</v>
      </c>
      <c r="E771">
        <v>1932.79</v>
      </c>
    </row>
    <row r="772" spans="1:5" x14ac:dyDescent="0.25">
      <c r="A772" s="39">
        <v>4.9999999999999899E-2</v>
      </c>
      <c r="B772" s="39">
        <v>803.28899999999999</v>
      </c>
      <c r="C772" s="39">
        <v>554.81500000000005</v>
      </c>
      <c r="D772" s="39">
        <v>1.11565</v>
      </c>
      <c r="E772">
        <v>1931.1</v>
      </c>
    </row>
    <row r="773" spans="1:5" x14ac:dyDescent="0.25">
      <c r="A773" s="39">
        <v>3.9999999999999897E-2</v>
      </c>
      <c r="B773" s="39">
        <v>774.60599999999999</v>
      </c>
      <c r="C773" s="39">
        <v>547.46600000000001</v>
      </c>
      <c r="D773" s="39">
        <v>1.1167400000000001</v>
      </c>
      <c r="E773">
        <v>1929.07</v>
      </c>
    </row>
    <row r="774" spans="1:5" x14ac:dyDescent="0.25">
      <c r="A774" s="39">
        <v>2.9999999999999898E-2</v>
      </c>
      <c r="B774" s="39">
        <v>743.65499999999997</v>
      </c>
      <c r="C774" s="39">
        <v>540.80200000000002</v>
      </c>
      <c r="D774" s="39">
        <v>1.1183799999999999</v>
      </c>
      <c r="E774">
        <v>1926.5</v>
      </c>
    </row>
    <row r="775" spans="1:5" x14ac:dyDescent="0.25">
      <c r="A775" s="39">
        <v>1.99999999999999E-2</v>
      </c>
      <c r="B775" s="39">
        <v>710.10799999999995</v>
      </c>
      <c r="C775" s="39">
        <v>534.99099999999999</v>
      </c>
      <c r="D775" s="39">
        <v>1.12073</v>
      </c>
      <c r="E775">
        <v>1922.97</v>
      </c>
    </row>
    <row r="776" spans="1:5" x14ac:dyDescent="0.25">
      <c r="A776" s="39">
        <v>9.9999999999998996E-3</v>
      </c>
      <c r="B776" s="39">
        <v>673.57500000000005</v>
      </c>
      <c r="C776" s="39">
        <v>530.18399999999997</v>
      </c>
      <c r="D776" s="39">
        <v>1.12398</v>
      </c>
      <c r="E776">
        <v>1917.17</v>
      </c>
    </row>
    <row r="777" spans="1:5" x14ac:dyDescent="0.25">
      <c r="A777" s="39">
        <v>1.0000000000000001E-5</v>
      </c>
      <c r="B777" s="39">
        <v>673.57500000000005</v>
      </c>
      <c r="C777" s="39">
        <v>530.18399999999997</v>
      </c>
      <c r="D777" s="39">
        <v>1.12398</v>
      </c>
      <c r="E777">
        <v>1917.17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1EA02-5FE5-4DA3-BBF1-E60C03213513}">
  <sheetPr>
    <tabColor theme="5" tint="-0.249977111117893"/>
  </sheetPr>
  <dimension ref="A1:F292"/>
  <sheetViews>
    <sheetView topLeftCell="A250" workbookViewId="0">
      <selection activeCell="I275" sqref="I275"/>
    </sheetView>
  </sheetViews>
  <sheetFormatPr defaultColWidth="8.85546875" defaultRowHeight="15" x14ac:dyDescent="0.25"/>
  <cols>
    <col min="1" max="4" width="9.140625"/>
  </cols>
  <sheetData>
    <row r="1" spans="1:6" x14ac:dyDescent="0.25">
      <c r="A1" s="2" t="s">
        <v>46</v>
      </c>
      <c r="B1" s="2" t="s">
        <v>1</v>
      </c>
      <c r="C1" s="2" t="s">
        <v>218</v>
      </c>
      <c r="D1" s="10" t="s">
        <v>0</v>
      </c>
      <c r="E1" s="3" t="s">
        <v>305</v>
      </c>
      <c r="F1">
        <v>59.771000000000001</v>
      </c>
    </row>
    <row r="2" spans="1:6" x14ac:dyDescent="0.25">
      <c r="A2">
        <v>200</v>
      </c>
      <c r="B2">
        <v>745.34900000000005</v>
      </c>
      <c r="C2">
        <v>260.27</v>
      </c>
      <c r="D2">
        <v>1.32226</v>
      </c>
      <c r="E2">
        <v>1067.92</v>
      </c>
    </row>
    <row r="3" spans="1:6" x14ac:dyDescent="0.25">
      <c r="A3">
        <v>199</v>
      </c>
      <c r="B3">
        <v>745.34900000000005</v>
      </c>
      <c r="C3">
        <v>260.27</v>
      </c>
      <c r="D3">
        <v>1.32226</v>
      </c>
      <c r="E3">
        <v>1067.92</v>
      </c>
    </row>
    <row r="4" spans="1:6" x14ac:dyDescent="0.25">
      <c r="A4">
        <v>198</v>
      </c>
      <c r="B4">
        <v>745.34900000000005</v>
      </c>
      <c r="C4">
        <v>260.27</v>
      </c>
      <c r="D4">
        <v>1.32226</v>
      </c>
      <c r="E4">
        <v>1067.92</v>
      </c>
    </row>
    <row r="5" spans="1:6" x14ac:dyDescent="0.25">
      <c r="A5">
        <v>197</v>
      </c>
      <c r="B5">
        <v>745.34900000000005</v>
      </c>
      <c r="C5">
        <v>260.27</v>
      </c>
      <c r="D5">
        <v>1.32226</v>
      </c>
      <c r="E5">
        <v>1067.92</v>
      </c>
    </row>
    <row r="6" spans="1:6" x14ac:dyDescent="0.25">
      <c r="A6">
        <v>196</v>
      </c>
      <c r="B6">
        <v>745.34900000000005</v>
      </c>
      <c r="C6">
        <v>260.27</v>
      </c>
      <c r="D6">
        <v>1.32226</v>
      </c>
      <c r="E6">
        <v>1067.92</v>
      </c>
    </row>
    <row r="7" spans="1:6" x14ac:dyDescent="0.25">
      <c r="A7">
        <v>195</v>
      </c>
      <c r="B7">
        <v>745.34900000000005</v>
      </c>
      <c r="C7">
        <v>260.27</v>
      </c>
      <c r="D7">
        <v>1.32226</v>
      </c>
      <c r="E7">
        <v>1067.92</v>
      </c>
    </row>
    <row r="8" spans="1:6" x14ac:dyDescent="0.25">
      <c r="A8">
        <v>194</v>
      </c>
      <c r="B8">
        <v>745.34900000000005</v>
      </c>
      <c r="C8">
        <v>260.27</v>
      </c>
      <c r="D8">
        <v>1.32226</v>
      </c>
      <c r="E8">
        <v>1067.92</v>
      </c>
    </row>
    <row r="9" spans="1:6" x14ac:dyDescent="0.25">
      <c r="A9">
        <v>193</v>
      </c>
      <c r="B9">
        <v>745.34900000000005</v>
      </c>
      <c r="C9">
        <v>260.27</v>
      </c>
      <c r="D9">
        <v>1.32226</v>
      </c>
      <c r="E9">
        <v>1067.92</v>
      </c>
    </row>
    <row r="10" spans="1:6" x14ac:dyDescent="0.25">
      <c r="A10">
        <v>192</v>
      </c>
      <c r="B10">
        <v>745.34900000000005</v>
      </c>
      <c r="C10">
        <v>260.27</v>
      </c>
      <c r="D10">
        <v>1.32226</v>
      </c>
      <c r="E10">
        <v>1067.92</v>
      </c>
    </row>
    <row r="11" spans="1:6" x14ac:dyDescent="0.25">
      <c r="A11">
        <v>191</v>
      </c>
      <c r="B11">
        <v>745.34900000000005</v>
      </c>
      <c r="C11">
        <v>260.27</v>
      </c>
      <c r="D11">
        <v>1.32226</v>
      </c>
      <c r="E11">
        <v>1067.92</v>
      </c>
    </row>
    <row r="12" spans="1:6" x14ac:dyDescent="0.25">
      <c r="A12">
        <v>190</v>
      </c>
      <c r="B12">
        <v>745.34900000000005</v>
      </c>
      <c r="C12">
        <v>260.27</v>
      </c>
      <c r="D12">
        <v>1.32226</v>
      </c>
      <c r="E12">
        <v>1067.92</v>
      </c>
    </row>
    <row r="13" spans="1:6" x14ac:dyDescent="0.25">
      <c r="A13">
        <v>189</v>
      </c>
      <c r="B13">
        <v>745.34900000000005</v>
      </c>
      <c r="C13">
        <v>260.27</v>
      </c>
      <c r="D13">
        <v>1.32226</v>
      </c>
      <c r="E13">
        <v>1067.92</v>
      </c>
    </row>
    <row r="14" spans="1:6" x14ac:dyDescent="0.25">
      <c r="A14">
        <v>188</v>
      </c>
      <c r="B14">
        <v>745.34900000000005</v>
      </c>
      <c r="C14">
        <v>260.27</v>
      </c>
      <c r="D14">
        <v>1.32226</v>
      </c>
      <c r="E14">
        <v>1067.92</v>
      </c>
    </row>
    <row r="15" spans="1:6" x14ac:dyDescent="0.25">
      <c r="A15">
        <v>187</v>
      </c>
      <c r="B15">
        <v>745.34900000000005</v>
      </c>
      <c r="C15">
        <v>260.27</v>
      </c>
      <c r="D15">
        <v>1.32226</v>
      </c>
      <c r="E15">
        <v>1067.92</v>
      </c>
    </row>
    <row r="16" spans="1:6" x14ac:dyDescent="0.25">
      <c r="A16">
        <v>186</v>
      </c>
      <c r="B16">
        <v>745.34900000000005</v>
      </c>
      <c r="C16">
        <v>260.27</v>
      </c>
      <c r="D16">
        <v>1.32226</v>
      </c>
      <c r="E16">
        <v>1067.92</v>
      </c>
    </row>
    <row r="17" spans="1:5" x14ac:dyDescent="0.25">
      <c r="A17">
        <v>185</v>
      </c>
      <c r="B17">
        <v>745.34900000000005</v>
      </c>
      <c r="C17">
        <v>260.27</v>
      </c>
      <c r="D17">
        <v>1.32226</v>
      </c>
      <c r="E17">
        <v>1067.92</v>
      </c>
    </row>
    <row r="18" spans="1:5" x14ac:dyDescent="0.25">
      <c r="A18">
        <v>184</v>
      </c>
      <c r="B18">
        <v>745.34900000000005</v>
      </c>
      <c r="C18">
        <v>260.27</v>
      </c>
      <c r="D18">
        <v>1.32226</v>
      </c>
      <c r="E18">
        <v>1067.92</v>
      </c>
    </row>
    <row r="19" spans="1:5" x14ac:dyDescent="0.25">
      <c r="A19">
        <v>183</v>
      </c>
      <c r="B19">
        <v>745.34900000000005</v>
      </c>
      <c r="C19">
        <v>260.27</v>
      </c>
      <c r="D19">
        <v>1.32226</v>
      </c>
      <c r="E19">
        <v>1067.92</v>
      </c>
    </row>
    <row r="20" spans="1:5" x14ac:dyDescent="0.25">
      <c r="A20">
        <v>182</v>
      </c>
      <c r="B20">
        <v>745.34900000000005</v>
      </c>
      <c r="C20">
        <v>260.27</v>
      </c>
      <c r="D20">
        <v>1.32226</v>
      </c>
      <c r="E20">
        <v>1067.92</v>
      </c>
    </row>
    <row r="21" spans="1:5" x14ac:dyDescent="0.25">
      <c r="A21">
        <v>181</v>
      </c>
      <c r="B21">
        <v>745.34900000000005</v>
      </c>
      <c r="C21">
        <v>260.27</v>
      </c>
      <c r="D21">
        <v>1.32226</v>
      </c>
      <c r="E21">
        <v>1067.92</v>
      </c>
    </row>
    <row r="22" spans="1:5" x14ac:dyDescent="0.25">
      <c r="A22">
        <v>180</v>
      </c>
      <c r="B22">
        <v>745.34900000000005</v>
      </c>
      <c r="C22">
        <v>260.27</v>
      </c>
      <c r="D22">
        <v>1.32226</v>
      </c>
      <c r="E22">
        <v>1067.92</v>
      </c>
    </row>
    <row r="23" spans="1:5" x14ac:dyDescent="0.25">
      <c r="A23">
        <v>179</v>
      </c>
      <c r="B23">
        <v>745.34900000000005</v>
      </c>
      <c r="C23">
        <v>260.27</v>
      </c>
      <c r="D23">
        <v>1.32226</v>
      </c>
      <c r="E23">
        <v>1067.92</v>
      </c>
    </row>
    <row r="24" spans="1:5" x14ac:dyDescent="0.25">
      <c r="A24">
        <v>178</v>
      </c>
      <c r="B24">
        <v>745.34900000000005</v>
      </c>
      <c r="C24">
        <v>260.27</v>
      </c>
      <c r="D24">
        <v>1.32226</v>
      </c>
      <c r="E24">
        <v>1067.92</v>
      </c>
    </row>
    <row r="25" spans="1:5" x14ac:dyDescent="0.25">
      <c r="A25">
        <v>177</v>
      </c>
      <c r="B25">
        <v>745.34900000000005</v>
      </c>
      <c r="C25">
        <v>260.27</v>
      </c>
      <c r="D25">
        <v>1.32226</v>
      </c>
      <c r="E25">
        <v>1067.92</v>
      </c>
    </row>
    <row r="26" spans="1:5" x14ac:dyDescent="0.25">
      <c r="A26">
        <v>176</v>
      </c>
      <c r="B26">
        <v>745.34900000000005</v>
      </c>
      <c r="C26">
        <v>260.27</v>
      </c>
      <c r="D26">
        <v>1.32226</v>
      </c>
      <c r="E26">
        <v>1067.92</v>
      </c>
    </row>
    <row r="27" spans="1:5" x14ac:dyDescent="0.25">
      <c r="A27">
        <v>175</v>
      </c>
      <c r="B27">
        <v>745.34900000000005</v>
      </c>
      <c r="C27">
        <v>260.27</v>
      </c>
      <c r="D27">
        <v>1.32226</v>
      </c>
      <c r="E27">
        <v>1067.92</v>
      </c>
    </row>
    <row r="28" spans="1:5" x14ac:dyDescent="0.25">
      <c r="A28">
        <v>174</v>
      </c>
      <c r="B28">
        <v>745.34900000000005</v>
      </c>
      <c r="C28">
        <v>260.27</v>
      </c>
      <c r="D28">
        <v>1.32226</v>
      </c>
      <c r="E28">
        <v>1067.92</v>
      </c>
    </row>
    <row r="29" spans="1:5" x14ac:dyDescent="0.25">
      <c r="A29">
        <v>173</v>
      </c>
      <c r="B29">
        <v>745.34900000000005</v>
      </c>
      <c r="C29">
        <v>260.27</v>
      </c>
      <c r="D29">
        <v>1.32226</v>
      </c>
      <c r="E29">
        <v>1067.92</v>
      </c>
    </row>
    <row r="30" spans="1:5" x14ac:dyDescent="0.25">
      <c r="A30">
        <v>172</v>
      </c>
      <c r="B30">
        <v>745.34900000000005</v>
      </c>
      <c r="C30">
        <v>260.27</v>
      </c>
      <c r="D30">
        <v>1.32226</v>
      </c>
      <c r="E30">
        <v>1067.92</v>
      </c>
    </row>
    <row r="31" spans="1:5" x14ac:dyDescent="0.25">
      <c r="A31">
        <v>171</v>
      </c>
      <c r="B31">
        <v>745.34900000000005</v>
      </c>
      <c r="C31">
        <v>260.27</v>
      </c>
      <c r="D31">
        <v>1.32226</v>
      </c>
      <c r="E31">
        <v>1067.92</v>
      </c>
    </row>
    <row r="32" spans="1:5" x14ac:dyDescent="0.25">
      <c r="A32">
        <v>170</v>
      </c>
      <c r="B32">
        <v>745.34900000000005</v>
      </c>
      <c r="C32">
        <v>260.27</v>
      </c>
      <c r="D32">
        <v>1.32226</v>
      </c>
      <c r="E32">
        <v>1067.92</v>
      </c>
    </row>
    <row r="33" spans="1:5" x14ac:dyDescent="0.25">
      <c r="A33">
        <v>169</v>
      </c>
      <c r="B33">
        <v>745.34900000000005</v>
      </c>
      <c r="C33">
        <v>260.27</v>
      </c>
      <c r="D33">
        <v>1.32226</v>
      </c>
      <c r="E33">
        <v>1067.92</v>
      </c>
    </row>
    <row r="34" spans="1:5" x14ac:dyDescent="0.25">
      <c r="A34">
        <v>168</v>
      </c>
      <c r="B34">
        <v>745.34900000000005</v>
      </c>
      <c r="C34">
        <v>260.27</v>
      </c>
      <c r="D34">
        <v>1.32226</v>
      </c>
      <c r="E34">
        <v>1067.92</v>
      </c>
    </row>
    <row r="35" spans="1:5" x14ac:dyDescent="0.25">
      <c r="A35">
        <v>167</v>
      </c>
      <c r="B35">
        <v>745.34900000000005</v>
      </c>
      <c r="C35">
        <v>260.27</v>
      </c>
      <c r="D35">
        <v>1.32226</v>
      </c>
      <c r="E35">
        <v>1067.92</v>
      </c>
    </row>
    <row r="36" spans="1:5" x14ac:dyDescent="0.25">
      <c r="A36">
        <v>166</v>
      </c>
      <c r="B36">
        <v>745.34900000000005</v>
      </c>
      <c r="C36">
        <v>260.27</v>
      </c>
      <c r="D36">
        <v>1.32226</v>
      </c>
      <c r="E36">
        <v>1067.92</v>
      </c>
    </row>
    <row r="37" spans="1:5" x14ac:dyDescent="0.25">
      <c r="A37">
        <v>165</v>
      </c>
      <c r="B37">
        <v>745.34900000000005</v>
      </c>
      <c r="C37">
        <v>260.27</v>
      </c>
      <c r="D37">
        <v>1.32226</v>
      </c>
      <c r="E37">
        <v>1067.92</v>
      </c>
    </row>
    <row r="38" spans="1:5" x14ac:dyDescent="0.25">
      <c r="A38">
        <v>164</v>
      </c>
      <c r="B38">
        <v>745.34900000000005</v>
      </c>
      <c r="C38">
        <v>260.27</v>
      </c>
      <c r="D38">
        <v>1.32226</v>
      </c>
      <c r="E38">
        <v>1067.92</v>
      </c>
    </row>
    <row r="39" spans="1:5" x14ac:dyDescent="0.25">
      <c r="A39">
        <v>163</v>
      </c>
      <c r="B39">
        <v>745.34900000000005</v>
      </c>
      <c r="C39">
        <v>260.27</v>
      </c>
      <c r="D39">
        <v>1.32226</v>
      </c>
      <c r="E39">
        <v>1067.92</v>
      </c>
    </row>
    <row r="40" spans="1:5" x14ac:dyDescent="0.25">
      <c r="A40">
        <v>162</v>
      </c>
      <c r="B40">
        <v>745.34900000000005</v>
      </c>
      <c r="C40">
        <v>260.27</v>
      </c>
      <c r="D40">
        <v>1.32226</v>
      </c>
      <c r="E40">
        <v>1067.92</v>
      </c>
    </row>
    <row r="41" spans="1:5" x14ac:dyDescent="0.25">
      <c r="A41">
        <v>161</v>
      </c>
      <c r="B41">
        <v>745.34900000000005</v>
      </c>
      <c r="C41">
        <v>260.27</v>
      </c>
      <c r="D41">
        <v>1.32226</v>
      </c>
      <c r="E41">
        <v>1067.92</v>
      </c>
    </row>
    <row r="42" spans="1:5" x14ac:dyDescent="0.25">
      <c r="A42">
        <v>160</v>
      </c>
      <c r="B42">
        <v>745.34900000000005</v>
      </c>
      <c r="C42">
        <v>260.27</v>
      </c>
      <c r="D42">
        <v>1.32226</v>
      </c>
      <c r="E42">
        <v>1067.92</v>
      </c>
    </row>
    <row r="43" spans="1:5" x14ac:dyDescent="0.25">
      <c r="A43">
        <v>159</v>
      </c>
      <c r="B43">
        <v>745.34900000000005</v>
      </c>
      <c r="C43">
        <v>260.27</v>
      </c>
      <c r="D43">
        <v>1.32226</v>
      </c>
      <c r="E43">
        <v>1067.92</v>
      </c>
    </row>
    <row r="44" spans="1:5" x14ac:dyDescent="0.25">
      <c r="A44">
        <v>158</v>
      </c>
      <c r="B44">
        <v>745.34900000000005</v>
      </c>
      <c r="C44">
        <v>260.27</v>
      </c>
      <c r="D44">
        <v>1.32226</v>
      </c>
      <c r="E44">
        <v>1067.92</v>
      </c>
    </row>
    <row r="45" spans="1:5" x14ac:dyDescent="0.25">
      <c r="A45">
        <v>157</v>
      </c>
      <c r="B45">
        <v>745.34900000000005</v>
      </c>
      <c r="C45">
        <v>260.27</v>
      </c>
      <c r="D45">
        <v>1.32226</v>
      </c>
      <c r="E45">
        <v>1067.92</v>
      </c>
    </row>
    <row r="46" spans="1:5" x14ac:dyDescent="0.25">
      <c r="A46">
        <v>156</v>
      </c>
      <c r="B46">
        <v>745.34900000000005</v>
      </c>
      <c r="C46">
        <v>260.27</v>
      </c>
      <c r="D46">
        <v>1.32226</v>
      </c>
      <c r="E46">
        <v>1067.92</v>
      </c>
    </row>
    <row r="47" spans="1:5" x14ac:dyDescent="0.25">
      <c r="A47">
        <v>155</v>
      </c>
      <c r="B47">
        <v>745.34900000000005</v>
      </c>
      <c r="C47">
        <v>260.27</v>
      </c>
      <c r="D47">
        <v>1.32226</v>
      </c>
      <c r="E47">
        <v>1067.92</v>
      </c>
    </row>
    <row r="48" spans="1:5" x14ac:dyDescent="0.25">
      <c r="A48">
        <v>154</v>
      </c>
      <c r="B48">
        <v>745.34900000000005</v>
      </c>
      <c r="C48">
        <v>260.27</v>
      </c>
      <c r="D48">
        <v>1.32226</v>
      </c>
      <c r="E48">
        <v>1067.92</v>
      </c>
    </row>
    <row r="49" spans="1:5" x14ac:dyDescent="0.25">
      <c r="A49">
        <v>153</v>
      </c>
      <c r="B49">
        <v>745.34900000000005</v>
      </c>
      <c r="C49">
        <v>260.27</v>
      </c>
      <c r="D49">
        <v>1.32226</v>
      </c>
      <c r="E49">
        <v>1067.92</v>
      </c>
    </row>
    <row r="50" spans="1:5" x14ac:dyDescent="0.25">
      <c r="A50">
        <v>152</v>
      </c>
      <c r="B50">
        <v>745.34900000000005</v>
      </c>
      <c r="C50">
        <v>260.27</v>
      </c>
      <c r="D50">
        <v>1.32226</v>
      </c>
      <c r="E50">
        <v>1067.92</v>
      </c>
    </row>
    <row r="51" spans="1:5" x14ac:dyDescent="0.25">
      <c r="A51">
        <v>151</v>
      </c>
      <c r="B51">
        <v>745.34900000000005</v>
      </c>
      <c r="C51">
        <v>260.27</v>
      </c>
      <c r="D51">
        <v>1.32226</v>
      </c>
      <c r="E51">
        <v>1067.92</v>
      </c>
    </row>
    <row r="52" spans="1:5" x14ac:dyDescent="0.25">
      <c r="A52">
        <v>150</v>
      </c>
      <c r="B52">
        <v>745.34900000000005</v>
      </c>
      <c r="C52">
        <v>260.27</v>
      </c>
      <c r="D52">
        <v>1.32226</v>
      </c>
      <c r="E52">
        <v>1067.92</v>
      </c>
    </row>
    <row r="53" spans="1:5" x14ac:dyDescent="0.25">
      <c r="A53">
        <v>149</v>
      </c>
      <c r="B53">
        <v>745.34900000000005</v>
      </c>
      <c r="C53">
        <v>260.27</v>
      </c>
      <c r="D53">
        <v>1.32226</v>
      </c>
      <c r="E53">
        <v>1067.92</v>
      </c>
    </row>
    <row r="54" spans="1:5" x14ac:dyDescent="0.25">
      <c r="A54">
        <v>148</v>
      </c>
      <c r="B54">
        <v>745.34900000000005</v>
      </c>
      <c r="C54">
        <v>260.27</v>
      </c>
      <c r="D54">
        <v>1.32226</v>
      </c>
      <c r="E54">
        <v>1067.92</v>
      </c>
    </row>
    <row r="55" spans="1:5" x14ac:dyDescent="0.25">
      <c r="A55">
        <v>147</v>
      </c>
      <c r="B55">
        <v>745.34900000000005</v>
      </c>
      <c r="C55">
        <v>260.27</v>
      </c>
      <c r="D55">
        <v>1.32226</v>
      </c>
      <c r="E55">
        <v>1067.92</v>
      </c>
    </row>
    <row r="56" spans="1:5" x14ac:dyDescent="0.25">
      <c r="A56">
        <v>146</v>
      </c>
      <c r="B56">
        <v>745.34900000000005</v>
      </c>
      <c r="C56">
        <v>260.27</v>
      </c>
      <c r="D56">
        <v>1.32226</v>
      </c>
      <c r="E56">
        <v>1067.92</v>
      </c>
    </row>
    <row r="57" spans="1:5" x14ac:dyDescent="0.25">
      <c r="A57">
        <v>145</v>
      </c>
      <c r="B57">
        <v>745.34900000000005</v>
      </c>
      <c r="C57">
        <v>260.27</v>
      </c>
      <c r="D57">
        <v>1.32226</v>
      </c>
      <c r="E57">
        <v>1067.92</v>
      </c>
    </row>
    <row r="58" spans="1:5" x14ac:dyDescent="0.25">
      <c r="A58">
        <v>144</v>
      </c>
      <c r="B58">
        <v>745.34900000000005</v>
      </c>
      <c r="C58">
        <v>260.27</v>
      </c>
      <c r="D58">
        <v>1.32226</v>
      </c>
      <c r="E58">
        <v>1067.92</v>
      </c>
    </row>
    <row r="59" spans="1:5" x14ac:dyDescent="0.25">
      <c r="A59">
        <v>143</v>
      </c>
      <c r="B59">
        <v>745.34900000000005</v>
      </c>
      <c r="C59">
        <v>260.27</v>
      </c>
      <c r="D59">
        <v>1.32226</v>
      </c>
      <c r="E59">
        <v>1067.92</v>
      </c>
    </row>
    <row r="60" spans="1:5" x14ac:dyDescent="0.25">
      <c r="A60">
        <v>142</v>
      </c>
      <c r="B60">
        <v>745.34900000000005</v>
      </c>
      <c r="C60">
        <v>260.27</v>
      </c>
      <c r="D60">
        <v>1.32226</v>
      </c>
      <c r="E60">
        <v>1067.92</v>
      </c>
    </row>
    <row r="61" spans="1:5" x14ac:dyDescent="0.25">
      <c r="A61">
        <v>141</v>
      </c>
      <c r="B61">
        <v>745.34900000000005</v>
      </c>
      <c r="C61">
        <v>260.27</v>
      </c>
      <c r="D61">
        <v>1.32226</v>
      </c>
      <c r="E61">
        <v>1067.92</v>
      </c>
    </row>
    <row r="62" spans="1:5" x14ac:dyDescent="0.25">
      <c r="A62">
        <v>140</v>
      </c>
      <c r="B62">
        <v>745.34900000000005</v>
      </c>
      <c r="C62">
        <v>260.27</v>
      </c>
      <c r="D62">
        <v>1.32226</v>
      </c>
      <c r="E62">
        <v>1067.92</v>
      </c>
    </row>
    <row r="63" spans="1:5" x14ac:dyDescent="0.25">
      <c r="A63">
        <v>139</v>
      </c>
      <c r="B63">
        <v>745.34900000000005</v>
      </c>
      <c r="C63">
        <v>260.27</v>
      </c>
      <c r="D63">
        <v>1.32226</v>
      </c>
      <c r="E63">
        <v>1067.92</v>
      </c>
    </row>
    <row r="64" spans="1:5" x14ac:dyDescent="0.25">
      <c r="A64">
        <v>138</v>
      </c>
      <c r="B64">
        <v>745.34900000000005</v>
      </c>
      <c r="C64">
        <v>260.27</v>
      </c>
      <c r="D64">
        <v>1.32226</v>
      </c>
      <c r="E64">
        <v>1067.92</v>
      </c>
    </row>
    <row r="65" spans="1:5" x14ac:dyDescent="0.25">
      <c r="A65">
        <v>137</v>
      </c>
      <c r="B65">
        <v>745.34900000000005</v>
      </c>
      <c r="C65">
        <v>260.27</v>
      </c>
      <c r="D65">
        <v>1.32226</v>
      </c>
      <c r="E65">
        <v>1067.92</v>
      </c>
    </row>
    <row r="66" spans="1:5" x14ac:dyDescent="0.25">
      <c r="A66">
        <v>136</v>
      </c>
      <c r="B66">
        <v>745.34900000000005</v>
      </c>
      <c r="C66">
        <v>260.27</v>
      </c>
      <c r="D66">
        <v>1.32226</v>
      </c>
      <c r="E66">
        <v>1067.92</v>
      </c>
    </row>
    <row r="67" spans="1:5" x14ac:dyDescent="0.25">
      <c r="A67">
        <v>135</v>
      </c>
      <c r="B67">
        <v>745.34900000000005</v>
      </c>
      <c r="C67">
        <v>260.27</v>
      </c>
      <c r="D67">
        <v>1.32226</v>
      </c>
      <c r="E67">
        <v>1067.92</v>
      </c>
    </row>
    <row r="68" spans="1:5" x14ac:dyDescent="0.25">
      <c r="A68">
        <v>134</v>
      </c>
      <c r="B68">
        <v>745.34900000000005</v>
      </c>
      <c r="C68">
        <v>260.27</v>
      </c>
      <c r="D68">
        <v>1.32226</v>
      </c>
      <c r="E68">
        <v>1067.92</v>
      </c>
    </row>
    <row r="69" spans="1:5" x14ac:dyDescent="0.25">
      <c r="A69">
        <v>133</v>
      </c>
      <c r="B69">
        <v>745.34900000000005</v>
      </c>
      <c r="C69">
        <v>260.27</v>
      </c>
      <c r="D69">
        <v>1.32226</v>
      </c>
      <c r="E69">
        <v>1067.92</v>
      </c>
    </row>
    <row r="70" spans="1:5" x14ac:dyDescent="0.25">
      <c r="A70">
        <v>132</v>
      </c>
      <c r="B70">
        <v>745.34900000000005</v>
      </c>
      <c r="C70">
        <v>260.27</v>
      </c>
      <c r="D70">
        <v>1.32226</v>
      </c>
      <c r="E70">
        <v>1067.92</v>
      </c>
    </row>
    <row r="71" spans="1:5" x14ac:dyDescent="0.25">
      <c r="A71">
        <v>131</v>
      </c>
      <c r="B71">
        <v>745.34900000000005</v>
      </c>
      <c r="C71">
        <v>260.27</v>
      </c>
      <c r="D71">
        <v>1.32226</v>
      </c>
      <c r="E71">
        <v>1067.92</v>
      </c>
    </row>
    <row r="72" spans="1:5" x14ac:dyDescent="0.25">
      <c r="A72">
        <v>130</v>
      </c>
      <c r="B72">
        <v>745.34900000000005</v>
      </c>
      <c r="C72">
        <v>260.27</v>
      </c>
      <c r="D72">
        <v>1.32226</v>
      </c>
      <c r="E72">
        <v>1067.92</v>
      </c>
    </row>
    <row r="73" spans="1:5" x14ac:dyDescent="0.25">
      <c r="A73">
        <v>129</v>
      </c>
      <c r="B73">
        <v>745.34900000000005</v>
      </c>
      <c r="C73">
        <v>260.27</v>
      </c>
      <c r="D73">
        <v>1.32226</v>
      </c>
      <c r="E73">
        <v>1067.92</v>
      </c>
    </row>
    <row r="74" spans="1:5" x14ac:dyDescent="0.25">
      <c r="A74">
        <v>128</v>
      </c>
      <c r="B74">
        <v>745.34900000000005</v>
      </c>
      <c r="C74">
        <v>260.27</v>
      </c>
      <c r="D74">
        <v>1.32226</v>
      </c>
      <c r="E74">
        <v>1067.92</v>
      </c>
    </row>
    <row r="75" spans="1:5" x14ac:dyDescent="0.25">
      <c r="A75">
        <v>127</v>
      </c>
      <c r="B75">
        <v>745.34900000000005</v>
      </c>
      <c r="C75">
        <v>260.27</v>
      </c>
      <c r="D75">
        <v>1.32226</v>
      </c>
      <c r="E75">
        <v>1067.92</v>
      </c>
    </row>
    <row r="76" spans="1:5" x14ac:dyDescent="0.25">
      <c r="A76">
        <v>126</v>
      </c>
      <c r="B76">
        <v>745.34900000000005</v>
      </c>
      <c r="C76">
        <v>260.27</v>
      </c>
      <c r="D76">
        <v>1.32226</v>
      </c>
      <c r="E76">
        <v>1067.92</v>
      </c>
    </row>
    <row r="77" spans="1:5" x14ac:dyDescent="0.25">
      <c r="A77">
        <v>125</v>
      </c>
      <c r="B77">
        <v>745.34900000000005</v>
      </c>
      <c r="C77">
        <v>260.27</v>
      </c>
      <c r="D77">
        <v>1.32226</v>
      </c>
      <c r="E77">
        <v>1067.92</v>
      </c>
    </row>
    <row r="78" spans="1:5" x14ac:dyDescent="0.25">
      <c r="A78">
        <v>124</v>
      </c>
      <c r="B78">
        <v>745.34900000000005</v>
      </c>
      <c r="C78">
        <v>260.27</v>
      </c>
      <c r="D78">
        <v>1.32226</v>
      </c>
      <c r="E78">
        <v>1067.92</v>
      </c>
    </row>
    <row r="79" spans="1:5" x14ac:dyDescent="0.25">
      <c r="A79">
        <v>123</v>
      </c>
      <c r="B79">
        <v>745.34900000000005</v>
      </c>
      <c r="C79">
        <v>260.27</v>
      </c>
      <c r="D79">
        <v>1.32226</v>
      </c>
      <c r="E79">
        <v>1067.92</v>
      </c>
    </row>
    <row r="80" spans="1:5" x14ac:dyDescent="0.25">
      <c r="A80">
        <v>122</v>
      </c>
      <c r="B80">
        <v>745.34900000000005</v>
      </c>
      <c r="C80">
        <v>260.27</v>
      </c>
      <c r="D80">
        <v>1.32226</v>
      </c>
      <c r="E80">
        <v>1067.92</v>
      </c>
    </row>
    <row r="81" spans="1:5" x14ac:dyDescent="0.25">
      <c r="A81">
        <v>121</v>
      </c>
      <c r="B81">
        <v>745.34900000000005</v>
      </c>
      <c r="C81">
        <v>260.27</v>
      </c>
      <c r="D81">
        <v>1.32226</v>
      </c>
      <c r="E81">
        <v>1067.92</v>
      </c>
    </row>
    <row r="82" spans="1:5" x14ac:dyDescent="0.25">
      <c r="A82">
        <v>120</v>
      </c>
      <c r="B82">
        <v>745.34900000000005</v>
      </c>
      <c r="C82">
        <v>260.27</v>
      </c>
      <c r="D82">
        <v>1.32226</v>
      </c>
      <c r="E82">
        <v>1067.92</v>
      </c>
    </row>
    <row r="83" spans="1:5" x14ac:dyDescent="0.25">
      <c r="A83">
        <v>119</v>
      </c>
      <c r="B83">
        <v>745.34900000000005</v>
      </c>
      <c r="C83">
        <v>260.27</v>
      </c>
      <c r="D83">
        <v>1.32226</v>
      </c>
      <c r="E83">
        <v>1067.92</v>
      </c>
    </row>
    <row r="84" spans="1:5" x14ac:dyDescent="0.25">
      <c r="A84">
        <v>118</v>
      </c>
      <c r="B84">
        <v>745.34900000000005</v>
      </c>
      <c r="C84">
        <v>260.27</v>
      </c>
      <c r="D84">
        <v>1.32226</v>
      </c>
      <c r="E84">
        <v>1067.92</v>
      </c>
    </row>
    <row r="85" spans="1:5" x14ac:dyDescent="0.25">
      <c r="A85">
        <v>117</v>
      </c>
      <c r="B85">
        <v>745.34900000000005</v>
      </c>
      <c r="C85">
        <v>260.27</v>
      </c>
      <c r="D85">
        <v>1.32226</v>
      </c>
      <c r="E85">
        <v>1067.92</v>
      </c>
    </row>
    <row r="86" spans="1:5" x14ac:dyDescent="0.25">
      <c r="A86">
        <v>116</v>
      </c>
      <c r="B86">
        <v>745.34900000000005</v>
      </c>
      <c r="C86">
        <v>260.27</v>
      </c>
      <c r="D86">
        <v>1.32226</v>
      </c>
      <c r="E86">
        <v>1067.92</v>
      </c>
    </row>
    <row r="87" spans="1:5" x14ac:dyDescent="0.25">
      <c r="A87">
        <v>115</v>
      </c>
      <c r="B87">
        <v>745.34900000000005</v>
      </c>
      <c r="C87">
        <v>260.27</v>
      </c>
      <c r="D87">
        <v>1.32226</v>
      </c>
      <c r="E87">
        <v>1067.92</v>
      </c>
    </row>
    <row r="88" spans="1:5" x14ac:dyDescent="0.25">
      <c r="A88">
        <v>114</v>
      </c>
      <c r="B88">
        <v>745.34900000000005</v>
      </c>
      <c r="C88">
        <v>260.27</v>
      </c>
      <c r="D88">
        <v>1.32226</v>
      </c>
      <c r="E88">
        <v>1067.92</v>
      </c>
    </row>
    <row r="89" spans="1:5" x14ac:dyDescent="0.25">
      <c r="A89">
        <v>113</v>
      </c>
      <c r="B89">
        <v>745.34900000000005</v>
      </c>
      <c r="C89">
        <v>260.27</v>
      </c>
      <c r="D89">
        <v>1.32226</v>
      </c>
      <c r="E89">
        <v>1067.92</v>
      </c>
    </row>
    <row r="90" spans="1:5" x14ac:dyDescent="0.25">
      <c r="A90">
        <v>112</v>
      </c>
      <c r="B90">
        <v>745.34900000000005</v>
      </c>
      <c r="C90">
        <v>260.27</v>
      </c>
      <c r="D90">
        <v>1.32226</v>
      </c>
      <c r="E90">
        <v>1067.92</v>
      </c>
    </row>
    <row r="91" spans="1:5" x14ac:dyDescent="0.25">
      <c r="A91">
        <v>111</v>
      </c>
      <c r="B91">
        <v>745.34900000000005</v>
      </c>
      <c r="C91">
        <v>260.27</v>
      </c>
      <c r="D91">
        <v>1.32226</v>
      </c>
      <c r="E91">
        <v>1067.92</v>
      </c>
    </row>
    <row r="92" spans="1:5" x14ac:dyDescent="0.25">
      <c r="A92">
        <v>110</v>
      </c>
      <c r="B92">
        <v>745.34900000000005</v>
      </c>
      <c r="C92">
        <v>260.27</v>
      </c>
      <c r="D92">
        <v>1.32226</v>
      </c>
      <c r="E92">
        <v>1067.92</v>
      </c>
    </row>
    <row r="93" spans="1:5" x14ac:dyDescent="0.25">
      <c r="A93">
        <v>109</v>
      </c>
      <c r="B93">
        <v>745.34900000000005</v>
      </c>
      <c r="C93">
        <v>260.27</v>
      </c>
      <c r="D93">
        <v>1.32226</v>
      </c>
      <c r="E93">
        <v>1067.92</v>
      </c>
    </row>
    <row r="94" spans="1:5" x14ac:dyDescent="0.25">
      <c r="A94">
        <v>108</v>
      </c>
      <c r="B94">
        <v>745.34900000000005</v>
      </c>
      <c r="C94">
        <v>260.27</v>
      </c>
      <c r="D94">
        <v>1.32226</v>
      </c>
      <c r="E94">
        <v>1067.92</v>
      </c>
    </row>
    <row r="95" spans="1:5" x14ac:dyDescent="0.25">
      <c r="A95">
        <v>107</v>
      </c>
      <c r="B95">
        <v>745.34900000000005</v>
      </c>
      <c r="C95">
        <v>260.27</v>
      </c>
      <c r="D95">
        <v>1.32226</v>
      </c>
      <c r="E95">
        <v>1067.92</v>
      </c>
    </row>
    <row r="96" spans="1:5" x14ac:dyDescent="0.25">
      <c r="A96">
        <v>106</v>
      </c>
      <c r="B96">
        <v>745.34900000000005</v>
      </c>
      <c r="C96">
        <v>260.27</v>
      </c>
      <c r="D96">
        <v>1.32226</v>
      </c>
      <c r="E96">
        <v>1067.92</v>
      </c>
    </row>
    <row r="97" spans="1:5" x14ac:dyDescent="0.25">
      <c r="A97">
        <v>105</v>
      </c>
      <c r="B97">
        <v>745.34900000000005</v>
      </c>
      <c r="C97">
        <v>260.27</v>
      </c>
      <c r="D97">
        <v>1.32226</v>
      </c>
      <c r="E97">
        <v>1067.92</v>
      </c>
    </row>
    <row r="98" spans="1:5" x14ac:dyDescent="0.25">
      <c r="A98">
        <v>104</v>
      </c>
      <c r="B98">
        <v>745.34900000000005</v>
      </c>
      <c r="C98">
        <v>260.27</v>
      </c>
      <c r="D98">
        <v>1.32226</v>
      </c>
      <c r="E98">
        <v>1067.92</v>
      </c>
    </row>
    <row r="99" spans="1:5" x14ac:dyDescent="0.25">
      <c r="A99">
        <v>103</v>
      </c>
      <c r="B99">
        <v>745.34900000000005</v>
      </c>
      <c r="C99">
        <v>260.27</v>
      </c>
      <c r="D99">
        <v>1.32226</v>
      </c>
      <c r="E99">
        <v>1067.92</v>
      </c>
    </row>
    <row r="100" spans="1:5" x14ac:dyDescent="0.25">
      <c r="A100">
        <v>102</v>
      </c>
      <c r="B100">
        <v>745.34900000000005</v>
      </c>
      <c r="C100">
        <v>260.27</v>
      </c>
      <c r="D100">
        <v>1.32226</v>
      </c>
      <c r="E100">
        <v>1067.92</v>
      </c>
    </row>
    <row r="101" spans="1:5" x14ac:dyDescent="0.25">
      <c r="A101">
        <v>101</v>
      </c>
      <c r="B101">
        <v>745.34900000000005</v>
      </c>
      <c r="C101">
        <v>260.27</v>
      </c>
      <c r="D101">
        <v>1.32226</v>
      </c>
      <c r="E101">
        <v>1067.92</v>
      </c>
    </row>
    <row r="102" spans="1:5" x14ac:dyDescent="0.25">
      <c r="A102">
        <v>100</v>
      </c>
      <c r="B102">
        <v>745.34900000000005</v>
      </c>
      <c r="C102">
        <v>260.27</v>
      </c>
      <c r="D102">
        <v>1.32226</v>
      </c>
      <c r="E102">
        <v>1067.92</v>
      </c>
    </row>
    <row r="103" spans="1:5" x14ac:dyDescent="0.25">
      <c r="A103">
        <v>99</v>
      </c>
      <c r="B103">
        <v>745.34900000000005</v>
      </c>
      <c r="C103">
        <v>260.27</v>
      </c>
      <c r="D103">
        <v>1.32226</v>
      </c>
      <c r="E103">
        <v>1067.92</v>
      </c>
    </row>
    <row r="104" spans="1:5" x14ac:dyDescent="0.25">
      <c r="A104">
        <v>98</v>
      </c>
      <c r="B104">
        <v>745.34900000000005</v>
      </c>
      <c r="C104">
        <v>260.27</v>
      </c>
      <c r="D104">
        <v>1.32226</v>
      </c>
      <c r="E104">
        <v>1067.92</v>
      </c>
    </row>
    <row r="105" spans="1:5" x14ac:dyDescent="0.25">
      <c r="A105">
        <v>97</v>
      </c>
      <c r="B105">
        <v>745.34900000000005</v>
      </c>
      <c r="C105">
        <v>260.27</v>
      </c>
      <c r="D105">
        <v>1.32226</v>
      </c>
      <c r="E105">
        <v>1067.92</v>
      </c>
    </row>
    <row r="106" spans="1:5" x14ac:dyDescent="0.25">
      <c r="A106">
        <v>96</v>
      </c>
      <c r="B106">
        <v>745.34900000000005</v>
      </c>
      <c r="C106">
        <v>260.27</v>
      </c>
      <c r="D106">
        <v>1.32226</v>
      </c>
      <c r="E106">
        <v>1067.92</v>
      </c>
    </row>
    <row r="107" spans="1:5" x14ac:dyDescent="0.25">
      <c r="A107">
        <v>95</v>
      </c>
      <c r="B107">
        <v>745.34900000000005</v>
      </c>
      <c r="C107">
        <v>260.27</v>
      </c>
      <c r="D107">
        <v>1.32226</v>
      </c>
      <c r="E107">
        <v>1067.92</v>
      </c>
    </row>
    <row r="108" spans="1:5" x14ac:dyDescent="0.25">
      <c r="A108">
        <v>94</v>
      </c>
      <c r="B108">
        <v>745.34900000000005</v>
      </c>
      <c r="C108">
        <v>260.27</v>
      </c>
      <c r="D108">
        <v>1.32226</v>
      </c>
      <c r="E108">
        <v>1067.92</v>
      </c>
    </row>
    <row r="109" spans="1:5" x14ac:dyDescent="0.25">
      <c r="A109">
        <v>93</v>
      </c>
      <c r="B109">
        <v>745.34900000000005</v>
      </c>
      <c r="C109">
        <v>260.27</v>
      </c>
      <c r="D109">
        <v>1.32226</v>
      </c>
      <c r="E109">
        <v>1067.92</v>
      </c>
    </row>
    <row r="110" spans="1:5" x14ac:dyDescent="0.25">
      <c r="A110">
        <v>92</v>
      </c>
      <c r="B110">
        <v>745.34900000000005</v>
      </c>
      <c r="C110">
        <v>260.27</v>
      </c>
      <c r="D110">
        <v>1.32226</v>
      </c>
      <c r="E110">
        <v>1067.92</v>
      </c>
    </row>
    <row r="111" spans="1:5" x14ac:dyDescent="0.25">
      <c r="A111">
        <v>91</v>
      </c>
      <c r="B111">
        <v>745.34900000000005</v>
      </c>
      <c r="C111">
        <v>260.27</v>
      </c>
      <c r="D111">
        <v>1.32226</v>
      </c>
      <c r="E111">
        <v>1067.92</v>
      </c>
    </row>
    <row r="112" spans="1:5" x14ac:dyDescent="0.25">
      <c r="A112">
        <v>90</v>
      </c>
      <c r="B112">
        <v>745.34900000000005</v>
      </c>
      <c r="C112">
        <v>260.27</v>
      </c>
      <c r="D112">
        <v>1.32226</v>
      </c>
      <c r="E112">
        <v>1067.92</v>
      </c>
    </row>
    <row r="113" spans="1:5" x14ac:dyDescent="0.25">
      <c r="A113">
        <v>89</v>
      </c>
      <c r="B113">
        <v>745.34900000000005</v>
      </c>
      <c r="C113">
        <v>260.27</v>
      </c>
      <c r="D113">
        <v>1.32226</v>
      </c>
      <c r="E113">
        <v>1067.92</v>
      </c>
    </row>
    <row r="114" spans="1:5" x14ac:dyDescent="0.25">
      <c r="A114">
        <v>88</v>
      </c>
      <c r="B114">
        <v>745.34900000000005</v>
      </c>
      <c r="C114">
        <v>260.27</v>
      </c>
      <c r="D114">
        <v>1.32226</v>
      </c>
      <c r="E114">
        <v>1067.92</v>
      </c>
    </row>
    <row r="115" spans="1:5" x14ac:dyDescent="0.25">
      <c r="A115">
        <v>87</v>
      </c>
      <c r="B115">
        <v>745.34900000000005</v>
      </c>
      <c r="C115">
        <v>260.27</v>
      </c>
      <c r="D115">
        <v>1.32226</v>
      </c>
      <c r="E115">
        <v>1067.92</v>
      </c>
    </row>
    <row r="116" spans="1:5" x14ac:dyDescent="0.25">
      <c r="A116">
        <v>86</v>
      </c>
      <c r="B116">
        <v>745.34900000000005</v>
      </c>
      <c r="C116">
        <v>260.27</v>
      </c>
      <c r="D116">
        <v>1.32226</v>
      </c>
      <c r="E116">
        <v>1067.92</v>
      </c>
    </row>
    <row r="117" spans="1:5" x14ac:dyDescent="0.25">
      <c r="A117">
        <v>85</v>
      </c>
      <c r="B117">
        <v>745.34900000000005</v>
      </c>
      <c r="C117">
        <v>260.27</v>
      </c>
      <c r="D117">
        <v>1.32226</v>
      </c>
      <c r="E117">
        <v>1067.92</v>
      </c>
    </row>
    <row r="118" spans="1:5" x14ac:dyDescent="0.25">
      <c r="A118">
        <v>84</v>
      </c>
      <c r="B118">
        <v>745.34900000000005</v>
      </c>
      <c r="C118">
        <v>260.27</v>
      </c>
      <c r="D118">
        <v>1.32226</v>
      </c>
      <c r="E118">
        <v>1067.92</v>
      </c>
    </row>
    <row r="119" spans="1:5" x14ac:dyDescent="0.25">
      <c r="A119">
        <v>83</v>
      </c>
      <c r="B119">
        <v>745.34900000000005</v>
      </c>
      <c r="C119">
        <v>260.27</v>
      </c>
      <c r="D119">
        <v>1.32226</v>
      </c>
      <c r="E119">
        <v>1067.92</v>
      </c>
    </row>
    <row r="120" spans="1:5" x14ac:dyDescent="0.25">
      <c r="A120">
        <v>82</v>
      </c>
      <c r="B120">
        <v>745.34900000000005</v>
      </c>
      <c r="C120">
        <v>260.27</v>
      </c>
      <c r="D120">
        <v>1.32226</v>
      </c>
      <c r="E120">
        <v>1067.92</v>
      </c>
    </row>
    <row r="121" spans="1:5" x14ac:dyDescent="0.25">
      <c r="A121">
        <v>81</v>
      </c>
      <c r="B121">
        <v>745.34900000000005</v>
      </c>
      <c r="C121">
        <v>260.27</v>
      </c>
      <c r="D121">
        <v>1.32226</v>
      </c>
      <c r="E121">
        <v>1067.92</v>
      </c>
    </row>
    <row r="122" spans="1:5" x14ac:dyDescent="0.25">
      <c r="A122">
        <v>80</v>
      </c>
      <c r="B122">
        <v>745.34900000000005</v>
      </c>
      <c r="C122">
        <v>260.27</v>
      </c>
      <c r="D122">
        <v>1.32226</v>
      </c>
      <c r="E122">
        <v>1067.92</v>
      </c>
    </row>
    <row r="123" spans="1:5" x14ac:dyDescent="0.25">
      <c r="A123">
        <v>79</v>
      </c>
      <c r="B123">
        <v>745.34900000000005</v>
      </c>
      <c r="C123">
        <v>260.27</v>
      </c>
      <c r="D123">
        <v>1.32226</v>
      </c>
      <c r="E123">
        <v>1067.92</v>
      </c>
    </row>
    <row r="124" spans="1:5" x14ac:dyDescent="0.25">
      <c r="A124">
        <v>78</v>
      </c>
      <c r="B124">
        <v>745.34900000000005</v>
      </c>
      <c r="C124">
        <v>260.27</v>
      </c>
      <c r="D124">
        <v>1.32226</v>
      </c>
      <c r="E124">
        <v>1067.92</v>
      </c>
    </row>
    <row r="125" spans="1:5" x14ac:dyDescent="0.25">
      <c r="A125">
        <v>77</v>
      </c>
      <c r="B125">
        <v>745.34900000000005</v>
      </c>
      <c r="C125">
        <v>260.27</v>
      </c>
      <c r="D125">
        <v>1.32226</v>
      </c>
      <c r="E125">
        <v>1067.92</v>
      </c>
    </row>
    <row r="126" spans="1:5" x14ac:dyDescent="0.25">
      <c r="A126">
        <v>76</v>
      </c>
      <c r="B126">
        <v>745.34900000000005</v>
      </c>
      <c r="C126">
        <v>260.27</v>
      </c>
      <c r="D126">
        <v>1.32226</v>
      </c>
      <c r="E126">
        <v>1067.92</v>
      </c>
    </row>
    <row r="127" spans="1:5" x14ac:dyDescent="0.25">
      <c r="A127">
        <v>75</v>
      </c>
      <c r="B127">
        <v>745.34900000000005</v>
      </c>
      <c r="C127">
        <v>260.27</v>
      </c>
      <c r="D127">
        <v>1.32226</v>
      </c>
      <c r="E127">
        <v>1067.92</v>
      </c>
    </row>
    <row r="128" spans="1:5" x14ac:dyDescent="0.25">
      <c r="A128">
        <v>74</v>
      </c>
      <c r="B128">
        <v>745.34900000000005</v>
      </c>
      <c r="C128">
        <v>260.27</v>
      </c>
      <c r="D128">
        <v>1.32226</v>
      </c>
      <c r="E128">
        <v>1067.92</v>
      </c>
    </row>
    <row r="129" spans="1:5" x14ac:dyDescent="0.25">
      <c r="A129">
        <v>73</v>
      </c>
      <c r="B129">
        <v>745.34900000000005</v>
      </c>
      <c r="C129">
        <v>260.27</v>
      </c>
      <c r="D129">
        <v>1.32226</v>
      </c>
      <c r="E129">
        <v>1067.92</v>
      </c>
    </row>
    <row r="130" spans="1:5" x14ac:dyDescent="0.25">
      <c r="A130">
        <v>72</v>
      </c>
      <c r="B130">
        <v>745.34900000000005</v>
      </c>
      <c r="C130">
        <v>260.27</v>
      </c>
      <c r="D130">
        <v>1.32226</v>
      </c>
      <c r="E130">
        <v>1067.92</v>
      </c>
    </row>
    <row r="131" spans="1:5" x14ac:dyDescent="0.25">
      <c r="A131">
        <v>71</v>
      </c>
      <c r="B131">
        <v>745.34900000000005</v>
      </c>
      <c r="C131">
        <v>260.27</v>
      </c>
      <c r="D131">
        <v>1.32226</v>
      </c>
      <c r="E131">
        <v>1067.92</v>
      </c>
    </row>
    <row r="132" spans="1:5" x14ac:dyDescent="0.25">
      <c r="A132">
        <v>70</v>
      </c>
      <c r="B132">
        <v>745.34900000000005</v>
      </c>
      <c r="C132">
        <v>260.27</v>
      </c>
      <c r="D132">
        <v>1.32226</v>
      </c>
      <c r="E132">
        <v>1067.92</v>
      </c>
    </row>
    <row r="133" spans="1:5" x14ac:dyDescent="0.25">
      <c r="A133">
        <v>69</v>
      </c>
      <c r="B133">
        <v>745.34900000000005</v>
      </c>
      <c r="C133">
        <v>260.27</v>
      </c>
      <c r="D133">
        <v>1.32226</v>
      </c>
      <c r="E133">
        <v>1067.92</v>
      </c>
    </row>
    <row r="134" spans="1:5" x14ac:dyDescent="0.25">
      <c r="A134">
        <v>68</v>
      </c>
      <c r="B134">
        <v>745.34900000000005</v>
      </c>
      <c r="C134">
        <v>260.27</v>
      </c>
      <c r="D134">
        <v>1.32226</v>
      </c>
      <c r="E134">
        <v>1067.92</v>
      </c>
    </row>
    <row r="135" spans="1:5" x14ac:dyDescent="0.25">
      <c r="A135">
        <v>67</v>
      </c>
      <c r="B135">
        <v>745.34900000000005</v>
      </c>
      <c r="C135">
        <v>260.27</v>
      </c>
      <c r="D135">
        <v>1.32226</v>
      </c>
      <c r="E135">
        <v>1067.92</v>
      </c>
    </row>
    <row r="136" spans="1:5" x14ac:dyDescent="0.25">
      <c r="A136">
        <v>66</v>
      </c>
      <c r="B136">
        <v>745.34900000000005</v>
      </c>
      <c r="C136">
        <v>260.27</v>
      </c>
      <c r="D136">
        <v>1.32226</v>
      </c>
      <c r="E136">
        <v>1067.92</v>
      </c>
    </row>
    <row r="137" spans="1:5" x14ac:dyDescent="0.25">
      <c r="A137">
        <v>65</v>
      </c>
      <c r="B137">
        <v>745.34900000000005</v>
      </c>
      <c r="C137">
        <v>260.27</v>
      </c>
      <c r="D137">
        <v>1.32226</v>
      </c>
      <c r="E137">
        <v>1067.92</v>
      </c>
    </row>
    <row r="138" spans="1:5" x14ac:dyDescent="0.25">
      <c r="A138">
        <v>64.900000000000006</v>
      </c>
      <c r="B138">
        <v>745.34900000000005</v>
      </c>
      <c r="C138">
        <v>260.27</v>
      </c>
      <c r="D138">
        <v>1.32226</v>
      </c>
      <c r="E138">
        <v>1067.92</v>
      </c>
    </row>
    <row r="139" spans="1:5" x14ac:dyDescent="0.25">
      <c r="A139">
        <v>64.8</v>
      </c>
      <c r="B139">
        <v>745.34900000000005</v>
      </c>
      <c r="C139">
        <v>260.27</v>
      </c>
      <c r="D139">
        <v>1.32226</v>
      </c>
      <c r="E139">
        <v>1067.92</v>
      </c>
    </row>
    <row r="140" spans="1:5" x14ac:dyDescent="0.25">
      <c r="A140">
        <v>64.7</v>
      </c>
      <c r="B140">
        <v>745.34900000000005</v>
      </c>
      <c r="C140">
        <v>260.27</v>
      </c>
      <c r="D140">
        <v>1.32226</v>
      </c>
      <c r="E140">
        <v>1067.92</v>
      </c>
    </row>
    <row r="141" spans="1:5" x14ac:dyDescent="0.25">
      <c r="A141">
        <v>64.599999999999994</v>
      </c>
      <c r="B141">
        <v>745.34900000000005</v>
      </c>
      <c r="C141">
        <v>260.27</v>
      </c>
      <c r="D141">
        <v>1.32226</v>
      </c>
      <c r="E141">
        <v>1067.92</v>
      </c>
    </row>
    <row r="142" spans="1:5" x14ac:dyDescent="0.25">
      <c r="A142">
        <v>64.5</v>
      </c>
      <c r="B142">
        <v>745.34900000000005</v>
      </c>
      <c r="C142">
        <v>260.27</v>
      </c>
      <c r="D142">
        <v>1.32226</v>
      </c>
      <c r="E142">
        <v>1067.92</v>
      </c>
    </row>
    <row r="143" spans="1:5" x14ac:dyDescent="0.25">
      <c r="A143">
        <v>64.400000000000006</v>
      </c>
      <c r="B143">
        <v>745.34900000000005</v>
      </c>
      <c r="C143">
        <v>260.27</v>
      </c>
      <c r="D143">
        <v>1.32226</v>
      </c>
      <c r="E143">
        <v>1067.92</v>
      </c>
    </row>
    <row r="144" spans="1:5" x14ac:dyDescent="0.25">
      <c r="A144">
        <v>64.3</v>
      </c>
      <c r="B144">
        <v>745.34900000000005</v>
      </c>
      <c r="C144">
        <v>260.27</v>
      </c>
      <c r="D144">
        <v>1.32226</v>
      </c>
      <c r="E144">
        <v>1067.92</v>
      </c>
    </row>
    <row r="145" spans="1:5" x14ac:dyDescent="0.25">
      <c r="A145">
        <v>64.2</v>
      </c>
      <c r="B145">
        <v>745.34900000000005</v>
      </c>
      <c r="C145">
        <v>260.27</v>
      </c>
      <c r="D145">
        <v>1.32226</v>
      </c>
      <c r="E145">
        <v>1067.92</v>
      </c>
    </row>
    <row r="146" spans="1:5" x14ac:dyDescent="0.25">
      <c r="A146">
        <v>64.099999999999994</v>
      </c>
      <c r="B146">
        <v>745.34900000000005</v>
      </c>
      <c r="C146">
        <v>260.27</v>
      </c>
      <c r="D146">
        <v>1.32226</v>
      </c>
      <c r="E146">
        <v>1067.92</v>
      </c>
    </row>
    <row r="147" spans="1:5" x14ac:dyDescent="0.25">
      <c r="A147">
        <v>64</v>
      </c>
      <c r="B147">
        <v>745.34900000000005</v>
      </c>
      <c r="C147">
        <v>260.27</v>
      </c>
      <c r="D147">
        <v>1.32226</v>
      </c>
      <c r="E147">
        <v>1067.92</v>
      </c>
    </row>
    <row r="148" spans="1:5" x14ac:dyDescent="0.25">
      <c r="A148">
        <v>63.9</v>
      </c>
      <c r="B148">
        <v>745.34900000000005</v>
      </c>
      <c r="C148">
        <v>260.27</v>
      </c>
      <c r="D148">
        <v>1.32226</v>
      </c>
      <c r="E148">
        <v>1067.92</v>
      </c>
    </row>
    <row r="149" spans="1:5" x14ac:dyDescent="0.25">
      <c r="A149">
        <v>63.8</v>
      </c>
      <c r="B149">
        <v>745.34900000000005</v>
      </c>
      <c r="C149">
        <v>260.27</v>
      </c>
      <c r="D149">
        <v>1.32226</v>
      </c>
      <c r="E149">
        <v>1067.92</v>
      </c>
    </row>
    <row r="150" spans="1:5" x14ac:dyDescent="0.25">
      <c r="A150">
        <v>63.7</v>
      </c>
      <c r="B150">
        <v>745.34900000000005</v>
      </c>
      <c r="C150">
        <v>260.27</v>
      </c>
      <c r="D150">
        <v>1.32226</v>
      </c>
      <c r="E150">
        <v>1067.92</v>
      </c>
    </row>
    <row r="151" spans="1:5" x14ac:dyDescent="0.25">
      <c r="A151">
        <v>63.6</v>
      </c>
      <c r="B151">
        <v>745.34900000000005</v>
      </c>
      <c r="C151">
        <v>260.27</v>
      </c>
      <c r="D151">
        <v>1.32226</v>
      </c>
      <c r="E151">
        <v>1067.92</v>
      </c>
    </row>
    <row r="152" spans="1:5" x14ac:dyDescent="0.25">
      <c r="A152">
        <v>63.5</v>
      </c>
      <c r="B152">
        <v>745.34900000000005</v>
      </c>
      <c r="C152">
        <v>260.27</v>
      </c>
      <c r="D152">
        <v>1.32226</v>
      </c>
      <c r="E152">
        <v>1067.92</v>
      </c>
    </row>
    <row r="153" spans="1:5" x14ac:dyDescent="0.25">
      <c r="A153">
        <v>63.4</v>
      </c>
      <c r="B153">
        <v>745.34900000000005</v>
      </c>
      <c r="C153">
        <v>260.27</v>
      </c>
      <c r="D153">
        <v>1.32226</v>
      </c>
      <c r="E153">
        <v>1067.92</v>
      </c>
    </row>
    <row r="154" spans="1:5" x14ac:dyDescent="0.25">
      <c r="A154">
        <v>63.3</v>
      </c>
      <c r="B154">
        <v>745.34900000000005</v>
      </c>
      <c r="C154">
        <v>260.27</v>
      </c>
      <c r="D154">
        <v>1.32226</v>
      </c>
      <c r="E154">
        <v>1067.92</v>
      </c>
    </row>
    <row r="155" spans="1:5" x14ac:dyDescent="0.25">
      <c r="A155">
        <v>63.2</v>
      </c>
      <c r="B155">
        <v>745.34900000000005</v>
      </c>
      <c r="C155">
        <v>260.27</v>
      </c>
      <c r="D155">
        <v>1.32226</v>
      </c>
      <c r="E155">
        <v>1067.92</v>
      </c>
    </row>
    <row r="156" spans="1:5" x14ac:dyDescent="0.25">
      <c r="A156">
        <v>63.1</v>
      </c>
      <c r="B156">
        <v>745.34900000000005</v>
      </c>
      <c r="C156">
        <v>260.27</v>
      </c>
      <c r="D156">
        <v>1.32226</v>
      </c>
      <c r="E156">
        <v>1067.92</v>
      </c>
    </row>
    <row r="157" spans="1:5" x14ac:dyDescent="0.25">
      <c r="A157">
        <v>63</v>
      </c>
      <c r="B157">
        <v>745.34900000000005</v>
      </c>
      <c r="C157">
        <v>260.27</v>
      </c>
      <c r="D157">
        <v>1.32226</v>
      </c>
      <c r="E157">
        <v>1067.92</v>
      </c>
    </row>
    <row r="158" spans="1:5" x14ac:dyDescent="0.25">
      <c r="A158">
        <v>62.9</v>
      </c>
      <c r="B158">
        <v>745.34900000000005</v>
      </c>
      <c r="C158">
        <v>260.27</v>
      </c>
      <c r="D158">
        <v>1.32226</v>
      </c>
      <c r="E158">
        <v>1067.92</v>
      </c>
    </row>
    <row r="159" spans="1:5" x14ac:dyDescent="0.25">
      <c r="A159">
        <v>62.8</v>
      </c>
      <c r="B159">
        <v>745.34900000000005</v>
      </c>
      <c r="C159">
        <v>260.27</v>
      </c>
      <c r="D159">
        <v>1.32226</v>
      </c>
      <c r="E159">
        <v>1067.92</v>
      </c>
    </row>
    <row r="160" spans="1:5" x14ac:dyDescent="0.25">
      <c r="A160">
        <v>62.7</v>
      </c>
      <c r="B160">
        <v>745.34900000000005</v>
      </c>
      <c r="C160">
        <v>260.27</v>
      </c>
      <c r="D160">
        <v>1.32226</v>
      </c>
      <c r="E160">
        <v>1067.92</v>
      </c>
    </row>
    <row r="161" spans="1:5" x14ac:dyDescent="0.25">
      <c r="A161">
        <v>62.6</v>
      </c>
      <c r="B161">
        <v>745.34900000000005</v>
      </c>
      <c r="C161">
        <v>260.27</v>
      </c>
      <c r="D161">
        <v>1.32226</v>
      </c>
      <c r="E161">
        <v>1067.92</v>
      </c>
    </row>
    <row r="162" spans="1:5" x14ac:dyDescent="0.25">
      <c r="A162">
        <v>62.5</v>
      </c>
      <c r="B162">
        <v>745.34900000000005</v>
      </c>
      <c r="C162">
        <v>260.27</v>
      </c>
      <c r="D162">
        <v>1.32226</v>
      </c>
      <c r="E162">
        <v>1067.92</v>
      </c>
    </row>
    <row r="163" spans="1:5" x14ac:dyDescent="0.25">
      <c r="A163">
        <v>62.4</v>
      </c>
      <c r="B163">
        <v>745.34900000000005</v>
      </c>
      <c r="C163">
        <v>260.27</v>
      </c>
      <c r="D163">
        <v>1.32226</v>
      </c>
      <c r="E163">
        <v>1067.92</v>
      </c>
    </row>
    <row r="164" spans="1:5" x14ac:dyDescent="0.25">
      <c r="A164">
        <v>62.3</v>
      </c>
      <c r="B164">
        <v>745.34900000000005</v>
      </c>
      <c r="C164">
        <v>260.27</v>
      </c>
      <c r="D164">
        <v>1.32226</v>
      </c>
      <c r="E164">
        <v>1067.92</v>
      </c>
    </row>
    <row r="165" spans="1:5" x14ac:dyDescent="0.25">
      <c r="A165">
        <v>62.2</v>
      </c>
      <c r="B165">
        <v>745.34900000000005</v>
      </c>
      <c r="C165">
        <v>260.27</v>
      </c>
      <c r="D165">
        <v>1.32226</v>
      </c>
      <c r="E165">
        <v>1067.92</v>
      </c>
    </row>
    <row r="166" spans="1:5" x14ac:dyDescent="0.25">
      <c r="A166">
        <v>62.1</v>
      </c>
      <c r="B166">
        <v>745.34900000000005</v>
      </c>
      <c r="C166">
        <v>260.27</v>
      </c>
      <c r="D166">
        <v>1.32226</v>
      </c>
      <c r="E166">
        <v>1067.92</v>
      </c>
    </row>
    <row r="167" spans="1:5" x14ac:dyDescent="0.25">
      <c r="A167">
        <v>62</v>
      </c>
      <c r="B167">
        <v>745.34900000000005</v>
      </c>
      <c r="C167">
        <v>260.27</v>
      </c>
      <c r="D167">
        <v>1.32226</v>
      </c>
      <c r="E167">
        <v>1067.92</v>
      </c>
    </row>
    <row r="168" spans="1:5" x14ac:dyDescent="0.25">
      <c r="A168">
        <v>61.9</v>
      </c>
      <c r="B168">
        <v>745.34900000000005</v>
      </c>
      <c r="C168">
        <v>260.27</v>
      </c>
      <c r="D168">
        <v>1.32226</v>
      </c>
      <c r="E168">
        <v>1067.92</v>
      </c>
    </row>
    <row r="169" spans="1:5" x14ac:dyDescent="0.25">
      <c r="A169">
        <v>61.8</v>
      </c>
      <c r="B169">
        <v>745.34900000000005</v>
      </c>
      <c r="C169">
        <v>260.27</v>
      </c>
      <c r="D169">
        <v>1.32226</v>
      </c>
      <c r="E169">
        <v>1067.92</v>
      </c>
    </row>
    <row r="170" spans="1:5" x14ac:dyDescent="0.25">
      <c r="A170">
        <v>61.7</v>
      </c>
      <c r="B170">
        <v>745.34900000000005</v>
      </c>
      <c r="C170">
        <v>260.27</v>
      </c>
      <c r="D170">
        <v>1.32226</v>
      </c>
      <c r="E170">
        <v>1067.92</v>
      </c>
    </row>
    <row r="171" spans="1:5" x14ac:dyDescent="0.25">
      <c r="A171">
        <v>61.6</v>
      </c>
      <c r="B171">
        <v>745.34900000000005</v>
      </c>
      <c r="C171">
        <v>260.27</v>
      </c>
      <c r="D171">
        <v>1.32226</v>
      </c>
      <c r="E171">
        <v>1067.92</v>
      </c>
    </row>
    <row r="172" spans="1:5" x14ac:dyDescent="0.25">
      <c r="A172">
        <v>61.5</v>
      </c>
      <c r="B172">
        <v>745.34900000000005</v>
      </c>
      <c r="C172">
        <v>260.27</v>
      </c>
      <c r="D172">
        <v>1.32226</v>
      </c>
      <c r="E172">
        <v>1067.92</v>
      </c>
    </row>
    <row r="173" spans="1:5" x14ac:dyDescent="0.25">
      <c r="A173">
        <v>61.4</v>
      </c>
      <c r="B173">
        <v>745.34900000000005</v>
      </c>
      <c r="C173">
        <v>260.27</v>
      </c>
      <c r="D173">
        <v>1.32226</v>
      </c>
      <c r="E173">
        <v>1067.92</v>
      </c>
    </row>
    <row r="174" spans="1:5" x14ac:dyDescent="0.25">
      <c r="A174">
        <v>61.3</v>
      </c>
      <c r="B174">
        <v>745.34900000000005</v>
      </c>
      <c r="C174">
        <v>260.27</v>
      </c>
      <c r="D174">
        <v>1.32226</v>
      </c>
      <c r="E174">
        <v>1067.92</v>
      </c>
    </row>
    <row r="175" spans="1:5" x14ac:dyDescent="0.25">
      <c r="A175">
        <v>61.2</v>
      </c>
      <c r="B175">
        <v>745.34900000000005</v>
      </c>
      <c r="C175">
        <v>260.27</v>
      </c>
      <c r="D175">
        <v>1.32226</v>
      </c>
      <c r="E175">
        <v>1067.92</v>
      </c>
    </row>
    <row r="176" spans="1:5" x14ac:dyDescent="0.25">
      <c r="A176">
        <v>61.1</v>
      </c>
      <c r="B176">
        <v>745.34900000000005</v>
      </c>
      <c r="C176">
        <v>260.27</v>
      </c>
      <c r="D176">
        <v>1.32226</v>
      </c>
      <c r="E176">
        <v>1067.92</v>
      </c>
    </row>
    <row r="177" spans="1:5" x14ac:dyDescent="0.25">
      <c r="A177">
        <v>61</v>
      </c>
      <c r="B177">
        <v>745.34900000000005</v>
      </c>
      <c r="C177">
        <v>260.27</v>
      </c>
      <c r="D177">
        <v>1.32226</v>
      </c>
      <c r="E177">
        <v>1067.92</v>
      </c>
    </row>
    <row r="178" spans="1:5" x14ac:dyDescent="0.25">
      <c r="A178">
        <v>60.9</v>
      </c>
      <c r="B178">
        <v>745.34900000000005</v>
      </c>
      <c r="C178">
        <v>260.27</v>
      </c>
      <c r="D178">
        <v>1.32226</v>
      </c>
      <c r="E178">
        <v>1067.92</v>
      </c>
    </row>
    <row r="179" spans="1:5" x14ac:dyDescent="0.25">
      <c r="A179">
        <v>60.8</v>
      </c>
      <c r="B179">
        <v>745.34900000000005</v>
      </c>
      <c r="C179">
        <v>260.27</v>
      </c>
      <c r="D179">
        <v>1.32226</v>
      </c>
      <c r="E179">
        <v>1067.92</v>
      </c>
    </row>
    <row r="180" spans="1:5" x14ac:dyDescent="0.25">
      <c r="A180">
        <v>60.7</v>
      </c>
      <c r="B180">
        <v>745.34900000000005</v>
      </c>
      <c r="C180">
        <v>260.27</v>
      </c>
      <c r="D180">
        <v>1.32226</v>
      </c>
      <c r="E180">
        <v>1067.92</v>
      </c>
    </row>
    <row r="181" spans="1:5" x14ac:dyDescent="0.25">
      <c r="A181">
        <v>60.6</v>
      </c>
      <c r="B181">
        <v>745.34900000000005</v>
      </c>
      <c r="C181">
        <v>260.27</v>
      </c>
      <c r="D181">
        <v>1.32226</v>
      </c>
      <c r="E181">
        <v>1067.92</v>
      </c>
    </row>
    <row r="182" spans="1:5" x14ac:dyDescent="0.25">
      <c r="A182">
        <v>60.5</v>
      </c>
      <c r="B182">
        <v>745.34900000000005</v>
      </c>
      <c r="C182">
        <v>260.27</v>
      </c>
      <c r="D182">
        <v>1.32226</v>
      </c>
      <c r="E182">
        <v>1067.92</v>
      </c>
    </row>
    <row r="183" spans="1:5" x14ac:dyDescent="0.25">
      <c r="A183">
        <v>60.4</v>
      </c>
      <c r="B183">
        <v>745.34900000000005</v>
      </c>
      <c r="C183">
        <v>260.27</v>
      </c>
      <c r="D183">
        <v>1.32226</v>
      </c>
      <c r="E183">
        <v>1067.92</v>
      </c>
    </row>
    <row r="184" spans="1:5" x14ac:dyDescent="0.25">
      <c r="A184">
        <v>60.3</v>
      </c>
      <c r="B184">
        <v>745.34900000000005</v>
      </c>
      <c r="C184">
        <v>260.27</v>
      </c>
      <c r="D184">
        <v>1.32226</v>
      </c>
      <c r="E184">
        <v>1067.92</v>
      </c>
    </row>
    <row r="185" spans="1:5" x14ac:dyDescent="0.25">
      <c r="A185">
        <v>60.2</v>
      </c>
      <c r="B185">
        <v>745.34900000000005</v>
      </c>
      <c r="C185">
        <v>260.27</v>
      </c>
      <c r="D185">
        <v>1.32226</v>
      </c>
      <c r="E185">
        <v>1067.92</v>
      </c>
    </row>
    <row r="186" spans="1:5" x14ac:dyDescent="0.25">
      <c r="A186">
        <v>60.1</v>
      </c>
      <c r="B186">
        <v>745.34900000000005</v>
      </c>
      <c r="C186">
        <v>260.27</v>
      </c>
      <c r="D186">
        <v>1.32226</v>
      </c>
      <c r="E186">
        <v>1067.92</v>
      </c>
    </row>
    <row r="187" spans="1:5" x14ac:dyDescent="0.25">
      <c r="A187">
        <v>60</v>
      </c>
      <c r="B187">
        <v>745.34900000000005</v>
      </c>
      <c r="C187">
        <v>260.27</v>
      </c>
      <c r="D187">
        <v>1.32226</v>
      </c>
      <c r="E187">
        <v>1067.92</v>
      </c>
    </row>
    <row r="188" spans="1:5" x14ac:dyDescent="0.25">
      <c r="A188">
        <v>59.9</v>
      </c>
      <c r="B188">
        <v>745.34900000000005</v>
      </c>
      <c r="C188">
        <v>260.27</v>
      </c>
      <c r="D188">
        <v>1.32226</v>
      </c>
      <c r="E188">
        <v>1067.92</v>
      </c>
    </row>
    <row r="189" spans="1:5" x14ac:dyDescent="0.25">
      <c r="A189">
        <v>59.8</v>
      </c>
      <c r="B189">
        <v>745.34900000000005</v>
      </c>
      <c r="C189">
        <v>260.27</v>
      </c>
      <c r="D189">
        <v>1.32226</v>
      </c>
      <c r="E189">
        <v>1067.92</v>
      </c>
    </row>
    <row r="190" spans="1:5" x14ac:dyDescent="0.25">
      <c r="A190">
        <v>59.7</v>
      </c>
      <c r="B190">
        <v>745.34900000000005</v>
      </c>
      <c r="C190">
        <v>260.27</v>
      </c>
      <c r="D190">
        <v>1.32226</v>
      </c>
      <c r="E190">
        <v>1067.92</v>
      </c>
    </row>
    <row r="191" spans="1:5" x14ac:dyDescent="0.25">
      <c r="A191">
        <v>59.6</v>
      </c>
      <c r="B191">
        <v>745.34900000000005</v>
      </c>
      <c r="C191">
        <v>260.27</v>
      </c>
      <c r="D191">
        <v>1.32226</v>
      </c>
      <c r="E191">
        <v>1067.92</v>
      </c>
    </row>
    <row r="192" spans="1:5" x14ac:dyDescent="0.25">
      <c r="A192">
        <v>59.5</v>
      </c>
      <c r="B192">
        <v>745.34900000000005</v>
      </c>
      <c r="C192">
        <v>260.27</v>
      </c>
      <c r="D192">
        <v>1.32226</v>
      </c>
      <c r="E192">
        <v>1067.92</v>
      </c>
    </row>
    <row r="193" spans="1:5" x14ac:dyDescent="0.25">
      <c r="A193">
        <v>59.4</v>
      </c>
      <c r="B193">
        <v>745.34900000000005</v>
      </c>
      <c r="C193">
        <v>260.27</v>
      </c>
      <c r="D193">
        <v>1.32226</v>
      </c>
      <c r="E193">
        <v>1067.92</v>
      </c>
    </row>
    <row r="194" spans="1:5" x14ac:dyDescent="0.25">
      <c r="A194">
        <v>59.3</v>
      </c>
      <c r="B194">
        <v>745.34900000000005</v>
      </c>
      <c r="C194">
        <v>260.27</v>
      </c>
      <c r="D194">
        <v>1.32226</v>
      </c>
      <c r="E194">
        <v>1067.92</v>
      </c>
    </row>
    <row r="195" spans="1:5" x14ac:dyDescent="0.25">
      <c r="A195">
        <v>59.2</v>
      </c>
      <c r="B195">
        <v>745.34900000000005</v>
      </c>
      <c r="C195">
        <v>260.27</v>
      </c>
      <c r="D195">
        <v>1.32226</v>
      </c>
      <c r="E195">
        <v>1067.92</v>
      </c>
    </row>
    <row r="196" spans="1:5" x14ac:dyDescent="0.25">
      <c r="A196">
        <v>59.1</v>
      </c>
      <c r="B196">
        <v>745.34900000000005</v>
      </c>
      <c r="C196">
        <v>260.27</v>
      </c>
      <c r="D196">
        <v>1.32226</v>
      </c>
      <c r="E196">
        <v>1067.92</v>
      </c>
    </row>
    <row r="197" spans="1:5" x14ac:dyDescent="0.25">
      <c r="A197">
        <v>59</v>
      </c>
      <c r="B197">
        <v>745.34900000000005</v>
      </c>
      <c r="C197">
        <v>260.27</v>
      </c>
      <c r="D197">
        <v>1.32226</v>
      </c>
      <c r="E197">
        <v>1067.92</v>
      </c>
    </row>
    <row r="198" spans="1:5" x14ac:dyDescent="0.25">
      <c r="A198">
        <v>58.9</v>
      </c>
      <c r="B198">
        <v>745.34900000000005</v>
      </c>
      <c r="C198">
        <v>260.27</v>
      </c>
      <c r="D198">
        <v>1.32226</v>
      </c>
      <c r="E198">
        <v>1067.92</v>
      </c>
    </row>
    <row r="199" spans="1:5" x14ac:dyDescent="0.25">
      <c r="A199">
        <v>58.8</v>
      </c>
      <c r="B199">
        <v>745.34900000000005</v>
      </c>
      <c r="C199">
        <v>260.27</v>
      </c>
      <c r="D199">
        <v>1.32226</v>
      </c>
      <c r="E199">
        <v>1067.92</v>
      </c>
    </row>
    <row r="200" spans="1:5" x14ac:dyDescent="0.25">
      <c r="A200">
        <v>58.7</v>
      </c>
      <c r="B200">
        <v>745.34900000000005</v>
      </c>
      <c r="C200">
        <v>260.27</v>
      </c>
      <c r="D200">
        <v>1.32226</v>
      </c>
      <c r="E200">
        <v>1067.92</v>
      </c>
    </row>
    <row r="201" spans="1:5" x14ac:dyDescent="0.25">
      <c r="A201">
        <v>58.6</v>
      </c>
      <c r="B201">
        <v>745.34900000000005</v>
      </c>
      <c r="C201">
        <v>260.27</v>
      </c>
      <c r="D201">
        <v>1.32226</v>
      </c>
      <c r="E201">
        <v>1067.92</v>
      </c>
    </row>
    <row r="202" spans="1:5" x14ac:dyDescent="0.25">
      <c r="A202">
        <v>58.5</v>
      </c>
      <c r="B202">
        <v>745.34900000000005</v>
      </c>
      <c r="C202">
        <v>260.27</v>
      </c>
      <c r="D202">
        <v>1.32226</v>
      </c>
      <c r="E202">
        <v>1067.92</v>
      </c>
    </row>
    <row r="203" spans="1:5" x14ac:dyDescent="0.25">
      <c r="A203">
        <v>58.4</v>
      </c>
      <c r="B203">
        <v>745.34900000000005</v>
      </c>
      <c r="C203">
        <v>260.27</v>
      </c>
      <c r="D203">
        <v>1.32226</v>
      </c>
      <c r="E203">
        <v>1067.92</v>
      </c>
    </row>
    <row r="204" spans="1:5" x14ac:dyDescent="0.25">
      <c r="A204">
        <v>58.3</v>
      </c>
      <c r="B204">
        <v>745.34900000000005</v>
      </c>
      <c r="C204">
        <v>260.27</v>
      </c>
      <c r="D204">
        <v>1.32226</v>
      </c>
      <c r="E204">
        <v>1067.92</v>
      </c>
    </row>
    <row r="205" spans="1:5" x14ac:dyDescent="0.25">
      <c r="A205">
        <v>58.2</v>
      </c>
      <c r="B205">
        <v>745.34900000000005</v>
      </c>
      <c r="C205">
        <v>260.27</v>
      </c>
      <c r="D205">
        <v>1.32226</v>
      </c>
      <c r="E205">
        <v>1067.92</v>
      </c>
    </row>
    <row r="206" spans="1:5" x14ac:dyDescent="0.25">
      <c r="A206">
        <v>58.1</v>
      </c>
      <c r="B206">
        <v>745.34900000000005</v>
      </c>
      <c r="C206">
        <v>260.27</v>
      </c>
      <c r="D206">
        <v>1.32226</v>
      </c>
      <c r="E206">
        <v>1067.92</v>
      </c>
    </row>
    <row r="207" spans="1:5" x14ac:dyDescent="0.25">
      <c r="A207">
        <v>58</v>
      </c>
      <c r="B207">
        <v>745.34900000000005</v>
      </c>
      <c r="C207">
        <v>260.27</v>
      </c>
      <c r="D207">
        <v>1.32226</v>
      </c>
      <c r="E207">
        <v>1067.92</v>
      </c>
    </row>
    <row r="208" spans="1:5" x14ac:dyDescent="0.25">
      <c r="A208">
        <v>57.9</v>
      </c>
      <c r="B208">
        <v>745.34900000000005</v>
      </c>
      <c r="C208">
        <v>260.27</v>
      </c>
      <c r="D208">
        <v>1.32226</v>
      </c>
      <c r="E208">
        <v>1067.92</v>
      </c>
    </row>
    <row r="209" spans="1:5" x14ac:dyDescent="0.25">
      <c r="A209">
        <v>57.8</v>
      </c>
      <c r="B209">
        <v>745.34900000000005</v>
      </c>
      <c r="C209">
        <v>260.27</v>
      </c>
      <c r="D209">
        <v>1.32226</v>
      </c>
      <c r="E209">
        <v>1067.92</v>
      </c>
    </row>
    <row r="210" spans="1:5" x14ac:dyDescent="0.25">
      <c r="A210">
        <v>57.7</v>
      </c>
      <c r="B210">
        <v>745.34900000000005</v>
      </c>
      <c r="C210">
        <v>260.27</v>
      </c>
      <c r="D210">
        <v>1.32226</v>
      </c>
      <c r="E210">
        <v>1067.92</v>
      </c>
    </row>
    <row r="211" spans="1:5" x14ac:dyDescent="0.25">
      <c r="A211">
        <v>57.6</v>
      </c>
      <c r="B211">
        <v>745.34900000000005</v>
      </c>
      <c r="C211">
        <v>260.27</v>
      </c>
      <c r="D211">
        <v>1.32226</v>
      </c>
      <c r="E211">
        <v>1067.92</v>
      </c>
    </row>
    <row r="212" spans="1:5" x14ac:dyDescent="0.25">
      <c r="A212">
        <v>57.5</v>
      </c>
      <c r="B212">
        <v>745.34900000000005</v>
      </c>
      <c r="C212">
        <v>260.27</v>
      </c>
      <c r="D212">
        <v>1.32226</v>
      </c>
      <c r="E212">
        <v>1067.92</v>
      </c>
    </row>
    <row r="213" spans="1:5" x14ac:dyDescent="0.25">
      <c r="A213">
        <v>57.4</v>
      </c>
      <c r="B213">
        <v>745.34900000000005</v>
      </c>
      <c r="C213">
        <v>260.27</v>
      </c>
      <c r="D213">
        <v>1.32226</v>
      </c>
      <c r="E213">
        <v>1067.92</v>
      </c>
    </row>
    <row r="214" spans="1:5" x14ac:dyDescent="0.25">
      <c r="A214">
        <v>57.3</v>
      </c>
      <c r="B214">
        <v>745.34900000000005</v>
      </c>
      <c r="C214">
        <v>260.27</v>
      </c>
      <c r="D214">
        <v>1.32226</v>
      </c>
      <c r="E214">
        <v>1067.92</v>
      </c>
    </row>
    <row r="215" spans="1:5" x14ac:dyDescent="0.25">
      <c r="A215">
        <v>57.2</v>
      </c>
      <c r="B215">
        <v>745.34900000000005</v>
      </c>
      <c r="C215">
        <v>260.27</v>
      </c>
      <c r="D215">
        <v>1.32226</v>
      </c>
      <c r="E215">
        <v>1067.92</v>
      </c>
    </row>
    <row r="216" spans="1:5" x14ac:dyDescent="0.25">
      <c r="A216">
        <v>57.1</v>
      </c>
      <c r="B216">
        <v>745.34900000000005</v>
      </c>
      <c r="C216">
        <v>260.27</v>
      </c>
      <c r="D216">
        <v>1.32226</v>
      </c>
      <c r="E216">
        <v>1067.92</v>
      </c>
    </row>
    <row r="217" spans="1:5" x14ac:dyDescent="0.25">
      <c r="A217">
        <v>57</v>
      </c>
      <c r="B217">
        <v>745.34900000000005</v>
      </c>
      <c r="C217">
        <v>260.27</v>
      </c>
      <c r="D217">
        <v>1.32226</v>
      </c>
      <c r="E217">
        <v>1067.92</v>
      </c>
    </row>
    <row r="218" spans="1:5" x14ac:dyDescent="0.25">
      <c r="A218">
        <v>56.9</v>
      </c>
      <c r="B218">
        <v>745.34900000000005</v>
      </c>
      <c r="C218">
        <v>260.27</v>
      </c>
      <c r="D218">
        <v>1.32226</v>
      </c>
      <c r="E218">
        <v>1067.92</v>
      </c>
    </row>
    <row r="219" spans="1:5" x14ac:dyDescent="0.25">
      <c r="A219">
        <v>56.8</v>
      </c>
      <c r="B219">
        <v>745.34900000000005</v>
      </c>
      <c r="C219">
        <v>260.27</v>
      </c>
      <c r="D219">
        <v>1.32226</v>
      </c>
      <c r="E219">
        <v>1067.92</v>
      </c>
    </row>
    <row r="220" spans="1:5" x14ac:dyDescent="0.25">
      <c r="A220">
        <v>56.7</v>
      </c>
      <c r="B220">
        <v>745.34900000000005</v>
      </c>
      <c r="C220">
        <v>260.27</v>
      </c>
      <c r="D220">
        <v>1.32226</v>
      </c>
      <c r="E220">
        <v>1067.92</v>
      </c>
    </row>
    <row r="221" spans="1:5" x14ac:dyDescent="0.25">
      <c r="A221">
        <v>56.6</v>
      </c>
      <c r="B221">
        <v>745.34900000000005</v>
      </c>
      <c r="C221">
        <v>260.27</v>
      </c>
      <c r="D221">
        <v>1.32226</v>
      </c>
      <c r="E221">
        <v>1067.92</v>
      </c>
    </row>
    <row r="222" spans="1:5" x14ac:dyDescent="0.25">
      <c r="A222">
        <v>56.5</v>
      </c>
      <c r="B222">
        <v>745.34900000000005</v>
      </c>
      <c r="C222">
        <v>260.27</v>
      </c>
      <c r="D222">
        <v>1.32226</v>
      </c>
      <c r="E222">
        <v>1067.92</v>
      </c>
    </row>
    <row r="223" spans="1:5" x14ac:dyDescent="0.25">
      <c r="A223">
        <v>56.4</v>
      </c>
      <c r="B223">
        <v>745.34900000000005</v>
      </c>
      <c r="C223">
        <v>260.27</v>
      </c>
      <c r="D223">
        <v>1.32226</v>
      </c>
      <c r="E223">
        <v>1067.92</v>
      </c>
    </row>
    <row r="224" spans="1:5" x14ac:dyDescent="0.25">
      <c r="A224">
        <v>56.3</v>
      </c>
      <c r="B224">
        <v>745.34900000000005</v>
      </c>
      <c r="C224">
        <v>260.27</v>
      </c>
      <c r="D224">
        <v>1.32226</v>
      </c>
      <c r="E224">
        <v>1067.92</v>
      </c>
    </row>
    <row r="225" spans="1:5" x14ac:dyDescent="0.25">
      <c r="A225">
        <v>56.2</v>
      </c>
      <c r="B225">
        <v>745.34900000000005</v>
      </c>
      <c r="C225">
        <v>260.27</v>
      </c>
      <c r="D225">
        <v>1.32226</v>
      </c>
      <c r="E225">
        <v>1067.92</v>
      </c>
    </row>
    <row r="226" spans="1:5" x14ac:dyDescent="0.25">
      <c r="A226">
        <v>56.1</v>
      </c>
      <c r="B226">
        <v>745.34900000000005</v>
      </c>
      <c r="C226">
        <v>260.27</v>
      </c>
      <c r="D226">
        <v>1.32226</v>
      </c>
      <c r="E226">
        <v>1067.92</v>
      </c>
    </row>
    <row r="227" spans="1:5" x14ac:dyDescent="0.25">
      <c r="A227">
        <v>56</v>
      </c>
      <c r="B227">
        <v>745.34900000000005</v>
      </c>
      <c r="C227">
        <v>260.27</v>
      </c>
      <c r="D227">
        <v>1.32226</v>
      </c>
      <c r="E227">
        <v>1067.92</v>
      </c>
    </row>
    <row r="228" spans="1:5" x14ac:dyDescent="0.25">
      <c r="A228">
        <v>55.9</v>
      </c>
      <c r="B228">
        <v>745.34900000000005</v>
      </c>
      <c r="C228">
        <v>260.27</v>
      </c>
      <c r="D228">
        <v>1.32226</v>
      </c>
      <c r="E228">
        <v>1067.92</v>
      </c>
    </row>
    <row r="229" spans="1:5" x14ac:dyDescent="0.25">
      <c r="A229">
        <v>55.8</v>
      </c>
      <c r="B229">
        <v>745.34900000000005</v>
      </c>
      <c r="C229">
        <v>260.27</v>
      </c>
      <c r="D229">
        <v>1.32226</v>
      </c>
      <c r="E229">
        <v>1067.92</v>
      </c>
    </row>
    <row r="230" spans="1:5" x14ac:dyDescent="0.25">
      <c r="A230">
        <v>55.7</v>
      </c>
      <c r="B230">
        <v>745.34900000000005</v>
      </c>
      <c r="C230">
        <v>260.27</v>
      </c>
      <c r="D230">
        <v>1.32226</v>
      </c>
      <c r="E230">
        <v>1067.92</v>
      </c>
    </row>
    <row r="231" spans="1:5" x14ac:dyDescent="0.25">
      <c r="A231">
        <v>55.6</v>
      </c>
      <c r="B231">
        <v>745.34900000000005</v>
      </c>
      <c r="C231">
        <v>260.27</v>
      </c>
      <c r="D231">
        <v>1.32226</v>
      </c>
      <c r="E231">
        <v>1067.92</v>
      </c>
    </row>
    <row r="232" spans="1:5" x14ac:dyDescent="0.25">
      <c r="A232">
        <v>55.5</v>
      </c>
      <c r="B232">
        <v>745.34900000000005</v>
      </c>
      <c r="C232">
        <v>260.27</v>
      </c>
      <c r="D232">
        <v>1.32226</v>
      </c>
      <c r="E232">
        <v>1067.92</v>
      </c>
    </row>
    <row r="233" spans="1:5" x14ac:dyDescent="0.25">
      <c r="A233">
        <v>55.4</v>
      </c>
      <c r="B233">
        <v>745.34900000000005</v>
      </c>
      <c r="C233">
        <v>260.27</v>
      </c>
      <c r="D233">
        <v>1.32226</v>
      </c>
      <c r="E233">
        <v>1067.92</v>
      </c>
    </row>
    <row r="234" spans="1:5" x14ac:dyDescent="0.25">
      <c r="A234">
        <v>55.3</v>
      </c>
      <c r="B234">
        <v>745.34900000000005</v>
      </c>
      <c r="C234">
        <v>260.27</v>
      </c>
      <c r="D234">
        <v>1.32226</v>
      </c>
      <c r="E234">
        <v>1067.92</v>
      </c>
    </row>
    <row r="235" spans="1:5" x14ac:dyDescent="0.25">
      <c r="A235">
        <v>55.2</v>
      </c>
      <c r="B235">
        <v>745.34900000000005</v>
      </c>
      <c r="C235">
        <v>260.27</v>
      </c>
      <c r="D235">
        <v>1.32226</v>
      </c>
      <c r="E235">
        <v>1067.92</v>
      </c>
    </row>
    <row r="236" spans="1:5" x14ac:dyDescent="0.25">
      <c r="A236">
        <v>55.1</v>
      </c>
      <c r="B236">
        <v>745.34900000000005</v>
      </c>
      <c r="C236">
        <v>260.27</v>
      </c>
      <c r="D236">
        <v>1.32226</v>
      </c>
      <c r="E236">
        <v>1067.92</v>
      </c>
    </row>
    <row r="237" spans="1:5" x14ac:dyDescent="0.25">
      <c r="A237">
        <v>55</v>
      </c>
      <c r="B237">
        <v>745.34900000000005</v>
      </c>
      <c r="C237">
        <v>260.27</v>
      </c>
      <c r="D237">
        <v>1.32226</v>
      </c>
      <c r="E237">
        <v>1067.92</v>
      </c>
    </row>
    <row r="238" spans="1:5" x14ac:dyDescent="0.25">
      <c r="A238">
        <v>54</v>
      </c>
      <c r="B238">
        <v>745.34900000000005</v>
      </c>
      <c r="C238">
        <v>260.27</v>
      </c>
      <c r="D238">
        <v>1.32226</v>
      </c>
      <c r="E238">
        <v>1067.92</v>
      </c>
    </row>
    <row r="239" spans="1:5" x14ac:dyDescent="0.25">
      <c r="A239">
        <v>53</v>
      </c>
      <c r="B239">
        <v>745.34900000000005</v>
      </c>
      <c r="C239">
        <v>260.27</v>
      </c>
      <c r="D239">
        <v>1.32226</v>
      </c>
      <c r="E239">
        <v>1067.92</v>
      </c>
    </row>
    <row r="240" spans="1:5" x14ac:dyDescent="0.25">
      <c r="A240">
        <v>52</v>
      </c>
      <c r="B240">
        <v>745.34900000000005</v>
      </c>
      <c r="C240">
        <v>260.27</v>
      </c>
      <c r="D240">
        <v>1.32226</v>
      </c>
      <c r="E240">
        <v>1067.92</v>
      </c>
    </row>
    <row r="241" spans="1:5" x14ac:dyDescent="0.25">
      <c r="A241">
        <v>51</v>
      </c>
      <c r="B241">
        <v>745.34900000000005</v>
      </c>
      <c r="C241">
        <v>260.27</v>
      </c>
      <c r="D241">
        <v>1.32226</v>
      </c>
      <c r="E241">
        <v>1067.92</v>
      </c>
    </row>
    <row r="242" spans="1:5" x14ac:dyDescent="0.25">
      <c r="A242">
        <v>50</v>
      </c>
      <c r="B242">
        <v>745.34900000000005</v>
      </c>
      <c r="C242">
        <v>260.27</v>
      </c>
      <c r="D242">
        <v>1.32226</v>
      </c>
      <c r="E242">
        <v>1067.92</v>
      </c>
    </row>
    <row r="243" spans="1:5" x14ac:dyDescent="0.25">
      <c r="A243">
        <v>49</v>
      </c>
      <c r="B243">
        <v>745.34900000000005</v>
      </c>
      <c r="C243">
        <v>260.27</v>
      </c>
      <c r="D243">
        <v>1.32226</v>
      </c>
      <c r="E243">
        <v>1067.92</v>
      </c>
    </row>
    <row r="244" spans="1:5" x14ac:dyDescent="0.25">
      <c r="A244">
        <v>48</v>
      </c>
      <c r="B244">
        <v>745.34900000000005</v>
      </c>
      <c r="C244">
        <v>260.27</v>
      </c>
      <c r="D244">
        <v>1.32226</v>
      </c>
      <c r="E244">
        <v>1067.92</v>
      </c>
    </row>
    <row r="245" spans="1:5" x14ac:dyDescent="0.25">
      <c r="A245">
        <v>47</v>
      </c>
      <c r="B245">
        <v>745.34900000000005</v>
      </c>
      <c r="C245">
        <v>260.27</v>
      </c>
      <c r="D245">
        <v>1.32226</v>
      </c>
      <c r="E245">
        <v>1067.92</v>
      </c>
    </row>
    <row r="246" spans="1:5" x14ac:dyDescent="0.25">
      <c r="A246">
        <v>46</v>
      </c>
      <c r="B246">
        <v>745.34900000000005</v>
      </c>
      <c r="C246">
        <v>260.27</v>
      </c>
      <c r="D246">
        <v>1.32226</v>
      </c>
      <c r="E246">
        <v>1067.92</v>
      </c>
    </row>
    <row r="247" spans="1:5" x14ac:dyDescent="0.25">
      <c r="A247">
        <v>45</v>
      </c>
      <c r="B247">
        <v>745.34900000000005</v>
      </c>
      <c r="C247">
        <v>260.27</v>
      </c>
      <c r="D247">
        <v>1.32226</v>
      </c>
      <c r="E247">
        <v>1067.92</v>
      </c>
    </row>
    <row r="248" spans="1:5" x14ac:dyDescent="0.25">
      <c r="A248">
        <v>44</v>
      </c>
      <c r="B248">
        <v>745.34900000000005</v>
      </c>
      <c r="C248">
        <v>260.27</v>
      </c>
      <c r="D248">
        <v>1.32226</v>
      </c>
      <c r="E248">
        <v>1067.92</v>
      </c>
    </row>
    <row r="249" spans="1:5" x14ac:dyDescent="0.25">
      <c r="A249">
        <v>43</v>
      </c>
      <c r="B249">
        <v>745.34900000000005</v>
      </c>
      <c r="C249">
        <v>260.27</v>
      </c>
      <c r="D249">
        <v>1.32226</v>
      </c>
      <c r="E249">
        <v>1067.92</v>
      </c>
    </row>
    <row r="250" spans="1:5" x14ac:dyDescent="0.25">
      <c r="A250">
        <v>42</v>
      </c>
      <c r="B250">
        <v>745.34900000000005</v>
      </c>
      <c r="C250">
        <v>260.27</v>
      </c>
      <c r="D250">
        <v>1.32226</v>
      </c>
      <c r="E250">
        <v>1067.92</v>
      </c>
    </row>
    <row r="251" spans="1:5" x14ac:dyDescent="0.25">
      <c r="A251">
        <v>41</v>
      </c>
      <c r="B251">
        <v>745.34900000000005</v>
      </c>
      <c r="C251">
        <v>260.27</v>
      </c>
      <c r="D251">
        <v>1.32226</v>
      </c>
      <c r="E251">
        <v>1067.92</v>
      </c>
    </row>
    <row r="252" spans="1:5" x14ac:dyDescent="0.25">
      <c r="A252">
        <v>40</v>
      </c>
      <c r="B252">
        <v>745.34900000000005</v>
      </c>
      <c r="C252">
        <v>260.27</v>
      </c>
      <c r="D252">
        <v>1.32226</v>
      </c>
      <c r="E252">
        <v>1067.92</v>
      </c>
    </row>
    <row r="253" spans="1:5" x14ac:dyDescent="0.25">
      <c r="A253">
        <v>39</v>
      </c>
      <c r="B253">
        <v>745.34900000000005</v>
      </c>
      <c r="C253">
        <v>260.27</v>
      </c>
      <c r="D253">
        <v>1.32226</v>
      </c>
      <c r="E253">
        <v>1067.92</v>
      </c>
    </row>
    <row r="254" spans="1:5" x14ac:dyDescent="0.25">
      <c r="A254">
        <v>38</v>
      </c>
      <c r="B254">
        <v>745.34900000000005</v>
      </c>
      <c r="C254">
        <v>260.27</v>
      </c>
      <c r="D254">
        <v>1.32226</v>
      </c>
      <c r="E254">
        <v>1067.92</v>
      </c>
    </row>
    <row r="255" spans="1:5" x14ac:dyDescent="0.25">
      <c r="A255">
        <v>37</v>
      </c>
      <c r="B255">
        <v>745.34900000000005</v>
      </c>
      <c r="C255">
        <v>260.27</v>
      </c>
      <c r="D255">
        <v>1.32226</v>
      </c>
      <c r="E255">
        <v>1067.92</v>
      </c>
    </row>
    <row r="256" spans="1:5" x14ac:dyDescent="0.25">
      <c r="A256">
        <v>36</v>
      </c>
      <c r="B256">
        <v>745.34900000000005</v>
      </c>
      <c r="C256">
        <v>260.27</v>
      </c>
      <c r="D256">
        <v>1.32226</v>
      </c>
      <c r="E256">
        <v>1067.92</v>
      </c>
    </row>
    <row r="257" spans="1:5" x14ac:dyDescent="0.25">
      <c r="A257">
        <v>35</v>
      </c>
      <c r="B257">
        <v>745.34900000000005</v>
      </c>
      <c r="C257">
        <v>260.27</v>
      </c>
      <c r="D257">
        <v>1.32226</v>
      </c>
      <c r="E257">
        <v>1067.92</v>
      </c>
    </row>
    <row r="258" spans="1:5" x14ac:dyDescent="0.25">
      <c r="A258">
        <v>34</v>
      </c>
      <c r="B258">
        <v>745.34900000000005</v>
      </c>
      <c r="C258">
        <v>260.27</v>
      </c>
      <c r="D258">
        <v>1.32226</v>
      </c>
      <c r="E258">
        <v>1067.92</v>
      </c>
    </row>
    <row r="259" spans="1:5" x14ac:dyDescent="0.25">
      <c r="A259">
        <v>33</v>
      </c>
      <c r="B259">
        <v>745.34900000000005</v>
      </c>
      <c r="C259">
        <v>260.27</v>
      </c>
      <c r="D259">
        <v>1.32226</v>
      </c>
      <c r="E259">
        <v>1067.92</v>
      </c>
    </row>
    <row r="260" spans="1:5" x14ac:dyDescent="0.25">
      <c r="A260">
        <v>32</v>
      </c>
      <c r="B260">
        <v>745.34900000000005</v>
      </c>
      <c r="C260">
        <v>260.27</v>
      </c>
      <c r="D260">
        <v>1.32226</v>
      </c>
      <c r="E260">
        <v>1067.92</v>
      </c>
    </row>
    <row r="261" spans="1:5" x14ac:dyDescent="0.25">
      <c r="A261">
        <v>31</v>
      </c>
      <c r="B261">
        <v>745.34900000000005</v>
      </c>
      <c r="C261">
        <v>260.27</v>
      </c>
      <c r="D261">
        <v>1.32226</v>
      </c>
      <c r="E261">
        <v>1067.92</v>
      </c>
    </row>
    <row r="262" spans="1:5" x14ac:dyDescent="0.25">
      <c r="A262">
        <v>30</v>
      </c>
      <c r="B262">
        <v>745.34900000000005</v>
      </c>
      <c r="C262">
        <v>260.27</v>
      </c>
      <c r="D262">
        <v>1.32226</v>
      </c>
      <c r="E262">
        <v>1067.92</v>
      </c>
    </row>
    <row r="263" spans="1:5" x14ac:dyDescent="0.25">
      <c r="A263">
        <v>29</v>
      </c>
      <c r="B263">
        <v>745.34900000000005</v>
      </c>
      <c r="C263">
        <v>260.27</v>
      </c>
      <c r="D263">
        <v>1.32226</v>
      </c>
      <c r="E263">
        <v>1067.92</v>
      </c>
    </row>
    <row r="264" spans="1:5" x14ac:dyDescent="0.25">
      <c r="A264">
        <v>28</v>
      </c>
      <c r="B264">
        <v>745.34900000000005</v>
      </c>
      <c r="C264">
        <v>260.27</v>
      </c>
      <c r="D264">
        <v>1.32226</v>
      </c>
      <c r="E264">
        <v>1067.92</v>
      </c>
    </row>
    <row r="265" spans="1:5" x14ac:dyDescent="0.25">
      <c r="A265">
        <v>27</v>
      </c>
      <c r="B265">
        <v>745.34900000000005</v>
      </c>
      <c r="C265">
        <v>260.27</v>
      </c>
      <c r="D265">
        <v>1.32226</v>
      </c>
      <c r="E265">
        <v>1067.92</v>
      </c>
    </row>
    <row r="266" spans="1:5" x14ac:dyDescent="0.25">
      <c r="A266">
        <v>26</v>
      </c>
      <c r="B266">
        <v>745.34900000000005</v>
      </c>
      <c r="C266">
        <v>260.27</v>
      </c>
      <c r="D266">
        <v>1.32226</v>
      </c>
      <c r="E266">
        <v>1067.92</v>
      </c>
    </row>
    <row r="267" spans="1:5" x14ac:dyDescent="0.25">
      <c r="A267">
        <v>25</v>
      </c>
      <c r="B267">
        <v>745.34900000000005</v>
      </c>
      <c r="C267">
        <v>260.27</v>
      </c>
      <c r="D267">
        <v>1.32226</v>
      </c>
      <c r="E267">
        <v>1067.92</v>
      </c>
    </row>
    <row r="268" spans="1:5" x14ac:dyDescent="0.25">
      <c r="A268">
        <v>24</v>
      </c>
      <c r="B268">
        <v>745.34900000000005</v>
      </c>
      <c r="C268">
        <v>260.27</v>
      </c>
      <c r="D268">
        <v>1.32226</v>
      </c>
      <c r="E268">
        <v>1067.92</v>
      </c>
    </row>
    <row r="269" spans="1:5" x14ac:dyDescent="0.25">
      <c r="A269">
        <v>23</v>
      </c>
      <c r="B269">
        <v>745.34900000000005</v>
      </c>
      <c r="C269">
        <v>260.27</v>
      </c>
      <c r="D269">
        <v>1.32226</v>
      </c>
      <c r="E269">
        <v>1067.92</v>
      </c>
    </row>
    <row r="270" spans="1:5" x14ac:dyDescent="0.25">
      <c r="A270">
        <v>22</v>
      </c>
      <c r="B270">
        <v>745.34900000000005</v>
      </c>
      <c r="C270">
        <v>260.27</v>
      </c>
      <c r="D270">
        <v>1.32226</v>
      </c>
      <c r="E270">
        <v>1067.92</v>
      </c>
    </row>
    <row r="271" spans="1:5" x14ac:dyDescent="0.25">
      <c r="A271">
        <v>21</v>
      </c>
      <c r="B271">
        <v>745.34900000000005</v>
      </c>
      <c r="C271">
        <v>260.27</v>
      </c>
      <c r="D271">
        <v>1.32226</v>
      </c>
      <c r="E271">
        <v>1067.92</v>
      </c>
    </row>
    <row r="272" spans="1:5" x14ac:dyDescent="0.25">
      <c r="A272">
        <v>20</v>
      </c>
      <c r="B272">
        <v>745.34900000000005</v>
      </c>
      <c r="C272">
        <v>260.27</v>
      </c>
      <c r="D272">
        <v>1.32226</v>
      </c>
      <c r="E272">
        <v>1067.92</v>
      </c>
    </row>
    <row r="273" spans="1:5" x14ac:dyDescent="0.25">
      <c r="A273">
        <v>19</v>
      </c>
      <c r="B273">
        <v>745.34900000000005</v>
      </c>
      <c r="C273">
        <v>260.27</v>
      </c>
      <c r="D273">
        <v>1.32226</v>
      </c>
      <c r="E273">
        <v>1067.92</v>
      </c>
    </row>
    <row r="274" spans="1:5" x14ac:dyDescent="0.25">
      <c r="A274">
        <v>18</v>
      </c>
      <c r="B274">
        <v>745.34900000000005</v>
      </c>
      <c r="C274">
        <v>260.27</v>
      </c>
      <c r="D274">
        <v>1.32226</v>
      </c>
      <c r="E274">
        <v>1067.92</v>
      </c>
    </row>
    <row r="275" spans="1:5" x14ac:dyDescent="0.25">
      <c r="A275">
        <v>17</v>
      </c>
      <c r="B275">
        <v>745.34900000000005</v>
      </c>
      <c r="C275">
        <v>260.27</v>
      </c>
      <c r="D275">
        <v>1.32226</v>
      </c>
      <c r="E275">
        <v>1067.92</v>
      </c>
    </row>
    <row r="276" spans="1:5" x14ac:dyDescent="0.25">
      <c r="A276">
        <v>16</v>
      </c>
      <c r="B276">
        <v>745.34900000000005</v>
      </c>
      <c r="C276">
        <v>260.27</v>
      </c>
      <c r="D276">
        <v>1.32226</v>
      </c>
      <c r="E276">
        <v>1067.92</v>
      </c>
    </row>
    <row r="277" spans="1:5" x14ac:dyDescent="0.25">
      <c r="A277">
        <v>15</v>
      </c>
      <c r="B277">
        <v>745.34900000000005</v>
      </c>
      <c r="C277">
        <v>260.27</v>
      </c>
      <c r="D277">
        <v>1.32226</v>
      </c>
      <c r="E277">
        <v>1067.92</v>
      </c>
    </row>
    <row r="278" spans="1:5" x14ac:dyDescent="0.25">
      <c r="A278">
        <v>14</v>
      </c>
      <c r="B278">
        <v>745.34900000000005</v>
      </c>
      <c r="C278">
        <v>260.27</v>
      </c>
      <c r="D278">
        <v>1.32226</v>
      </c>
      <c r="E278">
        <v>1067.92</v>
      </c>
    </row>
    <row r="279" spans="1:5" x14ac:dyDescent="0.25">
      <c r="A279">
        <v>13</v>
      </c>
      <c r="B279">
        <v>745.34900000000005</v>
      </c>
      <c r="C279">
        <v>260.27</v>
      </c>
      <c r="D279">
        <v>1.32226</v>
      </c>
      <c r="E279">
        <v>1067.92</v>
      </c>
    </row>
    <row r="280" spans="1:5" x14ac:dyDescent="0.25">
      <c r="A280">
        <v>12</v>
      </c>
      <c r="B280">
        <v>745.34900000000005</v>
      </c>
      <c r="C280">
        <v>260.27</v>
      </c>
      <c r="D280">
        <v>1.32226</v>
      </c>
      <c r="E280">
        <v>1067.92</v>
      </c>
    </row>
    <row r="281" spans="1:5" x14ac:dyDescent="0.25">
      <c r="A281">
        <v>11</v>
      </c>
      <c r="B281">
        <v>745.34900000000005</v>
      </c>
      <c r="C281">
        <v>260.27</v>
      </c>
      <c r="D281">
        <v>1.32226</v>
      </c>
      <c r="E281">
        <v>1067.92</v>
      </c>
    </row>
    <row r="282" spans="1:5" x14ac:dyDescent="0.25">
      <c r="A282">
        <v>10</v>
      </c>
      <c r="B282">
        <v>745.34900000000005</v>
      </c>
      <c r="C282">
        <v>260.27</v>
      </c>
      <c r="D282">
        <v>1.32226</v>
      </c>
      <c r="E282">
        <v>1067.92</v>
      </c>
    </row>
    <row r="283" spans="1:5" x14ac:dyDescent="0.25">
      <c r="A283">
        <v>9</v>
      </c>
      <c r="B283">
        <v>745.34900000000005</v>
      </c>
      <c r="C283">
        <v>260.27</v>
      </c>
      <c r="D283">
        <v>1.32226</v>
      </c>
      <c r="E283">
        <v>1067.92</v>
      </c>
    </row>
    <row r="284" spans="1:5" x14ac:dyDescent="0.25">
      <c r="A284">
        <v>8</v>
      </c>
      <c r="B284">
        <v>745.34900000000005</v>
      </c>
      <c r="C284">
        <v>260.27</v>
      </c>
      <c r="D284">
        <v>1.32226</v>
      </c>
      <c r="E284">
        <v>1067.92</v>
      </c>
    </row>
    <row r="285" spans="1:5" x14ac:dyDescent="0.25">
      <c r="A285">
        <v>7</v>
      </c>
      <c r="B285">
        <v>745.34900000000005</v>
      </c>
      <c r="C285">
        <v>260.27</v>
      </c>
      <c r="D285">
        <v>1.32226</v>
      </c>
      <c r="E285">
        <v>1067.92</v>
      </c>
    </row>
    <row r="286" spans="1:5" x14ac:dyDescent="0.25">
      <c r="A286">
        <v>6</v>
      </c>
      <c r="B286">
        <v>745.34900000000005</v>
      </c>
      <c r="C286">
        <v>260.27</v>
      </c>
      <c r="D286">
        <v>1.32226</v>
      </c>
      <c r="E286">
        <v>1067.92</v>
      </c>
    </row>
    <row r="287" spans="1:5" x14ac:dyDescent="0.25">
      <c r="A287">
        <v>5</v>
      </c>
      <c r="B287">
        <v>745.34900000000005</v>
      </c>
      <c r="C287">
        <v>260.27</v>
      </c>
      <c r="D287">
        <v>1.32226</v>
      </c>
      <c r="E287">
        <v>1067.92</v>
      </c>
    </row>
    <row r="288" spans="1:5" x14ac:dyDescent="0.25">
      <c r="A288">
        <v>4</v>
      </c>
      <c r="B288">
        <v>745.34900000000005</v>
      </c>
      <c r="C288">
        <v>260.27</v>
      </c>
      <c r="D288">
        <v>1.32226</v>
      </c>
      <c r="E288">
        <v>1067.92</v>
      </c>
    </row>
    <row r="289" spans="1:5" x14ac:dyDescent="0.25">
      <c r="A289">
        <v>3</v>
      </c>
      <c r="B289">
        <v>745.34900000000005</v>
      </c>
      <c r="C289">
        <v>260.27</v>
      </c>
      <c r="D289">
        <v>1.32226</v>
      </c>
      <c r="E289">
        <v>1067.92</v>
      </c>
    </row>
    <row r="290" spans="1:5" x14ac:dyDescent="0.25">
      <c r="A290">
        <v>2</v>
      </c>
      <c r="B290">
        <v>745.34900000000005</v>
      </c>
      <c r="C290">
        <v>260.27</v>
      </c>
      <c r="D290">
        <v>1.32226</v>
      </c>
      <c r="E290">
        <v>1067.92</v>
      </c>
    </row>
    <row r="291" spans="1:5" x14ac:dyDescent="0.25">
      <c r="A291">
        <v>1</v>
      </c>
      <c r="B291">
        <v>745.34900000000005</v>
      </c>
      <c r="C291">
        <v>260.27</v>
      </c>
      <c r="D291">
        <v>1.32226</v>
      </c>
      <c r="E291">
        <v>1067.92</v>
      </c>
    </row>
    <row r="292" spans="1:5" x14ac:dyDescent="0.25">
      <c r="A292">
        <v>1E-4</v>
      </c>
      <c r="B292">
        <v>745.34900000000005</v>
      </c>
      <c r="C292">
        <v>260.27</v>
      </c>
      <c r="D292">
        <v>1.32226</v>
      </c>
      <c r="E29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259F2-63AF-4343-B15F-292F70617C2F}">
  <sheetPr>
    <tabColor rgb="FF00B0F0"/>
  </sheetPr>
  <dimension ref="A1:AK233"/>
  <sheetViews>
    <sheetView topLeftCell="Q196" zoomScale="145" zoomScaleNormal="145" workbookViewId="0">
      <selection activeCell="A226" sqref="A226:AI226"/>
    </sheetView>
  </sheetViews>
  <sheetFormatPr defaultColWidth="9.140625" defaultRowHeight="9.9499999999999993" customHeight="1" x14ac:dyDescent="0.2"/>
  <cols>
    <col min="1" max="1" width="5.28515625" style="14" customWidth="1"/>
    <col min="2" max="3" width="6.140625" style="14" bestFit="1" customWidth="1"/>
    <col min="4" max="34" width="8.28515625" style="14" bestFit="1" customWidth="1"/>
    <col min="35" max="35" width="7" style="14" bestFit="1" customWidth="1"/>
    <col min="36" max="36" width="3.85546875" style="14" customWidth="1"/>
    <col min="37" max="37" width="9.140625" style="14"/>
    <col min="38" max="38" width="13.42578125" style="14" customWidth="1"/>
    <col min="39" max="16384" width="9.140625" style="14"/>
  </cols>
  <sheetData>
    <row r="1" spans="1:36" ht="9.9499999999999993" customHeight="1" x14ac:dyDescent="0.2">
      <c r="A1" s="55">
        <v>1236.9579964177794</v>
      </c>
      <c r="B1" s="20">
        <f>[1]!Density("oxygen","TP","SI",$AJ1,B$227)</f>
        <v>1236.9594480282008</v>
      </c>
      <c r="C1" s="20">
        <f>[1]!Density("oxygen","TP","SI",$AJ1,C$227)</f>
        <v>1236.9812206623619</v>
      </c>
      <c r="D1" s="20">
        <f>[1]!Density("oxygen","TP","SI",$AJ1,D$227)</f>
        <v>1237.0175020456065</v>
      </c>
      <c r="E1" s="20">
        <f>[1]!Density("oxygen","TP","SI",$AJ1,E$227)</f>
        <v>1237.0610292495037</v>
      </c>
      <c r="F1" s="20">
        <f>[1]!Density("oxygen","TP","SI",$AJ1,F$227)</f>
        <v>1237.0900410520953</v>
      </c>
      <c r="G1" s="20">
        <f>[1]!Density("oxygen","TP","SI",$AJ1,G$227)</f>
        <v>1237.2350241518729</v>
      </c>
      <c r="H1" s="20">
        <f>[1]!Density("oxygen","TP","SI",$AJ1,H$227)</f>
        <v>1237.3798809415825</v>
      </c>
      <c r="I1" s="20">
        <f>[1]!Density("oxygen","TP","SI",$AJ1,I$227)</f>
        <v>1237.524611709219</v>
      </c>
      <c r="J1" s="20">
        <f>[1]!Density("oxygen","TP","SI",$AJ1,J$227)</f>
        <v>1237.5969299244323</v>
      </c>
      <c r="K1" s="20">
        <f>[1]!Density("oxygen","TP","SI",$AJ1,K$227)</f>
        <v>1237.6692167415895</v>
      </c>
      <c r="L1" s="20">
        <f>[1]!Density("oxygen","TP","SI",$AJ1,L$227)</f>
        <v>1238.3903658307679</v>
      </c>
      <c r="M1" s="20">
        <f>[1]!Density("oxygen","TP","SI",$AJ1,M$227)</f>
        <v>1239.8233954817467</v>
      </c>
      <c r="N1" s="20">
        <f>[1]!Density("oxygen","TP","SI",$AJ1,N$227)</f>
        <v>1242.6533246213689</v>
      </c>
      <c r="O1" s="20">
        <f>[1]!Density("oxygen","TP","SI",$AJ1,O$227)</f>
        <v>1248.175684231288</v>
      </c>
      <c r="P1" s="20">
        <f>[1]!Density("oxygen","TP","SI",$AJ1,P$227)</f>
        <v>1250.871800340816</v>
      </c>
      <c r="Q1" s="20">
        <f>[1]!Density("oxygen","TP","SI",$AJ1,Q$227)</f>
        <v>1252.2043345673887</v>
      </c>
      <c r="R1" s="20">
        <f>[1]!Density("oxygen","TP","SI",$AJ1,R$227)</f>
        <v>1253.5267827589046</v>
      </c>
      <c r="S1" s="20">
        <f>[1]!Density("oxygen","TP","SI",$AJ1,S$227)</f>
        <v>1254.8393339722022</v>
      </c>
      <c r="T1" s="20">
        <f>[1]!Density("oxygen","TP","SI",$AJ1,T$227)</f>
        <v>1256.1421709900665</v>
      </c>
      <c r="U1" s="20">
        <f>[1]!Density("oxygen","TP","SI",$AJ1,U$227)</f>
        <v>1257.4354706232239</v>
      </c>
      <c r="V1" s="20">
        <f>[1]!Density("oxygen","TP","SI",$AJ1,V$227)</f>
        <v>1258.7194039938108</v>
      </c>
      <c r="W1" s="20">
        <f>[1]!Density("oxygen","TP","SI",$AJ1,W$227)</f>
        <v>1259.9941368016705</v>
      </c>
      <c r="X1" s="20">
        <f>[1]!Density("oxygen","TP","SI",$AJ1,X$227)</f>
        <v>1261.259829574753</v>
      </c>
      <c r="Y1" s="20">
        <f>[1]!Density("oxygen","TP","SI",$AJ1,Y$227)</f>
        <v>1262.51663790473</v>
      </c>
      <c r="Z1" s="20">
        <f>[1]!Density("oxygen","TP","SI",$AJ1,Z$227)</f>
        <v>1263.764712668871</v>
      </c>
      <c r="AA1" s="20">
        <f>[1]!Density("oxygen","TP","SI",$AJ1,AA$227)</f>
        <v>1265.0042002391567</v>
      </c>
      <c r="AB1" s="20">
        <f>[1]!Density("oxygen","TP","SI",$AJ1,AB$227)</f>
        <v>1266.2352426794969</v>
      </c>
      <c r="AC1" s="20">
        <f>[1]!Density("oxygen","TP","SI",$AJ1,AC$227)</f>
        <v>1267.4579779318703</v>
      </c>
      <c r="AD1" s="20">
        <f>[1]!Density("oxygen","TP","SI",$AJ1,AD$227)</f>
        <v>1268.6725399921218</v>
      </c>
      <c r="AE1" s="20">
        <f>[1]!Density("oxygen","TP","SI",$AJ1,AE$227)</f>
        <v>1269.8790590761262</v>
      </c>
      <c r="AF1" s="20">
        <f>[1]!Density("oxygen","TP","SI",$AJ1,AF$227)</f>
        <v>1271.0776617769309</v>
      </c>
      <c r="AG1" s="20">
        <f>[1]!Density("oxygen","TP","SI",$AJ1,AG$227)</f>
        <v>1272.2684712134783</v>
      </c>
      <c r="AH1" s="20">
        <f>[1]!Density("oxygen","TP","SI",$AJ1,AH$227)</f>
        <v>1273.4516071714515</v>
      </c>
      <c r="AI1" s="20">
        <v>1274.6271862367221</v>
      </c>
      <c r="AJ1" s="14">
        <v>70</v>
      </c>
    </row>
    <row r="2" spans="1:36" ht="9.9499999999999993" customHeight="1" x14ac:dyDescent="0.2">
      <c r="A2" s="20">
        <v>0.43456153009951026</v>
      </c>
      <c r="B2" s="61">
        <v>0.48305010623672673</v>
      </c>
      <c r="C2" s="61">
        <v>1.2157254552742029</v>
      </c>
      <c r="D2" s="61">
        <v>1190.4973811905056</v>
      </c>
      <c r="E2" s="61">
        <v>1190.5507147982048</v>
      </c>
      <c r="F2" s="61">
        <v>1190.5862601516471</v>
      </c>
      <c r="G2" s="61">
        <v>1190.7638624892627</v>
      </c>
      <c r="H2" s="61">
        <v>1190.9412579088191</v>
      </c>
      <c r="I2" s="61">
        <v>1191.1184470411779</v>
      </c>
      <c r="J2" s="61">
        <v>1191.2069644458936</v>
      </c>
      <c r="K2" s="61">
        <v>1191.2954305138746</v>
      </c>
      <c r="L2" s="61">
        <v>1192.1772847160048</v>
      </c>
      <c r="M2" s="61">
        <v>1193.9259202586277</v>
      </c>
      <c r="N2" s="61">
        <v>1197.3649301629837</v>
      </c>
      <c r="O2" s="61">
        <v>1204.0247166188913</v>
      </c>
      <c r="P2" s="61">
        <v>1207.2530955154143</v>
      </c>
      <c r="Q2" s="61">
        <v>1208.8434046708323</v>
      </c>
      <c r="R2" s="61">
        <v>1210.4183154855918</v>
      </c>
      <c r="S2" s="61">
        <v>1211.9781988994494</v>
      </c>
      <c r="T2" s="61">
        <v>1213.5234106468811</v>
      </c>
      <c r="U2" s="61">
        <v>1215.0542921362985</v>
      </c>
      <c r="V2" s="61">
        <v>1216.5711712647724</v>
      </c>
      <c r="W2" s="61">
        <v>1218.0743631739329</v>
      </c>
      <c r="X2" s="61">
        <v>1219.5641709521296</v>
      </c>
      <c r="Y2" s="61">
        <v>1221.0408862874679</v>
      </c>
      <c r="Z2" s="61">
        <v>1222.5047900758109</v>
      </c>
      <c r="AA2" s="61">
        <v>1223.9561529875182</v>
      </c>
      <c r="AB2" s="61">
        <v>1225.3952359962477</v>
      </c>
      <c r="AC2" s="61">
        <v>1226.8222908728999</v>
      </c>
      <c r="AD2" s="61">
        <v>1228.2375606474502</v>
      </c>
      <c r="AE2" s="61">
        <v>1229.6412800411895</v>
      </c>
      <c r="AF2" s="61">
        <v>1231.0336758716585</v>
      </c>
      <c r="AG2" s="61">
        <v>1232.4149674323241</v>
      </c>
      <c r="AH2" s="61">
        <v>1233.7853668489413</v>
      </c>
      <c r="AI2" s="20">
        <v>1235.1450794142741</v>
      </c>
      <c r="AJ2" s="13">
        <v>80</v>
      </c>
    </row>
    <row r="3" spans="1:36" ht="9.9499999999999993" customHeight="1" x14ac:dyDescent="0.2">
      <c r="A3" s="20">
        <v>0.40878939749350296</v>
      </c>
      <c r="B3" s="61">
        <v>0.45437186250945266</v>
      </c>
      <c r="C3" s="61">
        <v>1.1421275232161032</v>
      </c>
      <c r="D3" s="61">
        <v>2.3061379013714141</v>
      </c>
      <c r="E3" s="61">
        <v>1166.6172776872941</v>
      </c>
      <c r="F3" s="61">
        <v>1166.6569394691655</v>
      </c>
      <c r="G3" s="61">
        <v>1166.8550866659441</v>
      </c>
      <c r="H3" s="61">
        <v>1167.0529650446574</v>
      </c>
      <c r="I3" s="61">
        <v>1167.2505755591408</v>
      </c>
      <c r="J3" s="61">
        <v>1167.3492806637869</v>
      </c>
      <c r="K3" s="61">
        <v>1167.4479191574492</v>
      </c>
      <c r="L3" s="61">
        <v>1168.4306661898938</v>
      </c>
      <c r="M3" s="61">
        <v>1170.376670742038</v>
      </c>
      <c r="N3" s="61">
        <v>1174.1937544122011</v>
      </c>
      <c r="O3" s="61">
        <v>1181.550063910933</v>
      </c>
      <c r="P3" s="61">
        <v>1185.1003409494635</v>
      </c>
      <c r="Q3" s="61">
        <v>1186.8456583717204</v>
      </c>
      <c r="R3" s="61">
        <v>1188.5718348132107</v>
      </c>
      <c r="S3" s="61">
        <v>1190.2793926450756</v>
      </c>
      <c r="T3" s="61">
        <v>1191.9688303165083</v>
      </c>
      <c r="U3" s="61">
        <v>1193.6406238848626</v>
      </c>
      <c r="V3" s="61">
        <v>1195.2952284220053</v>
      </c>
      <c r="W3" s="61">
        <v>1196.9330793088625</v>
      </c>
      <c r="X3" s="61">
        <v>1198.5545934288591</v>
      </c>
      <c r="Y3" s="61">
        <v>1200.1601702696903</v>
      </c>
      <c r="Z3" s="61">
        <v>1201.7501929418947</v>
      </c>
      <c r="AA3" s="61">
        <v>1203.3250291217473</v>
      </c>
      <c r="AB3" s="61">
        <v>1204.8850319252451</v>
      </c>
      <c r="AC3" s="61">
        <v>1206.4305407192144</v>
      </c>
      <c r="AD3" s="61">
        <v>1207.9618818749766</v>
      </c>
      <c r="AE3" s="61">
        <v>1209.4793694694829</v>
      </c>
      <c r="AF3" s="61">
        <v>1210.983305938279</v>
      </c>
      <c r="AG3" s="61">
        <v>1212.4739826843161</v>
      </c>
      <c r="AH3" s="61">
        <v>1213.9516806461829</v>
      </c>
      <c r="AI3" s="20">
        <v>1215.4166708290088</v>
      </c>
      <c r="AJ3" s="13">
        <v>85</v>
      </c>
    </row>
    <row r="4" spans="1:36" ht="9.9499999999999993" customHeight="1" x14ac:dyDescent="0.2">
      <c r="A4" s="20">
        <v>0.38591589461995796</v>
      </c>
      <c r="B4" s="61">
        <v>0.42892658343856788</v>
      </c>
      <c r="C4" s="61">
        <v>1.0773014474843727</v>
      </c>
      <c r="D4" s="61">
        <v>2.1717775354906617</v>
      </c>
      <c r="E4" s="61">
        <v>3.5093662833448538</v>
      </c>
      <c r="F4" s="61">
        <v>1142.105541630285</v>
      </c>
      <c r="G4" s="61">
        <v>1142.3280600952751</v>
      </c>
      <c r="H4" s="61">
        <v>1142.5502246693018</v>
      </c>
      <c r="I4" s="61">
        <v>1142.7720368225141</v>
      </c>
      <c r="J4" s="61">
        <v>1142.8828111979128</v>
      </c>
      <c r="K4" s="61">
        <v>1142.993498014748</v>
      </c>
      <c r="L4" s="61">
        <v>1144.0955899463595</v>
      </c>
      <c r="M4" s="61">
        <v>1146.2742628597857</v>
      </c>
      <c r="N4" s="61">
        <v>1150.5341705490937</v>
      </c>
      <c r="O4" s="61">
        <v>1158.6969050171808</v>
      </c>
      <c r="P4" s="61">
        <v>1162.6159792496744</v>
      </c>
      <c r="Q4" s="61">
        <v>1164.5380508177386</v>
      </c>
      <c r="R4" s="61">
        <v>1166.4362012132215</v>
      </c>
      <c r="S4" s="61">
        <v>1168.3111703644045</v>
      </c>
      <c r="T4" s="61">
        <v>1170.1636602483341</v>
      </c>
      <c r="U4" s="61">
        <v>1171.9943375871214</v>
      </c>
      <c r="V4" s="61">
        <v>1173.8038363027658</v>
      </c>
      <c r="W4" s="61">
        <v>1175.5927597563916</v>
      </c>
      <c r="X4" s="61">
        <v>1177.3616827945439</v>
      </c>
      <c r="Y4" s="61">
        <v>1179.1111536224626</v>
      </c>
      <c r="Z4" s="61">
        <v>1180.8416955218488</v>
      </c>
      <c r="AA4" s="61">
        <v>1182.5538084285929</v>
      </c>
      <c r="AB4" s="61">
        <v>1184.2479703841548</v>
      </c>
      <c r="AC4" s="61">
        <v>1185.9246388727217</v>
      </c>
      <c r="AD4" s="61">
        <v>1187.584252054929</v>
      </c>
      <c r="AE4" s="61">
        <v>1189.2272299077481</v>
      </c>
      <c r="AF4" s="61">
        <v>1190.8539752791021</v>
      </c>
      <c r="AG4" s="61">
        <v>1192.4648748648785</v>
      </c>
      <c r="AH4" s="61">
        <v>1194.0603001151876</v>
      </c>
      <c r="AI4" s="20">
        <v>1195.6406080760305</v>
      </c>
      <c r="AJ4" s="13">
        <v>90</v>
      </c>
    </row>
    <row r="5" spans="1:36" ht="9.9499999999999993" customHeight="1" x14ac:dyDescent="0.2">
      <c r="A5" s="20">
        <v>0.36547288597306049</v>
      </c>
      <c r="B5" s="61">
        <v>0.40618856401386649</v>
      </c>
      <c r="C5" s="61">
        <v>1.0195452345138865</v>
      </c>
      <c r="D5" s="61">
        <v>2.0530011412913058</v>
      </c>
      <c r="E5" s="61">
        <v>3.312406767693965</v>
      </c>
      <c r="F5" s="61">
        <v>4.16422893499767</v>
      </c>
      <c r="G5" s="61">
        <v>1117.0199529467352</v>
      </c>
      <c r="H5" s="61">
        <v>1117.2713502655706</v>
      </c>
      <c r="I5" s="61">
        <v>1117.5222761223688</v>
      </c>
      <c r="J5" s="61">
        <v>1117.6475629732588</v>
      </c>
      <c r="K5" s="61">
        <v>1117.772732821184</v>
      </c>
      <c r="L5" s="61">
        <v>1119.0180582810808</v>
      </c>
      <c r="M5" s="61">
        <v>1121.4747952608038</v>
      </c>
      <c r="N5" s="61">
        <v>1126.2597600138583</v>
      </c>
      <c r="O5" s="61">
        <v>1135.3654188451753</v>
      </c>
      <c r="P5" s="61">
        <v>1139.7103556489162</v>
      </c>
      <c r="Q5" s="61">
        <v>1141.8353992650266</v>
      </c>
      <c r="R5" s="61">
        <v>1143.9303474913891</v>
      </c>
      <c r="S5" s="61">
        <v>1145.9962569043505</v>
      </c>
      <c r="T5" s="61">
        <v>1148.0341232244352</v>
      </c>
      <c r="U5" s="61">
        <v>1150.0448861363441</v>
      </c>
      <c r="V5" s="61">
        <v>1152.0294336294255</v>
      </c>
      <c r="W5" s="61">
        <v>1153.9886059155467</v>
      </c>
      <c r="X5" s="61">
        <v>1155.9231989735274</v>
      </c>
      <c r="Y5" s="61">
        <v>1157.8339677626418</v>
      </c>
      <c r="Z5" s="61">
        <v>1159.7216291421353</v>
      </c>
      <c r="AA5" s="61">
        <v>1161.5868645289252</v>
      </c>
      <c r="AB5" s="61">
        <v>1163.4303223215597</v>
      </c>
      <c r="AC5" s="61">
        <v>1165.2526201150442</v>
      </c>
      <c r="AD5" s="61">
        <v>1167.0543467281459</v>
      </c>
      <c r="AE5" s="61">
        <v>1168.8360640621861</v>
      </c>
      <c r="AF5" s="61">
        <v>1170.598308808107</v>
      </c>
      <c r="AG5" s="61">
        <v>1172.3415940166497</v>
      </c>
      <c r="AH5" s="61">
        <v>1174.0664105448282</v>
      </c>
      <c r="AI5" s="20">
        <v>1175.7732283903651</v>
      </c>
      <c r="AJ5" s="13">
        <v>95</v>
      </c>
    </row>
    <row r="6" spans="1:36" ht="9.9499999999999993" customHeight="1" x14ac:dyDescent="0.2">
      <c r="A6" s="20">
        <v>0.34709280299269113</v>
      </c>
      <c r="B6" s="61">
        <v>0.38574753708446896</v>
      </c>
      <c r="C6" s="61">
        <v>0.96772757295586398</v>
      </c>
      <c r="D6" s="61">
        <v>1.9468716332704161</v>
      </c>
      <c r="E6" s="61">
        <v>3.1375110517787688</v>
      </c>
      <c r="F6" s="61">
        <v>3.941120633430709</v>
      </c>
      <c r="G6" s="61">
        <v>8.0871420743457065</v>
      </c>
      <c r="H6" s="61">
        <v>1091.019859331584</v>
      </c>
      <c r="I6" s="61">
        <v>1091.3064588902798</v>
      </c>
      <c r="J6" s="61">
        <v>1091.4495182492003</v>
      </c>
      <c r="K6" s="61">
        <v>1091.5924179497904</v>
      </c>
      <c r="L6" s="61">
        <v>1093.0127346539268</v>
      </c>
      <c r="M6" s="61">
        <v>1095.8073899874587</v>
      </c>
      <c r="N6" s="61">
        <v>1101.2241881468663</v>
      </c>
      <c r="O6" s="61">
        <v>1111.44533041063</v>
      </c>
      <c r="P6" s="61">
        <v>1116.286535964696</v>
      </c>
      <c r="Q6" s="61">
        <v>1118.6465542989231</v>
      </c>
      <c r="R6" s="61">
        <v>1120.9684007271467</v>
      </c>
      <c r="S6" s="61">
        <v>1123.2535997567879</v>
      </c>
      <c r="T6" s="61">
        <v>1125.5035769944948</v>
      </c>
      <c r="U6" s="61">
        <v>1127.7196679103436</v>
      </c>
      <c r="V6" s="61">
        <v>1129.903125630065</v>
      </c>
      <c r="W6" s="61">
        <v>1132.0551278836199</v>
      </c>
      <c r="X6" s="61">
        <v>1134.1767832189496</v>
      </c>
      <c r="Y6" s="61">
        <v>1136.269136573492</v>
      </c>
      <c r="Z6" s="61">
        <v>1138.3331742826424</v>
      </c>
      <c r="AA6" s="61">
        <v>1140.3698285930316</v>
      </c>
      <c r="AB6" s="61">
        <v>1142.3799817390729</v>
      </c>
      <c r="AC6" s="61">
        <v>1144.3644696332276</v>
      </c>
      <c r="AD6" s="61">
        <v>1146.3240852137433</v>
      </c>
      <c r="AE6" s="61">
        <v>1148.2595814878473</v>
      </c>
      <c r="AF6" s="61">
        <v>1150.1716743035336</v>
      </c>
      <c r="AG6" s="61">
        <v>1152.0610448788987</v>
      </c>
      <c r="AH6" s="61">
        <v>1153.9283421143987</v>
      </c>
      <c r="AI6" s="20">
        <v>1155.7741847103523</v>
      </c>
      <c r="AJ6" s="13">
        <v>100</v>
      </c>
    </row>
    <row r="7" spans="1:36" ht="9.9499999999999993" customHeight="1" x14ac:dyDescent="0.2">
      <c r="A7" s="20">
        <v>0.33047861844362114</v>
      </c>
      <c r="B7" s="61">
        <v>0.36727237660961043</v>
      </c>
      <c r="C7" s="61">
        <v>0.92097090200871323</v>
      </c>
      <c r="D7" s="61">
        <v>1.8513959839084506</v>
      </c>
      <c r="E7" s="61">
        <v>2.9808033295274137</v>
      </c>
      <c r="F7" s="61">
        <v>3.7418051496178055</v>
      </c>
      <c r="G7" s="61">
        <v>7.6500729791318989</v>
      </c>
      <c r="H7" s="61">
        <v>11.749390349044262</v>
      </c>
      <c r="I7" s="61">
        <v>1063.8792985632178</v>
      </c>
      <c r="J7" s="61">
        <v>1064.0446246517974</v>
      </c>
      <c r="K7" s="61">
        <v>1064.2097269258352</v>
      </c>
      <c r="L7" s="61">
        <v>1065.8486104932608</v>
      </c>
      <c r="M7" s="61">
        <v>1069.062461792</v>
      </c>
      <c r="N7" s="61">
        <v>1075.2533433688868</v>
      </c>
      <c r="O7" s="61">
        <v>1086.8124645496371</v>
      </c>
      <c r="P7" s="61">
        <v>1092.2381009068633</v>
      </c>
      <c r="Q7" s="61">
        <v>1094.872664432326</v>
      </c>
      <c r="R7" s="61">
        <v>1097.4583395825193</v>
      </c>
      <c r="S7" s="61">
        <v>1099.9973545196194</v>
      </c>
      <c r="T7" s="61">
        <v>1102.4917740256058</v>
      </c>
      <c r="U7" s="61">
        <v>1104.9435157618411</v>
      </c>
      <c r="V7" s="61">
        <v>1107.3543645115287</v>
      </c>
      <c r="W7" s="61">
        <v>1109.7259847020532</v>
      </c>
      <c r="X7" s="61">
        <v>1112.0599314539286</v>
      </c>
      <c r="Y7" s="61">
        <v>1114.3576603623867</v>
      </c>
      <c r="Z7" s="61">
        <v>1116.6205361844782</v>
      </c>
      <c r="AA7" s="61">
        <v>1118.8498405774064</v>
      </c>
      <c r="AB7" s="61">
        <v>1121.0467790114685</v>
      </c>
      <c r="AC7" s="61">
        <v>1123.2124869624636</v>
      </c>
      <c r="AD7" s="61">
        <v>1125.3480354730968</v>
      </c>
      <c r="AE7" s="61">
        <v>1127.4544361600422</v>
      </c>
      <c r="AF7" s="61">
        <v>1129.5326457325878</v>
      </c>
      <c r="AG7" s="61">
        <v>1131.5835700797315</v>
      </c>
      <c r="AH7" s="61">
        <v>1133.6080679749575</v>
      </c>
      <c r="AI7" s="20">
        <v>1135.6069544413933</v>
      </c>
      <c r="AJ7" s="13">
        <v>105</v>
      </c>
    </row>
    <row r="8" spans="1:36" ht="9.9499999999999993" customHeight="1" x14ac:dyDescent="0.2">
      <c r="A8" s="20">
        <v>0.31538733500697352</v>
      </c>
      <c r="B8" s="61">
        <v>0.35049226830346941</v>
      </c>
      <c r="C8" s="61">
        <v>0.87856485597218348</v>
      </c>
      <c r="D8" s="61">
        <v>1.7650208779203669</v>
      </c>
      <c r="E8" s="61">
        <v>2.8394836142138886</v>
      </c>
      <c r="F8" s="61">
        <v>3.5624627653164418</v>
      </c>
      <c r="G8" s="61">
        <v>7.2619640965116314</v>
      </c>
      <c r="H8" s="61">
        <v>11.115087916018899</v>
      </c>
      <c r="I8" s="61">
        <v>15.142694412184142</v>
      </c>
      <c r="J8" s="61">
        <v>17.230281804794309</v>
      </c>
      <c r="K8" s="61">
        <v>19.37279154859166</v>
      </c>
      <c r="L8" s="61">
        <v>1037.2239631789712</v>
      </c>
      <c r="M8" s="61">
        <v>1040.9714776508165</v>
      </c>
      <c r="N8" s="61">
        <v>1048.1319488742934</v>
      </c>
      <c r="O8" s="61">
        <v>1061.3226540977</v>
      </c>
      <c r="P8" s="61">
        <v>1067.4449734019208</v>
      </c>
      <c r="Q8" s="61">
        <v>1070.4037112795397</v>
      </c>
      <c r="R8" s="61">
        <v>1073.2991110435814</v>
      </c>
      <c r="S8" s="61">
        <v>1076.1344802825201</v>
      </c>
      <c r="T8" s="61">
        <v>1078.9128513509393</v>
      </c>
      <c r="U8" s="61">
        <v>1081.6370122555466</v>
      </c>
      <c r="V8" s="61">
        <v>1084.3095332393702</v>
      </c>
      <c r="W8" s="61">
        <v>1086.9327897727067</v>
      </c>
      <c r="X8" s="61">
        <v>1089.5089825256925</v>
      </c>
      <c r="Y8" s="61">
        <v>1092.0401547919164</v>
      </c>
      <c r="Z8" s="61">
        <v>1094.5282077487182</v>
      </c>
      <c r="AA8" s="61">
        <v>1096.9749138728127</v>
      </c>
      <c r="AB8" s="61">
        <v>1099.3819287759759</v>
      </c>
      <c r="AC8" s="61">
        <v>1101.7508016818067</v>
      </c>
      <c r="AD8" s="61">
        <v>1104.0829847290568</v>
      </c>
      <c r="AE8" s="61">
        <v>1106.3798412578201</v>
      </c>
      <c r="AF8" s="61">
        <v>1108.6426532109413</v>
      </c>
      <c r="AG8" s="61">
        <v>1110.8726277631361</v>
      </c>
      <c r="AH8" s="61">
        <v>1113.0709032738182</v>
      </c>
      <c r="AI8" s="20">
        <v>1115.2385546458845</v>
      </c>
      <c r="AJ8" s="13">
        <v>110</v>
      </c>
    </row>
    <row r="9" spans="1:36" ht="9.9499999999999993" customHeight="1" x14ac:dyDescent="0.2">
      <c r="A9" s="20">
        <v>0.30161837254024676</v>
      </c>
      <c r="B9" s="61">
        <v>0.33518370916506901</v>
      </c>
      <c r="C9" s="61">
        <v>0.83992570903837871</v>
      </c>
      <c r="D9" s="61">
        <v>1.6864867030391713</v>
      </c>
      <c r="E9" s="61">
        <v>2.7113359952604901</v>
      </c>
      <c r="F9" s="61">
        <v>3.4001367890122274</v>
      </c>
      <c r="G9" s="61">
        <v>6.9142272099805284</v>
      </c>
      <c r="H9" s="61">
        <v>10.553964650411574</v>
      </c>
      <c r="I9" s="61">
        <v>14.333251538593977</v>
      </c>
      <c r="J9" s="61">
        <v>16.280391426089928</v>
      </c>
      <c r="K9" s="61">
        <v>18.269119675883818</v>
      </c>
      <c r="L9" s="61">
        <v>1006.7225067312797</v>
      </c>
      <c r="M9" s="61">
        <v>1011.172613541537</v>
      </c>
      <c r="N9" s="61">
        <v>1019.5820778642702</v>
      </c>
      <c r="O9" s="61">
        <v>1034.8027885410377</v>
      </c>
      <c r="P9" s="61">
        <v>1041.7674910400353</v>
      </c>
      <c r="Q9" s="61">
        <v>1045.1136576120477</v>
      </c>
      <c r="R9" s="61">
        <v>1048.3766431015356</v>
      </c>
      <c r="S9" s="61">
        <v>1051.5614491943438</v>
      </c>
      <c r="T9" s="61">
        <v>1054.672603042932</v>
      </c>
      <c r="U9" s="61">
        <v>1057.7142175764045</v>
      </c>
      <c r="V9" s="61">
        <v>1060.6900423427103</v>
      </c>
      <c r="W9" s="61">
        <v>1063.6035066336394</v>
      </c>
      <c r="X9" s="61">
        <v>1066.45775627372</v>
      </c>
      <c r="Y9" s="61">
        <v>1069.2556851717295</v>
      </c>
      <c r="Z9" s="61">
        <v>1071.999962515644</v>
      </c>
      <c r="AA9" s="61">
        <v>1074.6930563222679</v>
      </c>
      <c r="AB9" s="61">
        <v>1077.3372539197796</v>
      </c>
      <c r="AC9" s="61">
        <v>1079.9346798362658</v>
      </c>
      <c r="AD9" s="61">
        <v>1082.4873114835964</v>
      </c>
      <c r="AE9" s="61">
        <v>1084.9969929588913</v>
      </c>
      <c r="AF9" s="61">
        <v>1087.4654472317231</v>
      </c>
      <c r="AG9" s="61">
        <v>1089.8942869412826</v>
      </c>
      <c r="AH9" s="61">
        <v>1092.2850239919017</v>
      </c>
      <c r="AI9" s="20">
        <v>1094.6390781059565</v>
      </c>
      <c r="AJ9" s="13">
        <v>115</v>
      </c>
    </row>
    <row r="10" spans="1:36" ht="9.9499999999999993" customHeight="1" x14ac:dyDescent="0.2">
      <c r="A10" s="20">
        <v>0.28900481977649767</v>
      </c>
      <c r="B10" s="61">
        <v>0.32116074773719377</v>
      </c>
      <c r="C10" s="61">
        <v>0.8045694585305776</v>
      </c>
      <c r="D10" s="61">
        <v>1.6147569378693447</v>
      </c>
      <c r="E10" s="61">
        <v>2.5945578614960363</v>
      </c>
      <c r="F10" s="61">
        <v>3.2524438047514983</v>
      </c>
      <c r="G10" s="61">
        <v>6.6004800834614494</v>
      </c>
      <c r="H10" s="61">
        <v>10.052534990217465</v>
      </c>
      <c r="I10" s="61">
        <v>13.618324525466177</v>
      </c>
      <c r="J10" s="61">
        <v>15.447346773988647</v>
      </c>
      <c r="K10" s="61">
        <v>17.309223852987699</v>
      </c>
      <c r="L10" s="61">
        <v>38.24643236967745</v>
      </c>
      <c r="M10" s="61">
        <v>979.14885423699843</v>
      </c>
      <c r="N10" s="61">
        <v>989.22735949827165</v>
      </c>
      <c r="O10" s="61">
        <v>1007.0377519942425</v>
      </c>
      <c r="P10" s="61">
        <v>1015.0382610259945</v>
      </c>
      <c r="Q10" s="61">
        <v>1018.853974768318</v>
      </c>
      <c r="R10" s="61">
        <v>1022.5586810104015</v>
      </c>
      <c r="S10" s="61">
        <v>1026.1601109149699</v>
      </c>
      <c r="T10" s="61">
        <v>1029.6651548952284</v>
      </c>
      <c r="U10" s="61">
        <v>1033.0799842188792</v>
      </c>
      <c r="V10" s="61">
        <v>1036.4101510048451</v>
      </c>
      <c r="W10" s="61">
        <v>1039.6606711135319</v>
      </c>
      <c r="X10" s="61">
        <v>1042.8360933658234</v>
      </c>
      <c r="Y10" s="61">
        <v>1045.9405577409707</v>
      </c>
      <c r="Z10" s="61">
        <v>1048.9778446181954</v>
      </c>
      <c r="AA10" s="61">
        <v>1051.9514166856063</v>
      </c>
      <c r="AB10" s="61">
        <v>1054.8644548039724</v>
      </c>
      <c r="AC10" s="61">
        <v>1057.7198888545295</v>
      </c>
      <c r="AD10" s="61">
        <v>1060.5204243995795</v>
      </c>
      <c r="AE10" s="61">
        <v>1063.268565827867</v>
      </c>
      <c r="AF10" s="61">
        <v>1065.9666365331786</v>
      </c>
      <c r="AG10" s="61">
        <v>1068.6167965764769</v>
      </c>
      <c r="AH10" s="61">
        <v>1071.2210582034804</v>
      </c>
      <c r="AI10" s="20">
        <v>1073.7812995264665</v>
      </c>
      <c r="AJ10" s="13">
        <v>120</v>
      </c>
    </row>
    <row r="11" spans="1:36" ht="9.9499999999999993" customHeight="1" x14ac:dyDescent="0.2">
      <c r="A11" s="20">
        <v>0.27740671823631874</v>
      </c>
      <c r="B11" s="61">
        <v>0.30826749218120364</v>
      </c>
      <c r="C11" s="61">
        <v>0.77209168749155277</v>
      </c>
      <c r="D11" s="61">
        <v>1.5489708882237876</v>
      </c>
      <c r="E11" s="61">
        <v>2.4876647180979932</v>
      </c>
      <c r="F11" s="61">
        <v>3.1174325599235018</v>
      </c>
      <c r="G11" s="61">
        <v>6.3156922785148204</v>
      </c>
      <c r="H11" s="61">
        <v>9.6009436720735426</v>
      </c>
      <c r="I11" s="61">
        <v>12.980148901543496</v>
      </c>
      <c r="J11" s="61">
        <v>14.707419460171113</v>
      </c>
      <c r="K11" s="61">
        <v>16.46124040705293</v>
      </c>
      <c r="L11" s="61">
        <v>35.776659658732662</v>
      </c>
      <c r="M11" s="61">
        <v>944.10510796111066</v>
      </c>
      <c r="N11" s="61">
        <v>956.52898435607744</v>
      </c>
      <c r="O11" s="61">
        <v>977.75066516271102</v>
      </c>
      <c r="P11" s="61">
        <v>987.05072147639032</v>
      </c>
      <c r="Q11" s="61">
        <v>991.44488187006345</v>
      </c>
      <c r="R11" s="61">
        <v>995.68805521486013</v>
      </c>
      <c r="S11" s="61">
        <v>999.79250565771451</v>
      </c>
      <c r="T11" s="61">
        <v>1003.7689593605932</v>
      </c>
      <c r="U11" s="61">
        <v>1007.6268589989025</v>
      </c>
      <c r="V11" s="61">
        <v>1011.3745668459509</v>
      </c>
      <c r="W11" s="61">
        <v>1015.0195285541679</v>
      </c>
      <c r="X11" s="61">
        <v>1018.5684065170367</v>
      </c>
      <c r="Y11" s="61">
        <v>1022.0271894207316</v>
      </c>
      <c r="Z11" s="61">
        <v>1025.4012829654037</v>
      </c>
      <c r="AA11" s="61">
        <v>1028.695585552792</v>
      </c>
      <c r="AB11" s="61">
        <v>1031.9145518661155</v>
      </c>
      <c r="AC11" s="61">
        <v>1035.0622466196908</v>
      </c>
      <c r="AD11" s="61">
        <v>1038.1423902673598</v>
      </c>
      <c r="AE11" s="61">
        <v>1041.1583980872485</v>
      </c>
      <c r="AF11" s="61">
        <v>1044.1134137749239</v>
      </c>
      <c r="AG11" s="61">
        <v>1047.0103384558311</v>
      </c>
      <c r="AH11" s="61">
        <v>1049.851855855007</v>
      </c>
      <c r="AI11" s="20">
        <v>1052.6404542258983</v>
      </c>
      <c r="AJ11" s="13">
        <v>125</v>
      </c>
    </row>
    <row r="12" spans="1:36" ht="9.9499999999999993" customHeight="1" x14ac:dyDescent="0.2">
      <c r="A12" s="20">
        <v>0.2667058612737917</v>
      </c>
      <c r="B12" s="61">
        <v>0.29637230655097874</v>
      </c>
      <c r="C12" s="61">
        <v>0.74215201333585323</v>
      </c>
      <c r="D12" s="61">
        <v>1.4884082714490328</v>
      </c>
      <c r="E12" s="61">
        <v>2.389423133703958</v>
      </c>
      <c r="F12" s="61">
        <v>2.9934897554060695</v>
      </c>
      <c r="G12" s="61">
        <v>6.0558139085367308</v>
      </c>
      <c r="H12" s="61">
        <v>9.1915403260080843</v>
      </c>
      <c r="I12" s="61">
        <v>12.40574535555513</v>
      </c>
      <c r="J12" s="61">
        <v>14.044024115026177</v>
      </c>
      <c r="K12" s="61">
        <v>15.704102335107109</v>
      </c>
      <c r="L12" s="61">
        <v>33.715120891063656</v>
      </c>
      <c r="M12" s="61">
        <v>904.68839637406757</v>
      </c>
      <c r="N12" s="61">
        <v>920.65987293272462</v>
      </c>
      <c r="O12" s="61">
        <v>946.57147378842251</v>
      </c>
      <c r="P12" s="61">
        <v>957.54249168850924</v>
      </c>
      <c r="Q12" s="61">
        <v>962.66313159891524</v>
      </c>
      <c r="R12" s="61">
        <v>967.5736965320458</v>
      </c>
      <c r="S12" s="61">
        <v>972.29424832735856</v>
      </c>
      <c r="T12" s="61">
        <v>976.84192789031749</v>
      </c>
      <c r="U12" s="61">
        <v>981.23151134339355</v>
      </c>
      <c r="V12" s="61">
        <v>985.47583782793856</v>
      </c>
      <c r="W12" s="61">
        <v>989.58614327880196</v>
      </c>
      <c r="X12" s="61">
        <v>993.57232416979537</v>
      </c>
      <c r="Y12" s="61">
        <v>997.44314832503937</v>
      </c>
      <c r="Z12" s="61">
        <v>1001.2064251793569</v>
      </c>
      <c r="AA12" s="61">
        <v>1004.8691445946683</v>
      </c>
      <c r="AB12" s="61">
        <v>1008.4375910226756</v>
      </c>
      <c r="AC12" s="61">
        <v>1011.9174381408593</v>
      </c>
      <c r="AD12" s="61">
        <v>1015.3138278778026</v>
      </c>
      <c r="AE12" s="61">
        <v>1018.631436850762</v>
      </c>
      <c r="AF12" s="61">
        <v>1021.8745325720075</v>
      </c>
      <c r="AG12" s="61">
        <v>1025.0470212776363</v>
      </c>
      <c r="AH12" s="61">
        <v>1028.1524888494382</v>
      </c>
      <c r="AI12" s="20">
        <v>1031.1942360055914</v>
      </c>
      <c r="AJ12" s="13">
        <v>130</v>
      </c>
    </row>
    <row r="13" spans="1:36" ht="9.9499999999999993" customHeight="1" x14ac:dyDescent="0.2">
      <c r="A13" s="20">
        <v>0.25680173659696287</v>
      </c>
      <c r="B13" s="61">
        <v>0.2853632822346171</v>
      </c>
      <c r="C13" s="61">
        <v>0.71446195689894965</v>
      </c>
      <c r="D13" s="61">
        <v>1.4324618556451838</v>
      </c>
      <c r="E13" s="61">
        <v>2.2987999959804837</v>
      </c>
      <c r="F13" s="61">
        <v>2.8792700176958737</v>
      </c>
      <c r="G13" s="61">
        <v>5.8175429190489307</v>
      </c>
      <c r="H13" s="61">
        <v>8.8182422527802782</v>
      </c>
      <c r="I13" s="61">
        <v>11.885122130272999</v>
      </c>
      <c r="J13" s="61">
        <v>13.444654936055892</v>
      </c>
      <c r="K13" s="61">
        <v>15.02231517310091</v>
      </c>
      <c r="L13" s="61">
        <v>31.942471182691694</v>
      </c>
      <c r="M13" s="61">
        <v>75.789399512946218</v>
      </c>
      <c r="N13" s="61">
        <v>880.22299441354426</v>
      </c>
      <c r="O13" s="61">
        <v>912.98404975030223</v>
      </c>
      <c r="P13" s="61">
        <v>926.17019014876951</v>
      </c>
      <c r="Q13" s="61">
        <v>932.22445673829475</v>
      </c>
      <c r="R13" s="61">
        <v>937.97837015187724</v>
      </c>
      <c r="S13" s="61">
        <v>943.46596638746541</v>
      </c>
      <c r="T13" s="61">
        <v>948.71548489518045</v>
      </c>
      <c r="U13" s="61">
        <v>953.750646201476</v>
      </c>
      <c r="V13" s="61">
        <v>958.59159108357846</v>
      </c>
      <c r="W13" s="61">
        <v>963.25558442636634</v>
      </c>
      <c r="X13" s="61">
        <v>967.75755177188807</v>
      </c>
      <c r="Y13" s="61">
        <v>972.11049454914678</v>
      </c>
      <c r="Z13" s="61">
        <v>976.32581577703058</v>
      </c>
      <c r="AA13" s="61">
        <v>980.41357865797124</v>
      </c>
      <c r="AB13" s="61">
        <v>984.38271415139923</v>
      </c>
      <c r="AC13" s="61">
        <v>988.24118925988569</v>
      </c>
      <c r="AD13" s="61">
        <v>991.99614470882284</v>
      </c>
      <c r="AE13" s="61">
        <v>995.65400852764071</v>
      </c>
      <c r="AF13" s="61">
        <v>999.22059047078881</v>
      </c>
      <c r="AG13" s="61">
        <v>1002.7011610673533</v>
      </c>
      <c r="AH13" s="61">
        <v>1006.1005182361897</v>
      </c>
      <c r="AI13" s="20">
        <v>1009.4230437646654</v>
      </c>
      <c r="AJ13" s="13">
        <v>135</v>
      </c>
    </row>
    <row r="14" spans="1:36" ht="9.9499999999999993" customHeight="1" x14ac:dyDescent="0.2">
      <c r="A14" s="20">
        <v>0.24760833670487684</v>
      </c>
      <c r="B14" s="61">
        <v>0.27514467811548643</v>
      </c>
      <c r="C14" s="61">
        <v>0.68877541991967395</v>
      </c>
      <c r="D14" s="61">
        <v>1.3806161128412033</v>
      </c>
      <c r="E14" s="61">
        <v>2.2149233443482803</v>
      </c>
      <c r="F14" s="61">
        <v>2.7736423015806602</v>
      </c>
      <c r="G14" s="61">
        <v>5.598158175591764</v>
      </c>
      <c r="H14" s="61">
        <v>8.4761399672198596</v>
      </c>
      <c r="I14" s="61">
        <v>11.410398123434382</v>
      </c>
      <c r="J14" s="61">
        <v>12.899575269585448</v>
      </c>
      <c r="K14" s="61">
        <v>14.403988079907716</v>
      </c>
      <c r="L14" s="61">
        <v>30.390448295239473</v>
      </c>
      <c r="M14" s="61">
        <v>69.863442911352848</v>
      </c>
      <c r="N14" s="61">
        <v>832.48792191572534</v>
      </c>
      <c r="O14" s="61">
        <v>876.23106396722255</v>
      </c>
      <c r="P14" s="61">
        <v>892.46991781632028</v>
      </c>
      <c r="Q14" s="61">
        <v>899.75770388677972</v>
      </c>
      <c r="R14" s="61">
        <v>906.60170206270629</v>
      </c>
      <c r="S14" s="61">
        <v>913.0622075711957</v>
      </c>
      <c r="T14" s="61">
        <v>919.18740942484339</v>
      </c>
      <c r="U14" s="61">
        <v>925.01649765041441</v>
      </c>
      <c r="V14" s="61">
        <v>930.58182161270372</v>
      </c>
      <c r="W14" s="61">
        <v>935.91042990716824</v>
      </c>
      <c r="X14" s="61">
        <v>941.02519463426745</v>
      </c>
      <c r="Y14" s="61">
        <v>945.94564885597902</v>
      </c>
      <c r="Z14" s="61">
        <v>950.68862149050983</v>
      </c>
      <c r="AA14" s="61">
        <v>955.2687262081256</v>
      </c>
      <c r="AB14" s="61">
        <v>959.69874317787685</v>
      </c>
      <c r="AC14" s="61">
        <v>963.98992089676688</v>
      </c>
      <c r="AD14" s="61">
        <v>968.15221753983394</v>
      </c>
      <c r="AE14" s="61">
        <v>972.19449593616457</v>
      </c>
      <c r="AF14" s="61">
        <v>976.12468255899921</v>
      </c>
      <c r="AG14" s="61">
        <v>979.94989828481755</v>
      </c>
      <c r="AH14" s="61">
        <v>983.67656678257617</v>
      </c>
      <c r="AI14" s="20">
        <v>987.3105050135498</v>
      </c>
      <c r="AJ14" s="13">
        <v>140</v>
      </c>
    </row>
    <row r="15" spans="1:36" ht="9.9499999999999993" customHeight="1" x14ac:dyDescent="0.2">
      <c r="A15" s="20">
        <v>0.23905163190860257</v>
      </c>
      <c r="B15" s="61">
        <v>0.26563410064762788</v>
      </c>
      <c r="C15" s="61">
        <v>0.66488116244367945</v>
      </c>
      <c r="D15" s="61">
        <v>1.3324304601379375</v>
      </c>
      <c r="E15" s="61">
        <v>2.1370518937210727</v>
      </c>
      <c r="F15" s="61">
        <v>2.6756484504071287</v>
      </c>
      <c r="G15" s="61">
        <v>5.3953950960113364</v>
      </c>
      <c r="H15" s="61">
        <v>8.1612209921400787</v>
      </c>
      <c r="I15" s="61">
        <v>10.975252843216833</v>
      </c>
      <c r="J15" s="61">
        <v>12.401054177246872</v>
      </c>
      <c r="K15" s="61">
        <v>13.839778432366728</v>
      </c>
      <c r="L15" s="61">
        <v>29.01360875582645</v>
      </c>
      <c r="M15" s="61">
        <v>65.22411556791694</v>
      </c>
      <c r="N15" s="61">
        <v>770.51336637296265</v>
      </c>
      <c r="O15" s="61">
        <v>835.12973621521314</v>
      </c>
      <c r="P15" s="61">
        <v>855.79333444209567</v>
      </c>
      <c r="Q15" s="61">
        <v>864.76624403647747</v>
      </c>
      <c r="R15" s="61">
        <v>873.05683298364261</v>
      </c>
      <c r="S15" s="61">
        <v>880.777464969623</v>
      </c>
      <c r="T15" s="61">
        <v>888.01370944486473</v>
      </c>
      <c r="U15" s="61">
        <v>894.8323876386354</v>
      </c>
      <c r="V15" s="61">
        <v>901.28677845742288</v>
      </c>
      <c r="W15" s="61">
        <v>907.42011592828169</v>
      </c>
      <c r="X15" s="61">
        <v>913.2680140762003</v>
      </c>
      <c r="Y15" s="61">
        <v>918.86019382420682</v>
      </c>
      <c r="Z15" s="61">
        <v>924.22174154546815</v>
      </c>
      <c r="AA15" s="61">
        <v>929.37404491633913</v>
      </c>
      <c r="AB15" s="61">
        <v>934.33550122226916</v>
      </c>
      <c r="AC15" s="61">
        <v>939.1220619076978</v>
      </c>
      <c r="AD15" s="61">
        <v>943.74765712453393</v>
      </c>
      <c r="AE15" s="61">
        <v>948.22453090717397</v>
      </c>
      <c r="AF15" s="61">
        <v>952.56350880764876</v>
      </c>
      <c r="AG15" s="61">
        <v>956.77421381309728</v>
      </c>
      <c r="AH15" s="61">
        <v>960.86524218340674</v>
      </c>
      <c r="AI15" s="20">
        <v>964.84430788600241</v>
      </c>
      <c r="AJ15" s="13">
        <v>145</v>
      </c>
    </row>
    <row r="16" spans="1:36" ht="9.9499999999999993" customHeight="1" x14ac:dyDescent="0.2">
      <c r="A16" s="20">
        <v>0.2310675525911022</v>
      </c>
      <c r="B16" s="61">
        <v>0.25676025270875019</v>
      </c>
      <c r="C16" s="61">
        <v>0.64259681914191036</v>
      </c>
      <c r="D16" s="61">
        <v>1.2875260187849167</v>
      </c>
      <c r="E16" s="61">
        <v>2.0645511640831615</v>
      </c>
      <c r="F16" s="61">
        <v>2.5844709304282305</v>
      </c>
      <c r="G16" s="61">
        <v>5.2073516954211136</v>
      </c>
      <c r="H16" s="61">
        <v>7.8701686069181216</v>
      </c>
      <c r="I16" s="61">
        <v>10.574546223826692</v>
      </c>
      <c r="J16" s="61">
        <v>11.942857028793039</v>
      </c>
      <c r="K16" s="61">
        <v>13.322216350243721</v>
      </c>
      <c r="L16" s="61">
        <v>27.779456504832812</v>
      </c>
      <c r="M16" s="61">
        <v>61.402430145732389</v>
      </c>
      <c r="N16" s="61">
        <v>181.10735022397563</v>
      </c>
      <c r="O16" s="61">
        <v>787.68375984656973</v>
      </c>
      <c r="P16" s="61">
        <v>815.20285192104268</v>
      </c>
      <c r="Q16" s="61">
        <v>826.57131530325807</v>
      </c>
      <c r="R16" s="61">
        <v>836.83984935776823</v>
      </c>
      <c r="S16" s="61">
        <v>846.23017796585179</v>
      </c>
      <c r="T16" s="61">
        <v>854.90091454492449</v>
      </c>
      <c r="U16" s="61">
        <v>862.96977326338333</v>
      </c>
      <c r="V16" s="61">
        <v>870.52672300031941</v>
      </c>
      <c r="W16" s="61">
        <v>877.64220418513946</v>
      </c>
      <c r="X16" s="61">
        <v>884.37248831873853</v>
      </c>
      <c r="Y16" s="61">
        <v>890.7633012052969</v>
      </c>
      <c r="Z16" s="61">
        <v>896.85234742964371</v>
      </c>
      <c r="AA16" s="61">
        <v>902.67111525105065</v>
      </c>
      <c r="AB16" s="61">
        <v>908.24619615742142</v>
      </c>
      <c r="AC16" s="61">
        <v>913.60026860013795</v>
      </c>
      <c r="AD16" s="61">
        <v>918.75284410411132</v>
      </c>
      <c r="AE16" s="61">
        <v>923.72084187287669</v>
      </c>
      <c r="AF16" s="61">
        <v>928.5190374081094</v>
      </c>
      <c r="AG16" s="61">
        <v>933.16041710658078</v>
      </c>
      <c r="AH16" s="61">
        <v>937.65646168067587</v>
      </c>
      <c r="AI16" s="20">
        <v>942.01737499626563</v>
      </c>
      <c r="AJ16" s="13">
        <v>150</v>
      </c>
    </row>
    <row r="17" spans="1:36" ht="9.9499999999999993" customHeight="1" x14ac:dyDescent="0.2">
      <c r="A17" s="20">
        <v>0.2236003657459556</v>
      </c>
      <c r="B17" s="61">
        <v>0.24846112281453717</v>
      </c>
      <c r="C17" s="61">
        <v>0.621764105441731</v>
      </c>
      <c r="D17" s="61">
        <v>1.2455750799169494</v>
      </c>
      <c r="E17" s="61">
        <v>1.9968746516630962</v>
      </c>
      <c r="F17" s="61">
        <v>2.4994075250648469</v>
      </c>
      <c r="G17" s="61">
        <v>5.0324169266579952</v>
      </c>
      <c r="H17" s="61">
        <v>7.6002126404256893</v>
      </c>
      <c r="I17" s="61">
        <v>10.204045921279137</v>
      </c>
      <c r="J17" s="61">
        <v>11.519887232170639</v>
      </c>
      <c r="K17" s="61">
        <v>12.845240149073232</v>
      </c>
      <c r="L17" s="61">
        <v>26.663784997007866</v>
      </c>
      <c r="M17" s="61">
        <v>58.157209557525853</v>
      </c>
      <c r="N17" s="61">
        <v>153.24523418485177</v>
      </c>
      <c r="O17" s="61">
        <v>730.18012301513954</v>
      </c>
      <c r="P17" s="61">
        <v>769.30379301794346</v>
      </c>
      <c r="Q17" s="61">
        <v>784.2352557966102</v>
      </c>
      <c r="R17" s="61">
        <v>797.29567025471908</v>
      </c>
      <c r="S17" s="61">
        <v>808.94940255718825</v>
      </c>
      <c r="T17" s="61">
        <v>819.50303193681145</v>
      </c>
      <c r="U17" s="61">
        <v>829.17023001208395</v>
      </c>
      <c r="V17" s="61">
        <v>838.10623134503612</v>
      </c>
      <c r="W17" s="61">
        <v>846.42758982640692</v>
      </c>
      <c r="X17" s="61">
        <v>854.22419045878269</v>
      </c>
      <c r="Y17" s="61">
        <v>861.56690723351812</v>
      </c>
      <c r="Z17" s="61">
        <v>868.51267955155902</v>
      </c>
      <c r="AA17" s="61">
        <v>875.10798929905604</v>
      </c>
      <c r="AB17" s="61">
        <v>881.39130970259396</v>
      </c>
      <c r="AC17" s="61">
        <v>887.39487191867966</v>
      </c>
      <c r="AD17" s="61">
        <v>893.14596637080172</v>
      </c>
      <c r="AE17" s="61">
        <v>898.66791915302804</v>
      </c>
      <c r="AF17" s="61">
        <v>903.98083667052663</v>
      </c>
      <c r="AG17" s="61">
        <v>909.10218185015196</v>
      </c>
      <c r="AH17" s="61">
        <v>914.04722588131688</v>
      </c>
      <c r="AI17" s="20">
        <v>918.82940657748895</v>
      </c>
      <c r="AJ17" s="13">
        <v>155</v>
      </c>
    </row>
    <row r="18" spans="1:36" ht="9.9499999999999993" customHeight="1" x14ac:dyDescent="0.2">
      <c r="A18" s="20">
        <v>0.21660135913276274</v>
      </c>
      <c r="B18" s="61">
        <v>0.24068251784467193</v>
      </c>
      <c r="C18" s="61">
        <v>0.60224494903934755</v>
      </c>
      <c r="D18" s="61">
        <v>1.2062926624110362</v>
      </c>
      <c r="E18" s="61">
        <v>1.9335488640703977</v>
      </c>
      <c r="F18" s="61">
        <v>2.41985133190797</v>
      </c>
      <c r="G18" s="61">
        <v>4.8692155050995076</v>
      </c>
      <c r="H18" s="61">
        <v>7.3490174380059159</v>
      </c>
      <c r="I18" s="61">
        <v>9.8602277862553169</v>
      </c>
      <c r="J18" s="61">
        <v>11.12792772168345</v>
      </c>
      <c r="K18" s="61">
        <v>12.403866091896495</v>
      </c>
      <c r="L18" s="61">
        <v>25.648042341342876</v>
      </c>
      <c r="M18" s="61">
        <v>55.343115779466565</v>
      </c>
      <c r="N18" s="61">
        <v>137.50390931567824</v>
      </c>
      <c r="O18" s="61">
        <v>654.89203621906404</v>
      </c>
      <c r="P18" s="61">
        <v>716.01097809979672</v>
      </c>
      <c r="Q18" s="61">
        <v>736.48450683319174</v>
      </c>
      <c r="R18" s="61">
        <v>753.59960762767855</v>
      </c>
      <c r="S18" s="61">
        <v>768.37881742797526</v>
      </c>
      <c r="T18" s="61">
        <v>781.43361636256191</v>
      </c>
      <c r="U18" s="61">
        <v>793.15964115344866</v>
      </c>
      <c r="V18" s="61">
        <v>803.82805890265729</v>
      </c>
      <c r="W18" s="61">
        <v>813.63310869534416</v>
      </c>
      <c r="X18" s="61">
        <v>822.71886883302795</v>
      </c>
      <c r="Y18" s="61">
        <v>831.19528242630463</v>
      </c>
      <c r="Z18" s="61">
        <v>839.14823707969413</v>
      </c>
      <c r="AA18" s="61">
        <v>846.64616716015416</v>
      </c>
      <c r="AB18" s="61">
        <v>853.74452779673095</v>
      </c>
      <c r="AC18" s="61">
        <v>860.48891558065691</v>
      </c>
      <c r="AD18" s="61">
        <v>866.91730020162402</v>
      </c>
      <c r="AE18" s="61">
        <v>873.06165529387454</v>
      </c>
      <c r="AF18" s="61">
        <v>878.9491731661202</v>
      </c>
      <c r="AG18" s="61">
        <v>884.60318499495338</v>
      </c>
      <c r="AH18" s="61">
        <v>890.04386847721946</v>
      </c>
      <c r="AI18" s="20">
        <v>895.28879944081598</v>
      </c>
      <c r="AJ18" s="13">
        <v>160</v>
      </c>
    </row>
    <row r="19" spans="1:36" ht="9.9499999999999993" customHeight="1" x14ac:dyDescent="0.2">
      <c r="A19" s="20">
        <v>0.2100277672820115</v>
      </c>
      <c r="B19" s="61">
        <v>0.23337686577278194</v>
      </c>
      <c r="C19" s="61">
        <v>0.58391834596521841</v>
      </c>
      <c r="D19" s="61">
        <v>1.1694296974180225</v>
      </c>
      <c r="E19" s="61">
        <v>1.8741613334552125</v>
      </c>
      <c r="F19" s="61">
        <v>2.3452748225148135</v>
      </c>
      <c r="G19" s="61">
        <v>4.7165650053600077</v>
      </c>
      <c r="H19" s="61">
        <v>7.1145967270504897</v>
      </c>
      <c r="I19" s="61">
        <v>9.5401276145520271</v>
      </c>
      <c r="J19" s="61">
        <v>10.763451061250411</v>
      </c>
      <c r="K19" s="61">
        <v>11.993948616629867</v>
      </c>
      <c r="L19" s="61">
        <v>24.717688659333032</v>
      </c>
      <c r="M19" s="61">
        <v>52.86442334935434</v>
      </c>
      <c r="N19" s="61">
        <v>126.37229727244016</v>
      </c>
      <c r="O19" s="61">
        <v>546.97175327952914</v>
      </c>
      <c r="P19" s="61">
        <v>652.49681895370668</v>
      </c>
      <c r="Q19" s="61">
        <v>681.76345079139799</v>
      </c>
      <c r="R19" s="61">
        <v>704.82594751829413</v>
      </c>
      <c r="S19" s="61">
        <v>723.93824117606141</v>
      </c>
      <c r="T19" s="61">
        <v>740.31629762538137</v>
      </c>
      <c r="U19" s="61">
        <v>754.6885233437232</v>
      </c>
      <c r="V19" s="61">
        <v>767.52506130228767</v>
      </c>
      <c r="W19" s="61">
        <v>779.14681038066033</v>
      </c>
      <c r="X19" s="61">
        <v>789.78253394757542</v>
      </c>
      <c r="Y19" s="61">
        <v>799.60108299288493</v>
      </c>
      <c r="Z19" s="61">
        <v>808.73068082986515</v>
      </c>
      <c r="AA19" s="61">
        <v>817.27103077433208</v>
      </c>
      <c r="AB19" s="61">
        <v>825.30122610386252</v>
      </c>
      <c r="AC19" s="61">
        <v>832.88509391485024</v>
      </c>
      <c r="AD19" s="61">
        <v>840.07491043030984</v>
      </c>
      <c r="AE19" s="61">
        <v>846.91404897791824</v>
      </c>
      <c r="AF19" s="61">
        <v>853.43890863527679</v>
      </c>
      <c r="AG19" s="61">
        <v>859.68034605432933</v>
      </c>
      <c r="AH19" s="61">
        <v>865.6647566347159</v>
      </c>
      <c r="AI19" s="20">
        <v>871.41490339219342</v>
      </c>
      <c r="AJ19" s="13">
        <v>165</v>
      </c>
    </row>
    <row r="20" spans="1:36" ht="9.9499999999999993" customHeight="1" x14ac:dyDescent="0.2">
      <c r="A20" s="20">
        <v>0.20384188907503625</v>
      </c>
      <c r="B20" s="61">
        <v>0.22650223221295415</v>
      </c>
      <c r="C20" s="61">
        <v>0.56667778795789736</v>
      </c>
      <c r="D20" s="61">
        <v>1.1347674862074382</v>
      </c>
      <c r="E20" s="61">
        <v>1.818350940350268</v>
      </c>
      <c r="F20" s="61">
        <v>2.2752170363251398</v>
      </c>
      <c r="G20" s="61">
        <v>4.5734421668830469</v>
      </c>
      <c r="H20" s="61">
        <v>6.8952481527991871</v>
      </c>
      <c r="I20" s="61">
        <v>9.241229431825257</v>
      </c>
      <c r="J20" s="61">
        <v>10.423477767253308</v>
      </c>
      <c r="K20" s="61">
        <v>11.612003229477128</v>
      </c>
      <c r="L20" s="61">
        <v>23.861113761916489</v>
      </c>
      <c r="M20" s="61">
        <v>50.65435118839212</v>
      </c>
      <c r="N20" s="61">
        <v>117.7610493318476</v>
      </c>
      <c r="O20" s="61">
        <v>418.72362930398771</v>
      </c>
      <c r="P20" s="61">
        <v>577.01036624124367</v>
      </c>
      <c r="Q20" s="61">
        <v>619.00607249364998</v>
      </c>
      <c r="R20" s="61">
        <v>650.34052301990766</v>
      </c>
      <c r="S20" s="61">
        <v>675.24852100554449</v>
      </c>
      <c r="T20" s="61">
        <v>695.92462041907027</v>
      </c>
      <c r="U20" s="61">
        <v>713.62425183269772</v>
      </c>
      <c r="V20" s="61">
        <v>729.12373210420901</v>
      </c>
      <c r="W20" s="61">
        <v>742.93321911949386</v>
      </c>
      <c r="X20" s="61">
        <v>755.40455805558304</v>
      </c>
      <c r="Y20" s="61">
        <v>766.79007381197982</v>
      </c>
      <c r="Z20" s="61">
        <v>777.27662244358805</v>
      </c>
      <c r="AA20" s="61">
        <v>787.00633113208903</v>
      </c>
      <c r="AB20" s="61">
        <v>796.0897769329614</v>
      </c>
      <c r="AC20" s="61">
        <v>804.61466828687844</v>
      </c>
      <c r="AD20" s="61">
        <v>812.65174403966125</v>
      </c>
      <c r="AE20" s="61">
        <v>820.25889110121147</v>
      </c>
      <c r="AF20" s="61">
        <v>827.48408716360848</v>
      </c>
      <c r="AG20" s="61">
        <v>834.36754786625193</v>
      </c>
      <c r="AH20" s="61">
        <v>840.94332263109311</v>
      </c>
      <c r="AI20" s="20">
        <v>847.24050042258227</v>
      </c>
      <c r="AJ20" s="13">
        <v>170</v>
      </c>
    </row>
    <row r="21" spans="1:36" ht="9.9499999999999993" customHeight="1" x14ac:dyDescent="0.2">
      <c r="A21" s="20">
        <v>0.19801035817857335</v>
      </c>
      <c r="B21" s="61">
        <v>0.2200215075167459</v>
      </c>
      <c r="C21" s="61">
        <v>0.5504291435471319</v>
      </c>
      <c r="D21" s="61">
        <v>1.1021131618597786</v>
      </c>
      <c r="E21" s="61">
        <v>1.7658000436498233</v>
      </c>
      <c r="F21" s="61">
        <v>2.2092732107158182</v>
      </c>
      <c r="G21" s="61">
        <v>4.4389561723293287</v>
      </c>
      <c r="H21" s="61">
        <v>6.689502355073933</v>
      </c>
      <c r="I21" s="61">
        <v>8.9613801716646009</v>
      </c>
      <c r="J21" s="61">
        <v>10.105469067407272</v>
      </c>
      <c r="K21" s="61">
        <v>11.255073630123</v>
      </c>
      <c r="L21" s="61">
        <v>23.068897385952411</v>
      </c>
      <c r="M21" s="61">
        <v>48.664337964367441</v>
      </c>
      <c r="N21" s="61">
        <v>110.7554558000531</v>
      </c>
      <c r="O21" s="61">
        <v>336.05398432333965</v>
      </c>
      <c r="P21" s="61">
        <v>495.45382036505003</v>
      </c>
      <c r="Q21" s="61">
        <v>550.16535807484161</v>
      </c>
      <c r="R21" s="61">
        <v>590.93324619762006</v>
      </c>
      <c r="S21" s="61">
        <v>622.6979510500903</v>
      </c>
      <c r="T21" s="61">
        <v>648.49126513824524</v>
      </c>
      <c r="U21" s="61">
        <v>670.13238869901113</v>
      </c>
      <c r="V21" s="61">
        <v>688.7569539961894</v>
      </c>
      <c r="W21" s="61">
        <v>705.10688911715522</v>
      </c>
      <c r="X21" s="61">
        <v>719.68758160463949</v>
      </c>
      <c r="Y21" s="61">
        <v>732.85609661581077</v>
      </c>
      <c r="Z21" s="61">
        <v>744.87278260570622</v>
      </c>
      <c r="AA21" s="61">
        <v>755.9326883842939</v>
      </c>
      <c r="AB21" s="61">
        <v>766.18540199858683</v>
      </c>
      <c r="AC21" s="61">
        <v>775.74799752558249</v>
      </c>
      <c r="AD21" s="61">
        <v>784.71373633269388</v>
      </c>
      <c r="AE21" s="61">
        <v>793.15807052162677</v>
      </c>
      <c r="AF21" s="61">
        <v>801.14288323425137</v>
      </c>
      <c r="AG21" s="61">
        <v>808.71954711285059</v>
      </c>
      <c r="AH21" s="61">
        <v>815.93117223615855</v>
      </c>
      <c r="AI21" s="20">
        <v>822.81428657367849</v>
      </c>
      <c r="AJ21" s="13">
        <v>175</v>
      </c>
    </row>
    <row r="22" spans="1:36" ht="9.9499999999999993" customHeight="1" x14ac:dyDescent="0.2">
      <c r="A22" s="20">
        <v>0.19250353628781264</v>
      </c>
      <c r="B22" s="61">
        <v>0.21390173085623099</v>
      </c>
      <c r="C22" s="61">
        <v>0.53508890197189629</v>
      </c>
      <c r="D22" s="61">
        <v>1.0712959481185658</v>
      </c>
      <c r="E22" s="61">
        <v>1.7162280331607955</v>
      </c>
      <c r="F22" s="61">
        <v>2.1470863197182348</v>
      </c>
      <c r="G22" s="61">
        <v>4.3123272561360873</v>
      </c>
      <c r="H22" s="61">
        <v>6.496082915487376</v>
      </c>
      <c r="I22" s="61">
        <v>8.6987236763373481</v>
      </c>
      <c r="J22" s="61">
        <v>9.8072446142603624</v>
      </c>
      <c r="K22" s="61">
        <v>10.920630565957069</v>
      </c>
      <c r="L22" s="61">
        <v>22.333289231756904</v>
      </c>
      <c r="M22" s="61">
        <v>46.85791985862749</v>
      </c>
      <c r="N22" s="61">
        <v>104.86632381903026</v>
      </c>
      <c r="O22" s="61">
        <v>289.15656543479076</v>
      </c>
      <c r="P22" s="61">
        <v>423.27006113851019</v>
      </c>
      <c r="Q22" s="61">
        <v>482.42096467267788</v>
      </c>
      <c r="R22" s="61">
        <v>530.13179162522135</v>
      </c>
      <c r="S22" s="61">
        <v>568.1922163429075</v>
      </c>
      <c r="T22" s="61">
        <v>599.14098043553622</v>
      </c>
      <c r="U22" s="61">
        <v>624.93301195728475</v>
      </c>
      <c r="V22" s="61">
        <v>646.92058420463627</v>
      </c>
      <c r="W22" s="61">
        <v>666.03124669577812</v>
      </c>
      <c r="X22" s="61">
        <v>682.91191834894994</v>
      </c>
      <c r="Y22" s="61">
        <v>698.02428744484428</v>
      </c>
      <c r="Z22" s="61">
        <v>711.70576778164525</v>
      </c>
      <c r="AA22" s="61">
        <v>724.20859186344796</v>
      </c>
      <c r="AB22" s="61">
        <v>735.72528571031739</v>
      </c>
      <c r="AC22" s="61">
        <v>746.40560525539934</v>
      </c>
      <c r="AD22" s="61">
        <v>756.36803555140443</v>
      </c>
      <c r="AE22" s="61">
        <v>765.70776161955609</v>
      </c>
      <c r="AF22" s="61">
        <v>774.50230374408602</v>
      </c>
      <c r="AG22" s="61">
        <v>782.81557604767806</v>
      </c>
      <c r="AH22" s="61">
        <v>790.70086026463071</v>
      </c>
      <c r="AI22" s="20">
        <v>798.20301962808878</v>
      </c>
      <c r="AJ22" s="13">
        <v>180</v>
      </c>
    </row>
    <row r="23" spans="1:36" ht="9.9499999999999993" customHeight="1" x14ac:dyDescent="0.2">
      <c r="A23" s="20">
        <v>0.18729500569125623</v>
      </c>
      <c r="B23" s="61">
        <v>0.20811352506397146</v>
      </c>
      <c r="C23" s="61">
        <v>0.5205827092498746</v>
      </c>
      <c r="D23" s="61">
        <v>1.0421640558168594</v>
      </c>
      <c r="E23" s="61">
        <v>1.6693860112013035</v>
      </c>
      <c r="F23" s="61">
        <v>2.0883401200877882</v>
      </c>
      <c r="G23" s="61">
        <v>4.1928694270618676</v>
      </c>
      <c r="H23" s="61">
        <v>6.3138745234509352</v>
      </c>
      <c r="I23" s="61">
        <v>8.4516490293723638</v>
      </c>
      <c r="J23" s="61">
        <v>9.5269185375446561</v>
      </c>
      <c r="K23" s="61">
        <v>10.606493792269506</v>
      </c>
      <c r="L23" s="61">
        <v>21.647834887653826</v>
      </c>
      <c r="M23" s="61">
        <v>45.206997855582912</v>
      </c>
      <c r="N23" s="61">
        <v>99.799575798187973</v>
      </c>
      <c r="O23" s="61">
        <v>258.57669482657934</v>
      </c>
      <c r="P23" s="61">
        <v>369.11319843196208</v>
      </c>
      <c r="Q23" s="61">
        <v>424.23895264147785</v>
      </c>
      <c r="R23" s="61">
        <v>473.39160025059584</v>
      </c>
      <c r="S23" s="61">
        <v>515.08873054437765</v>
      </c>
      <c r="T23" s="61">
        <v>549.99857559489385</v>
      </c>
      <c r="U23" s="61">
        <v>579.42571515513612</v>
      </c>
      <c r="V23" s="61">
        <v>604.57573540833516</v>
      </c>
      <c r="W23" s="61">
        <v>626.393898033504</v>
      </c>
      <c r="X23" s="61">
        <v>645.58884310826409</v>
      </c>
      <c r="Y23" s="61">
        <v>662.68829579822784</v>
      </c>
      <c r="Z23" s="61">
        <v>678.08805292955492</v>
      </c>
      <c r="AA23" s="61">
        <v>692.08863864385012</v>
      </c>
      <c r="AB23" s="61">
        <v>704.92148233748492</v>
      </c>
      <c r="AC23" s="61">
        <v>716.76739546752719</v>
      </c>
      <c r="AD23" s="61">
        <v>727.76963839490281</v>
      </c>
      <c r="AE23" s="61">
        <v>738.04323669856683</v>
      </c>
      <c r="AF23" s="61">
        <v>747.68169716754721</v>
      </c>
      <c r="AG23" s="61">
        <v>756.76190931502094</v>
      </c>
      <c r="AH23" s="61">
        <v>765.34776852187792</v>
      </c>
      <c r="AI23" s="20">
        <v>773.49288836195456</v>
      </c>
      <c r="AJ23" s="13">
        <v>185</v>
      </c>
    </row>
    <row r="24" spans="1:36" ht="9.9499999999999993" customHeight="1" x14ac:dyDescent="0.2">
      <c r="A24" s="20">
        <v>0.18236114266729064</v>
      </c>
      <c r="B24" s="61">
        <v>0.20263062158724379</v>
      </c>
      <c r="C24" s="61">
        <v>0.50684414102202202</v>
      </c>
      <c r="D24" s="61">
        <v>1.0145820927978331</v>
      </c>
      <c r="E24" s="61">
        <v>1.6250523770032765</v>
      </c>
      <c r="F24" s="61">
        <v>2.0327533971305343</v>
      </c>
      <c r="G24" s="61">
        <v>4.0799763962958098</v>
      </c>
      <c r="H24" s="61">
        <v>6.1418974253101517</v>
      </c>
      <c r="I24" s="61">
        <v>8.2187496534379765</v>
      </c>
      <c r="J24" s="61">
        <v>9.2628491560450215</v>
      </c>
      <c r="K24" s="61">
        <v>10.310771101237481</v>
      </c>
      <c r="L24" s="61">
        <v>21.007101203368965</v>
      </c>
      <c r="M24" s="61">
        <v>43.689447806994352</v>
      </c>
      <c r="N24" s="61">
        <v>95.364102691618186</v>
      </c>
      <c r="O24" s="61">
        <v>236.47763507383809</v>
      </c>
      <c r="P24" s="61">
        <v>329.84859187687772</v>
      </c>
      <c r="Q24" s="61">
        <v>378.52404160100593</v>
      </c>
      <c r="R24" s="61">
        <v>424.89280065980705</v>
      </c>
      <c r="S24" s="61">
        <v>466.83256527635524</v>
      </c>
      <c r="T24" s="61">
        <v>503.58517628262524</v>
      </c>
      <c r="U24" s="61">
        <v>535.42198011910534</v>
      </c>
      <c r="V24" s="61">
        <v>563.03551450880957</v>
      </c>
      <c r="W24" s="61">
        <v>587.1632191998591</v>
      </c>
      <c r="X24" s="61">
        <v>608.44740768129498</v>
      </c>
      <c r="Y24" s="61">
        <v>627.40921372269747</v>
      </c>
      <c r="Z24" s="61">
        <v>644.46106210328753</v>
      </c>
      <c r="AA24" s="61">
        <v>659.92746152314908</v>
      </c>
      <c r="AB24" s="61">
        <v>674.06445639439858</v>
      </c>
      <c r="AC24" s="61">
        <v>687.07545086588163</v>
      </c>
      <c r="AD24" s="61">
        <v>699.12344029651433</v>
      </c>
      <c r="AE24" s="61">
        <v>710.34027990824598</v>
      </c>
      <c r="AF24" s="61">
        <v>720.83366567351447</v>
      </c>
      <c r="AG24" s="61">
        <v>730.69239642410469</v>
      </c>
      <c r="AH24" s="61">
        <v>739.99035845852745</v>
      </c>
      <c r="AI24" s="20">
        <v>748.78956286104437</v>
      </c>
      <c r="AJ24" s="13">
        <v>190</v>
      </c>
    </row>
    <row r="25" spans="1:36" ht="9.9499999999999993" customHeight="1" x14ac:dyDescent="0.2">
      <c r="A25" s="20">
        <v>0.177680757056386</v>
      </c>
      <c r="B25" s="61">
        <v>0.19742945919925173</v>
      </c>
      <c r="C25" s="61">
        <v>0.49381366849204916</v>
      </c>
      <c r="D25" s="61">
        <v>0.98842889016854185</v>
      </c>
      <c r="E25" s="61">
        <v>1.5830291382325887</v>
      </c>
      <c r="F25" s="61">
        <v>1.9800751726974144</v>
      </c>
      <c r="G25" s="61">
        <v>3.9731100263044268</v>
      </c>
      <c r="H25" s="61">
        <v>5.9792867282938937</v>
      </c>
      <c r="I25" s="61">
        <v>7.9987905929015994</v>
      </c>
      <c r="J25" s="61">
        <v>9.0135989948024111</v>
      </c>
      <c r="K25" s="61">
        <v>10.031810131802231</v>
      </c>
      <c r="L25" s="61">
        <v>20.406471012194373</v>
      </c>
      <c r="M25" s="61">
        <v>42.287529999518156</v>
      </c>
      <c r="N25" s="61">
        <v>91.428527164755835</v>
      </c>
      <c r="O25" s="61">
        <v>219.42009963227758</v>
      </c>
      <c r="P25" s="61">
        <v>300.491788705685</v>
      </c>
      <c r="Q25" s="61">
        <v>343.28614746305021</v>
      </c>
      <c r="R25" s="61">
        <v>385.46549283698715</v>
      </c>
      <c r="S25" s="61">
        <v>425.37003234007722</v>
      </c>
      <c r="T25" s="61">
        <v>461.88485994693349</v>
      </c>
      <c r="U25" s="61">
        <v>494.60191688354746</v>
      </c>
      <c r="V25" s="61">
        <v>523.64455863914122</v>
      </c>
      <c r="W25" s="61">
        <v>549.39921272570268</v>
      </c>
      <c r="X25" s="61">
        <v>572.32320891247127</v>
      </c>
      <c r="Y25" s="61">
        <v>592.85009318518155</v>
      </c>
      <c r="Z25" s="61">
        <v>611.35624710003151</v>
      </c>
      <c r="AA25" s="61">
        <v>628.15614060539588</v>
      </c>
      <c r="AB25" s="61">
        <v>643.50835751542786</v>
      </c>
      <c r="AC25" s="61">
        <v>657.62447476858119</v>
      </c>
      <c r="AD25" s="61">
        <v>670.67773654767939</v>
      </c>
      <c r="AE25" s="61">
        <v>682.81054109843308</v>
      </c>
      <c r="AF25" s="61">
        <v>694.14057507897303</v>
      </c>
      <c r="AG25" s="61">
        <v>704.76572009782842</v>
      </c>
      <c r="AH25" s="61">
        <v>714.76793484633788</v>
      </c>
      <c r="AI25" s="20">
        <v>724.21631510292013</v>
      </c>
      <c r="AJ25" s="13">
        <v>195</v>
      </c>
    </row>
    <row r="26" spans="1:36" ht="9.9499999999999993" customHeight="1" x14ac:dyDescent="0.2">
      <c r="A26" s="20">
        <v>0.17323478631586586</v>
      </c>
      <c r="B26" s="61">
        <v>0.19248884342090494</v>
      </c>
      <c r="C26" s="61">
        <v>0.48143778277449933</v>
      </c>
      <c r="D26" s="61">
        <v>0.96359566826822818</v>
      </c>
      <c r="E26" s="61">
        <v>1.543138812178716</v>
      </c>
      <c r="F26" s="61">
        <v>1.9300806904003953</v>
      </c>
      <c r="G26" s="61">
        <v>3.8717907793271764</v>
      </c>
      <c r="H26" s="61">
        <v>5.8252754939029305</v>
      </c>
      <c r="I26" s="61">
        <v>7.7906820907600522</v>
      </c>
      <c r="J26" s="61">
        <v>8.7779026717379907</v>
      </c>
      <c r="K26" s="61">
        <v>9.7681598724237393</v>
      </c>
      <c r="L26" s="61">
        <v>19.841987191112942</v>
      </c>
      <c r="M26" s="61">
        <v>40.98679658870131</v>
      </c>
      <c r="N26" s="61">
        <v>87.898585468314991</v>
      </c>
      <c r="O26" s="61">
        <v>205.65663958540063</v>
      </c>
      <c r="P26" s="61">
        <v>277.64475922433309</v>
      </c>
      <c r="Q26" s="61">
        <v>315.66986833538039</v>
      </c>
      <c r="R26" s="61">
        <v>353.7615940317761</v>
      </c>
      <c r="S26" s="61">
        <v>390.77717944886183</v>
      </c>
      <c r="T26" s="61">
        <v>425.74192544543365</v>
      </c>
      <c r="U26" s="61">
        <v>458.04036320692234</v>
      </c>
      <c r="V26" s="61">
        <v>487.44517783739957</v>
      </c>
      <c r="W26" s="61">
        <v>514.02148075317359</v>
      </c>
      <c r="X26" s="61">
        <v>537.99790036938225</v>
      </c>
      <c r="Y26" s="61">
        <v>559.66574111462239</v>
      </c>
      <c r="Z26" s="61">
        <v>579.31982186777668</v>
      </c>
      <c r="AA26" s="61">
        <v>597.23080719605923</v>
      </c>
      <c r="AB26" s="61">
        <v>613.63570505127154</v>
      </c>
      <c r="AC26" s="61">
        <v>628.73722663019942</v>
      </c>
      <c r="AD26" s="61">
        <v>642.70683889730685</v>
      </c>
      <c r="AE26" s="61">
        <v>655.68897383152341</v>
      </c>
      <c r="AF26" s="61">
        <v>667.80526352918389</v>
      </c>
      <c r="AG26" s="61">
        <v>679.15835608162513</v>
      </c>
      <c r="AH26" s="61">
        <v>689.83518276943869</v>
      </c>
      <c r="AI26" s="20">
        <v>699.90968336485469</v>
      </c>
      <c r="AJ26" s="13">
        <v>200</v>
      </c>
    </row>
    <row r="27" spans="1:36" ht="9.9499999999999993" customHeight="1" x14ac:dyDescent="0.2">
      <c r="A27" s="20">
        <v>0.16900603467002312</v>
      </c>
      <c r="B27" s="61">
        <v>0.18778965618241963</v>
      </c>
      <c r="C27" s="61">
        <v>0.46966824992854023</v>
      </c>
      <c r="D27" s="61">
        <v>0.93998448152266745</v>
      </c>
      <c r="E27" s="61">
        <v>1.5052218082915001</v>
      </c>
      <c r="F27" s="61">
        <v>1.8825680329807957</v>
      </c>
      <c r="G27" s="61">
        <v>3.7755897653774606</v>
      </c>
      <c r="H27" s="61">
        <v>5.6791808176386303</v>
      </c>
      <c r="I27" s="61">
        <v>7.5934580586583467</v>
      </c>
      <c r="J27" s="61">
        <v>8.5546408622010475</v>
      </c>
      <c r="K27" s="61">
        <v>9.5185396030198</v>
      </c>
      <c r="L27" s="61">
        <v>19.310232460698646</v>
      </c>
      <c r="M27" s="61">
        <v>39.775320568664434</v>
      </c>
      <c r="N27" s="61">
        <v>84.704317370212124</v>
      </c>
      <c r="O27" s="61">
        <v>194.19500826107165</v>
      </c>
      <c r="P27" s="61">
        <v>259.23351833926836</v>
      </c>
      <c r="Q27" s="61">
        <v>293.46665520971567</v>
      </c>
      <c r="R27" s="61">
        <v>328.01270535994075</v>
      </c>
      <c r="S27" s="61">
        <v>362.09489893571799</v>
      </c>
      <c r="T27" s="61">
        <v>394.96800205830766</v>
      </c>
      <c r="U27" s="61">
        <v>426.04831149963627</v>
      </c>
      <c r="V27" s="61">
        <v>454.98234470806096</v>
      </c>
      <c r="W27" s="61">
        <v>481.64100709754194</v>
      </c>
      <c r="X27" s="61">
        <v>506.06503373461658</v>
      </c>
      <c r="Y27" s="61">
        <v>528.39825682835658</v>
      </c>
      <c r="Z27" s="61">
        <v>548.83259847364627</v>
      </c>
      <c r="AA27" s="61">
        <v>567.5718741549374</v>
      </c>
      <c r="AB27" s="61">
        <v>584.81172714208014</v>
      </c>
      <c r="AC27" s="61">
        <v>600.73036006888026</v>
      </c>
      <c r="AD27" s="61">
        <v>615.48550327449436</v>
      </c>
      <c r="AE27" s="61">
        <v>629.21459935425946</v>
      </c>
      <c r="AF27" s="61">
        <v>642.03644877205534</v>
      </c>
      <c r="AG27" s="61">
        <v>654.05337861711394</v>
      </c>
      <c r="AH27" s="61">
        <v>665.35346766897715</v>
      </c>
      <c r="AI27" s="20">
        <v>676.01261552632343</v>
      </c>
      <c r="AJ27" s="13">
        <v>205</v>
      </c>
    </row>
    <row r="28" spans="1:36" ht="9.9499999999999993" customHeight="1" x14ac:dyDescent="0.2">
      <c r="A28" s="20">
        <v>0.164978949774782</v>
      </c>
      <c r="B28" s="61">
        <v>0.1833146072711736</v>
      </c>
      <c r="C28" s="61">
        <v>0.45846147438241475</v>
      </c>
      <c r="D28" s="61">
        <v>0.91750689354961423</v>
      </c>
      <c r="E28" s="61">
        <v>1.4691342060879584</v>
      </c>
      <c r="F28" s="61">
        <v>1.8373552571914997</v>
      </c>
      <c r="G28" s="61">
        <v>3.6841220797416465</v>
      </c>
      <c r="H28" s="61">
        <v>5.5403922834774653</v>
      </c>
      <c r="I28" s="61">
        <v>7.4062583892734182</v>
      </c>
      <c r="J28" s="61">
        <v>8.3428190078953932</v>
      </c>
      <c r="K28" s="61">
        <v>9.2818136103210076</v>
      </c>
      <c r="L28" s="61">
        <v>18.808235501444312</v>
      </c>
      <c r="M28" s="61">
        <v>38.643138856967099</v>
      </c>
      <c r="N28" s="61">
        <v>81.792355065134871</v>
      </c>
      <c r="O28" s="61">
        <v>184.42355761266253</v>
      </c>
      <c r="P28" s="61">
        <v>243.97476416743822</v>
      </c>
      <c r="Q28" s="61">
        <v>275.1689005756665</v>
      </c>
      <c r="R28" s="61">
        <v>306.74201613533307</v>
      </c>
      <c r="S28" s="61">
        <v>338.15435717328609</v>
      </c>
      <c r="T28" s="61">
        <v>368.85481677253136</v>
      </c>
      <c r="U28" s="61">
        <v>398.36004126071771</v>
      </c>
      <c r="V28" s="61">
        <v>426.31285263981522</v>
      </c>
      <c r="W28" s="61">
        <v>452.50409172459001</v>
      </c>
      <c r="X28" s="61">
        <v>476.86020648279293</v>
      </c>
      <c r="Y28" s="61">
        <v>499.41086189975164</v>
      </c>
      <c r="Z28" s="61">
        <v>520.25211362740379</v>
      </c>
      <c r="AA28" s="61">
        <v>539.51511842149841</v>
      </c>
      <c r="AB28" s="61">
        <v>557.34388569454711</v>
      </c>
      <c r="AC28" s="61">
        <v>573.88146305845703</v>
      </c>
      <c r="AD28" s="61">
        <v>589.2624018617887</v>
      </c>
      <c r="AE28" s="61">
        <v>603.60931523950273</v>
      </c>
      <c r="AF28" s="61">
        <v>617.03185971618723</v>
      </c>
      <c r="AG28" s="61">
        <v>629.62703341231031</v>
      </c>
      <c r="AH28" s="61">
        <v>641.48011649724083</v>
      </c>
      <c r="AI28" s="20">
        <v>652.66586739459672</v>
      </c>
      <c r="AJ28" s="13">
        <v>210</v>
      </c>
    </row>
    <row r="29" spans="1:36" ht="9.9499999999999993" customHeight="1" x14ac:dyDescent="0.2">
      <c r="A29" s="20">
        <v>0.16113943074037054</v>
      </c>
      <c r="B29" s="61">
        <v>0.17904802070217793</v>
      </c>
      <c r="C29" s="61">
        <v>0.4477779527122796</v>
      </c>
      <c r="D29" s="61">
        <v>0.89608284342550737</v>
      </c>
      <c r="E29" s="61">
        <v>1.434745859720437</v>
      </c>
      <c r="F29" s="61">
        <v>1.7942779549540471</v>
      </c>
      <c r="G29" s="61">
        <v>3.5970411877461714</v>
      </c>
      <c r="H29" s="61">
        <v>5.4083623227747593</v>
      </c>
      <c r="I29" s="61">
        <v>7.2283143145729341</v>
      </c>
      <c r="J29" s="61">
        <v>8.1415497661028624</v>
      </c>
      <c r="K29" s="61">
        <v>9.0569704305715906</v>
      </c>
      <c r="L29" s="61">
        <v>18.333396739043103</v>
      </c>
      <c r="M29" s="61">
        <v>37.581841770599077</v>
      </c>
      <c r="N29" s="61">
        <v>79.121050689637059</v>
      </c>
      <c r="O29" s="61">
        <v>175.94104956127549</v>
      </c>
      <c r="P29" s="61">
        <v>231.04296564038626</v>
      </c>
      <c r="Q29" s="61">
        <v>259.76319768978317</v>
      </c>
      <c r="R29" s="61">
        <v>288.85577062300882</v>
      </c>
      <c r="S29" s="61">
        <v>317.93357688318594</v>
      </c>
      <c r="T29" s="61">
        <v>346.58815440086477</v>
      </c>
      <c r="U29" s="61">
        <v>374.4370854927364</v>
      </c>
      <c r="V29" s="61">
        <v>401.16542005631425</v>
      </c>
      <c r="W29" s="61">
        <v>426.55025766768512</v>
      </c>
      <c r="X29" s="61">
        <v>450.46528617396211</v>
      </c>
      <c r="Y29" s="61">
        <v>472.86933175305529</v>
      </c>
      <c r="Z29" s="61">
        <v>493.7864135552378</v>
      </c>
      <c r="AA29" s="61">
        <v>513.28429289044414</v>
      </c>
      <c r="AB29" s="61">
        <v>531.45593350270246</v>
      </c>
      <c r="AC29" s="61">
        <v>548.40559777576641</v>
      </c>
      <c r="AD29" s="61">
        <v>564.23950070778358</v>
      </c>
      <c r="AE29" s="61">
        <v>579.06012524610969</v>
      </c>
      <c r="AF29" s="61">
        <v>592.96314477724979</v>
      </c>
      <c r="AG29" s="61">
        <v>606.03605105830411</v>
      </c>
      <c r="AH29" s="61">
        <v>618.35782262598002</v>
      </c>
      <c r="AI29" s="20">
        <v>629.99918467179555</v>
      </c>
      <c r="AJ29" s="13">
        <v>215</v>
      </c>
    </row>
    <row r="30" spans="1:36" ht="9.9499999999999993" customHeight="1" x14ac:dyDescent="0.2">
      <c r="A30" s="20">
        <v>0.15747466248532124</v>
      </c>
      <c r="B30" s="61">
        <v>0.17497565040842938</v>
      </c>
      <c r="C30" s="61">
        <v>0.43758180310185901</v>
      </c>
      <c r="D30" s="61">
        <v>0.87563967145056987</v>
      </c>
      <c r="E30" s="61">
        <v>1.4019387739376914</v>
      </c>
      <c r="F30" s="61">
        <v>1.7531871676776014</v>
      </c>
      <c r="G30" s="61">
        <v>3.5140341659772742</v>
      </c>
      <c r="H30" s="61">
        <v>5.2825981125585111</v>
      </c>
      <c r="I30" s="61">
        <v>7.0589361999252569</v>
      </c>
      <c r="J30" s="61">
        <v>7.9500384349765021</v>
      </c>
      <c r="K30" s="61">
        <v>8.8431056768686211</v>
      </c>
      <c r="L30" s="61">
        <v>17.883429032320983</v>
      </c>
      <c r="M30" s="61">
        <v>36.584264925224893</v>
      </c>
      <c r="N30" s="61">
        <v>76.657272789329355</v>
      </c>
      <c r="O30" s="61">
        <v>168.47119680972972</v>
      </c>
      <c r="P30" s="61">
        <v>219.88492276199423</v>
      </c>
      <c r="Q30" s="61">
        <v>246.55709900610859</v>
      </c>
      <c r="R30" s="61">
        <v>273.56769419085788</v>
      </c>
      <c r="S30" s="61">
        <v>300.62997345187375</v>
      </c>
      <c r="T30" s="61">
        <v>327.43647724946698</v>
      </c>
      <c r="U30" s="61">
        <v>353.68790757189299</v>
      </c>
      <c r="V30" s="61">
        <v>379.12099263531655</v>
      </c>
      <c r="W30" s="61">
        <v>403.52879217572587</v>
      </c>
      <c r="X30" s="61">
        <v>426.76997503818632</v>
      </c>
      <c r="Y30" s="61">
        <v>448.76743314553323</v>
      </c>
      <c r="Z30" s="61">
        <v>469.49929158330082</v>
      </c>
      <c r="AA30" s="61">
        <v>488.98622382472018</v>
      </c>
      <c r="AB30" s="61">
        <v>507.27837536134348</v>
      </c>
      <c r="AC30" s="61">
        <v>524.44395570748429</v>
      </c>
      <c r="AD30" s="61">
        <v>540.56035853910203</v>
      </c>
      <c r="AE30" s="61">
        <v>555.70784171841535</v>
      </c>
      <c r="AF30" s="61">
        <v>569.96537614324768</v>
      </c>
      <c r="AG30" s="61">
        <v>583.40814363855702</v>
      </c>
      <c r="AH30" s="61">
        <v>596.10619677993145</v>
      </c>
      <c r="AI30" s="20">
        <v>608.12388956128689</v>
      </c>
      <c r="AJ30" s="13">
        <v>220</v>
      </c>
    </row>
    <row r="31" spans="1:36" ht="9.9499999999999993" customHeight="1" x14ac:dyDescent="0.2">
      <c r="A31" s="20">
        <v>0.15397297229667309</v>
      </c>
      <c r="B31" s="61">
        <v>0.17108452065425059</v>
      </c>
      <c r="C31" s="61">
        <v>0.42784035848089247</v>
      </c>
      <c r="D31" s="61">
        <v>0.85611127865975933</v>
      </c>
      <c r="E31" s="61">
        <v>1.3706057067043234</v>
      </c>
      <c r="F31" s="61">
        <v>1.713947594769889</v>
      </c>
      <c r="G31" s="61">
        <v>3.4348176484741559</v>
      </c>
      <c r="H31" s="61">
        <v>5.1626547273899268</v>
      </c>
      <c r="I31" s="61">
        <v>6.8975033022855605</v>
      </c>
      <c r="J31" s="61">
        <v>7.7675707672860881</v>
      </c>
      <c r="K31" s="61">
        <v>8.6394077303269192</v>
      </c>
      <c r="L31" s="61">
        <v>17.456309794776683</v>
      </c>
      <c r="M31" s="61">
        <v>35.644254273324186</v>
      </c>
      <c r="N31" s="61">
        <v>74.374228980961377</v>
      </c>
      <c r="O31" s="61">
        <v>161.816234845732</v>
      </c>
      <c r="P31" s="61">
        <v>210.11589287572386</v>
      </c>
      <c r="Q31" s="61">
        <v>235.06543039716641</v>
      </c>
      <c r="R31" s="61">
        <v>260.31146738647459</v>
      </c>
      <c r="S31" s="61">
        <v>285.635218589087</v>
      </c>
      <c r="T31" s="61">
        <v>310.80062555528144</v>
      </c>
      <c r="U31" s="61">
        <v>335.57249088309067</v>
      </c>
      <c r="V31" s="61">
        <v>359.73505260174204</v>
      </c>
      <c r="W31" s="61">
        <v>383.10721127903076</v>
      </c>
      <c r="X31" s="61">
        <v>405.55180142930641</v>
      </c>
      <c r="Y31" s="61">
        <v>426.97821296595345</v>
      </c>
      <c r="Z31" s="61">
        <v>447.33938200466412</v>
      </c>
      <c r="AA31" s="61">
        <v>466.62510511104779</v>
      </c>
      <c r="AB31" s="61">
        <v>484.85373964688142</v>
      </c>
      <c r="AC31" s="61">
        <v>502.063920277107</v>
      </c>
      <c r="AD31" s="61">
        <v>518.30729639700905</v>
      </c>
      <c r="AE31" s="61">
        <v>533.64272713122148</v>
      </c>
      <c r="AF31" s="61">
        <v>548.13197229667583</v>
      </c>
      <c r="AG31" s="61">
        <v>561.83669796458992</v>
      </c>
      <c r="AH31" s="61">
        <v>574.81653121209217</v>
      </c>
      <c r="AI31" s="20">
        <v>587.12789700225028</v>
      </c>
      <c r="AJ31" s="13">
        <v>225</v>
      </c>
    </row>
    <row r="32" spans="1:36" ht="9.9499999999999993" customHeight="1" x14ac:dyDescent="0.2">
      <c r="A32" s="20">
        <v>0.15062370519467078</v>
      </c>
      <c r="B32" s="61">
        <v>0.16736278738161417</v>
      </c>
      <c r="C32" s="61">
        <v>0.41852381347521006</v>
      </c>
      <c r="D32" s="61">
        <v>0.83743739899730818</v>
      </c>
      <c r="E32" s="61">
        <v>1.3406489620543536</v>
      </c>
      <c r="F32" s="61">
        <v>1.6764360484828151</v>
      </c>
      <c r="G32" s="61">
        <v>3.3591343567604448</v>
      </c>
      <c r="H32" s="61">
        <v>5.0481293191318555</v>
      </c>
      <c r="I32" s="61">
        <v>6.7434551242466876</v>
      </c>
      <c r="J32" s="61">
        <v>7.5935027164539326</v>
      </c>
      <c r="K32" s="61">
        <v>8.4451457384042925</v>
      </c>
      <c r="L32" s="61">
        <v>17.050241989770594</v>
      </c>
      <c r="M32" s="61">
        <v>34.756484330435697</v>
      </c>
      <c r="N32" s="61">
        <v>72.249943713177785</v>
      </c>
      <c r="O32" s="61">
        <v>155.83005682874335</v>
      </c>
      <c r="P32" s="61">
        <v>201.45946798118402</v>
      </c>
      <c r="Q32" s="61">
        <v>224.93921637253919</v>
      </c>
      <c r="R32" s="61">
        <v>248.67361226632798</v>
      </c>
      <c r="S32" s="61">
        <v>272.4913009986949</v>
      </c>
      <c r="T32" s="61">
        <v>296.20733039521957</v>
      </c>
      <c r="U32" s="61">
        <v>319.63493010574547</v>
      </c>
      <c r="V32" s="61">
        <v>342.59801069251637</v>
      </c>
      <c r="W32" s="61">
        <v>364.94219510092915</v>
      </c>
      <c r="X32" s="61">
        <v>386.54262689850833</v>
      </c>
      <c r="Y32" s="61">
        <v>407.30773128008053</v>
      </c>
      <c r="Z32" s="61">
        <v>427.17910782037205</v>
      </c>
      <c r="AA32" s="61">
        <v>446.12844702726613</v>
      </c>
      <c r="AB32" s="61">
        <v>464.15265026719925</v>
      </c>
      <c r="AC32" s="61">
        <v>481.26826139361816</v>
      </c>
      <c r="AD32" s="61">
        <v>497.50604527154621</v>
      </c>
      <c r="AE32" s="61">
        <v>512.90622235444209</v>
      </c>
      <c r="AF32" s="61">
        <v>527.51458544198886</v>
      </c>
      <c r="AG32" s="61">
        <v>541.37952464678813</v>
      </c>
      <c r="AH32" s="61">
        <v>554.54987023383717</v>
      </c>
      <c r="AI32" s="20">
        <v>567.07341194670175</v>
      </c>
      <c r="AJ32" s="13">
        <v>230</v>
      </c>
    </row>
    <row r="33" spans="1:36" ht="9.9499999999999993" customHeight="1" x14ac:dyDescent="0.2">
      <c r="A33" s="20">
        <v>0.14741711528383369</v>
      </c>
      <c r="B33" s="61">
        <v>0.16379961735019488</v>
      </c>
      <c r="C33" s="61">
        <v>0.40960491701687318</v>
      </c>
      <c r="D33" s="61">
        <v>0.81956296681179674</v>
      </c>
      <c r="E33" s="61">
        <v>1.3119793433630178</v>
      </c>
      <c r="F33" s="61">
        <v>1.6405401160258901</v>
      </c>
      <c r="G33" s="61">
        <v>3.286750116171909</v>
      </c>
      <c r="H33" s="61">
        <v>4.9386561450692312</v>
      </c>
      <c r="I33" s="61">
        <v>6.5962840740894793</v>
      </c>
      <c r="J33" s="61">
        <v>7.4272517575726305</v>
      </c>
      <c r="K33" s="61">
        <v>8.2596594864526214</v>
      </c>
      <c r="L33" s="61">
        <v>16.663622086007802</v>
      </c>
      <c r="M33" s="61">
        <v>33.916315719950482</v>
      </c>
      <c r="N33" s="61">
        <v>70.266167809760077</v>
      </c>
      <c r="O33" s="61">
        <v>150.40184691776477</v>
      </c>
      <c r="P33" s="61">
        <v>193.71142863254627</v>
      </c>
      <c r="Q33" s="61">
        <v>215.92116376608453</v>
      </c>
      <c r="R33" s="61">
        <v>238.34691932068961</v>
      </c>
      <c r="S33" s="61">
        <v>260.85143447293626</v>
      </c>
      <c r="T33" s="61">
        <v>283.28699962184623</v>
      </c>
      <c r="U33" s="61">
        <v>305.50337561759869</v>
      </c>
      <c r="V33" s="61">
        <v>327.35635637032118</v>
      </c>
      <c r="W33" s="61">
        <v>348.71569325801192</v>
      </c>
      <c r="X33" s="61">
        <v>369.47124734896192</v>
      </c>
      <c r="Y33" s="61">
        <v>389.53668579762115</v>
      </c>
      <c r="Z33" s="61">
        <v>408.85060375526876</v>
      </c>
      <c r="AA33" s="61">
        <v>427.37543214471282</v>
      </c>
      <c r="AB33" s="61">
        <v>445.09476766235957</v>
      </c>
      <c r="AC33" s="61">
        <v>462.00982392928336</v>
      </c>
      <c r="AD33" s="61">
        <v>478.13561154122465</v>
      </c>
      <c r="AE33" s="61">
        <v>493.49728908086297</v>
      </c>
      <c r="AF33" s="61">
        <v>508.12695156597096</v>
      </c>
      <c r="AG33" s="61">
        <v>522.06097549396281</v>
      </c>
      <c r="AH33" s="61">
        <v>535.33793502632057</v>
      </c>
      <c r="AI33" s="20">
        <v>547.99704075786337</v>
      </c>
      <c r="AJ33" s="13">
        <v>235</v>
      </c>
    </row>
    <row r="34" spans="1:36" ht="9.9499999999999993" customHeight="1" x14ac:dyDescent="0.2">
      <c r="A34" s="20">
        <v>0.14434427074544406</v>
      </c>
      <c r="B34" s="61">
        <v>0.16038508245941957</v>
      </c>
      <c r="C34" s="61">
        <v>0.40105870384890124</v>
      </c>
      <c r="D34" s="61">
        <v>0.80243756533299904</v>
      </c>
      <c r="E34" s="61">
        <v>1.2845152424698167</v>
      </c>
      <c r="F34" s="61">
        <v>1.6061569968788916</v>
      </c>
      <c r="G34" s="61">
        <v>3.2174512794211378</v>
      </c>
      <c r="H34" s="61">
        <v>4.8339023004540485</v>
      </c>
      <c r="I34" s="61">
        <v>6.4555292017896466</v>
      </c>
      <c r="J34" s="61">
        <v>7.2682895011580158</v>
      </c>
      <c r="K34" s="61">
        <v>8.0823508012566325</v>
      </c>
      <c r="L34" s="61">
        <v>16.295013526258355</v>
      </c>
      <c r="M34" s="61">
        <v>33.119682217416226</v>
      </c>
      <c r="N34" s="61">
        <v>68.407580573353698</v>
      </c>
      <c r="O34" s="61">
        <v>145.44567357825136</v>
      </c>
      <c r="P34" s="61">
        <v>186.7171990720646</v>
      </c>
      <c r="Q34" s="61">
        <v>207.81726951264559</v>
      </c>
      <c r="R34" s="61">
        <v>229.0989557744351</v>
      </c>
      <c r="S34" s="61">
        <v>250.45017404000217</v>
      </c>
      <c r="T34" s="61">
        <v>271.75089241906539</v>
      </c>
      <c r="U34" s="61">
        <v>292.87863111717792</v>
      </c>
      <c r="V34" s="61">
        <v>313.7144548658049</v>
      </c>
      <c r="W34" s="61">
        <v>334.14868888933387</v>
      </c>
      <c r="X34" s="61">
        <v>354.08563402090147</v>
      </c>
      <c r="Y34" s="61">
        <v>373.4467762677686</v>
      </c>
      <c r="Z34" s="61">
        <v>392.17230006047259</v>
      </c>
      <c r="AA34" s="61">
        <v>410.22101765378682</v>
      </c>
      <c r="AB34" s="61">
        <v>427.56904060876786</v>
      </c>
      <c r="AC34" s="61">
        <v>444.20761432034124</v>
      </c>
      <c r="AD34" s="61">
        <v>460.14052872544175</v>
      </c>
      <c r="AE34" s="61">
        <v>475.3814452713458</v>
      </c>
      <c r="AF34" s="61">
        <v>489.9513807609049</v>
      </c>
      <c r="AG34" s="61">
        <v>503.87649133342109</v>
      </c>
      <c r="AH34" s="61">
        <v>517.18622022665204</v>
      </c>
      <c r="AI34" s="20">
        <v>529.91181628962829</v>
      </c>
      <c r="AJ34" s="13">
        <v>240</v>
      </c>
    </row>
    <row r="35" spans="1:36" ht="9.9499999999999993" customHeight="1" x14ac:dyDescent="0.2">
      <c r="A35" s="20">
        <v>0.14139697051202055</v>
      </c>
      <c r="B35" s="61">
        <v>0.15711006707048364</v>
      </c>
      <c r="C35" s="61">
        <v>0.39286225928471874</v>
      </c>
      <c r="D35" s="61">
        <v>0.78601494421964713</v>
      </c>
      <c r="E35" s="61">
        <v>1.2581818443683572</v>
      </c>
      <c r="F35" s="61">
        <v>1.5731924888397542</v>
      </c>
      <c r="G35" s="61">
        <v>3.1510424929236112</v>
      </c>
      <c r="H35" s="61">
        <v>4.7335640393036851</v>
      </c>
      <c r="I35" s="61">
        <v>6.3207708270212519</v>
      </c>
      <c r="J35" s="61">
        <v>7.1161353749124237</v>
      </c>
      <c r="K35" s="61">
        <v>7.9126762160027297</v>
      </c>
      <c r="L35" s="61">
        <v>15.943124602864165</v>
      </c>
      <c r="M35" s="61">
        <v>32.363000227337302</v>
      </c>
      <c r="N35" s="61">
        <v>66.661194958606629</v>
      </c>
      <c r="O35" s="61">
        <v>140.89362936113918</v>
      </c>
      <c r="P35" s="61">
        <v>180.35730404575622</v>
      </c>
      <c r="Q35" s="61">
        <v>200.47828647931522</v>
      </c>
      <c r="R35" s="61">
        <v>220.75076590343093</v>
      </c>
      <c r="S35" s="61">
        <v>241.08170702458932</v>
      </c>
      <c r="T35" s="61">
        <v>261.37205186298928</v>
      </c>
      <c r="U35" s="61">
        <v>281.52065471147154</v>
      </c>
      <c r="V35" s="61">
        <v>301.42856977618987</v>
      </c>
      <c r="W35" s="61">
        <v>321.00321742306352</v>
      </c>
      <c r="X35" s="61">
        <v>340.16196433447652</v>
      </c>
      <c r="Y35" s="61">
        <v>358.83476258890101</v>
      </c>
      <c r="Z35" s="61">
        <v>376.96566769831503</v>
      </c>
      <c r="AA35" s="61">
        <v>394.51324247242303</v>
      </c>
      <c r="AB35" s="61">
        <v>411.45000410476922</v>
      </c>
      <c r="AC35" s="61">
        <v>427.76115996298444</v>
      </c>
      <c r="AD35" s="61">
        <v>443.442901794497</v>
      </c>
      <c r="AE35" s="61">
        <v>458.50050381408255</v>
      </c>
      <c r="AF35" s="61">
        <v>472.946418655934</v>
      </c>
      <c r="AG35" s="61">
        <v>486.79850532163056</v>
      </c>
      <c r="AH35" s="61">
        <v>500.07846783881308</v>
      </c>
      <c r="AI35" s="20">
        <v>512.81053889810664</v>
      </c>
      <c r="AJ35" s="13">
        <v>245</v>
      </c>
    </row>
    <row r="36" spans="1:36" ht="9.9499999999999993" customHeight="1" x14ac:dyDescent="0.2">
      <c r="A36" s="20">
        <v>0.13856767097991174</v>
      </c>
      <c r="B36" s="61">
        <v>0.15396618649797592</v>
      </c>
      <c r="C36" s="61">
        <v>0.38499451250099992</v>
      </c>
      <c r="D36" s="61">
        <v>0.77025259623963205</v>
      </c>
      <c r="E36" s="61">
        <v>1.2329104305592578</v>
      </c>
      <c r="F36" s="61">
        <v>1.5415601008695357</v>
      </c>
      <c r="G36" s="61">
        <v>3.0873447529958273</v>
      </c>
      <c r="H36" s="61">
        <v>4.6373635890702136</v>
      </c>
      <c r="I36" s="61">
        <v>6.1916259109932481</v>
      </c>
      <c r="J36" s="61">
        <v>6.9703511932367075</v>
      </c>
      <c r="K36" s="61">
        <v>7.7501406805004471</v>
      </c>
      <c r="L36" s="61">
        <v>15.60678988536368</v>
      </c>
      <c r="M36" s="61">
        <v>31.643095529220865</v>
      </c>
      <c r="N36" s="61">
        <v>65.015906729722317</v>
      </c>
      <c r="O36" s="61">
        <v>136.69116692090896</v>
      </c>
      <c r="P36" s="61">
        <v>174.53769921384841</v>
      </c>
      <c r="Q36" s="61">
        <v>193.78732963295874</v>
      </c>
      <c r="R36" s="61">
        <v>213.16230815658639</v>
      </c>
      <c r="S36" s="61">
        <v>232.5843251933465</v>
      </c>
      <c r="T36" s="61">
        <v>251.97051272254231</v>
      </c>
      <c r="U36" s="61">
        <v>271.23633468253996</v>
      </c>
      <c r="V36" s="61">
        <v>290.29872151351634</v>
      </c>
      <c r="W36" s="61">
        <v>309.07914787395185</v>
      </c>
      <c r="X36" s="61">
        <v>327.50635172789208</v>
      </c>
      <c r="Y36" s="61">
        <v>345.51844983973871</v>
      </c>
      <c r="Z36" s="61">
        <v>363.06430384458969</v>
      </c>
      <c r="AA36" s="61">
        <v>380.10410530201517</v>
      </c>
      <c r="AB36" s="61">
        <v>396.60924961567258</v>
      </c>
      <c r="AC36" s="61">
        <v>412.56163848006139</v>
      </c>
      <c r="AD36" s="61">
        <v>427.95258250286986</v>
      </c>
      <c r="AE36" s="61">
        <v>442.78147460701899</v>
      </c>
      <c r="AF36" s="61">
        <v>457.05438132083134</v>
      </c>
      <c r="AG36" s="61">
        <v>470.78266456302799</v>
      </c>
      <c r="AH36" s="61">
        <v>483.98171021053889</v>
      </c>
      <c r="AI36" s="20">
        <v>496.66980743682194</v>
      </c>
      <c r="AJ36" s="13">
        <v>250</v>
      </c>
    </row>
    <row r="37" spans="1:36" ht="9.9499999999999993" customHeight="1" x14ac:dyDescent="0.2">
      <c r="A37" s="20">
        <v>0.13584942137559372</v>
      </c>
      <c r="B37" s="61">
        <v>0.15094571512982893</v>
      </c>
      <c r="C37" s="61">
        <v>0.3774360543956734</v>
      </c>
      <c r="D37" s="61">
        <v>0.75511138475448747</v>
      </c>
      <c r="E37" s="61">
        <v>1.20863776697546</v>
      </c>
      <c r="F37" s="61">
        <v>1.5111802744275802</v>
      </c>
      <c r="G37" s="61">
        <v>3.0261937083006973</v>
      </c>
      <c r="H37" s="61">
        <v>4.5450463820271967</v>
      </c>
      <c r="I37" s="61">
        <v>6.0677440519808927</v>
      </c>
      <c r="J37" s="61">
        <v>6.8305364688819896</v>
      </c>
      <c r="K37" s="61">
        <v>7.5942921426747203</v>
      </c>
      <c r="L37" s="61">
        <v>15.284954533768225</v>
      </c>
      <c r="M37" s="61">
        <v>30.957143468384366</v>
      </c>
      <c r="N37" s="61">
        <v>63.462147658896235</v>
      </c>
      <c r="O37" s="61">
        <v>132.79384252313591</v>
      </c>
      <c r="P37" s="61">
        <v>169.18316607304627</v>
      </c>
      <c r="Q37" s="61">
        <v>187.65139355630762</v>
      </c>
      <c r="R37" s="61">
        <v>206.22234732483798</v>
      </c>
      <c r="S37" s="61">
        <v>224.8293204567521</v>
      </c>
      <c r="T37" s="61">
        <v>243.40215728855514</v>
      </c>
      <c r="U37" s="61">
        <v>261.86942620206128</v>
      </c>
      <c r="V37" s="61">
        <v>280.16075775495898</v>
      </c>
      <c r="W37" s="61">
        <v>298.20915155209883</v>
      </c>
      <c r="X37" s="61">
        <v>315.95305259570569</v>
      </c>
      <c r="Y37" s="61">
        <v>333.33802878613653</v>
      </c>
      <c r="Z37" s="61">
        <v>350.31793880757874</v>
      </c>
      <c r="AA37" s="61">
        <v>366.85554984634996</v>
      </c>
      <c r="AB37" s="61">
        <v>382.9226316246768</v>
      </c>
      <c r="AC37" s="61">
        <v>398.49960463514327</v>
      </c>
      <c r="AD37" s="61">
        <v>413.5748501473679</v>
      </c>
      <c r="AE37" s="61">
        <v>428.14379787252471</v>
      </c>
      <c r="AF37" s="61">
        <v>442.20789884437522</v>
      </c>
      <c r="AG37" s="61">
        <v>455.77357256323501</v>
      </c>
      <c r="AH37" s="61">
        <v>468.8511948003154</v>
      </c>
      <c r="AI37" s="20">
        <v>481.45417017286769</v>
      </c>
      <c r="AJ37" s="13">
        <v>255</v>
      </c>
    </row>
    <row r="38" spans="1:36" ht="9.9499999999999993" customHeight="1" x14ac:dyDescent="0.2">
      <c r="A38" s="20">
        <v>0.1332358066054754</v>
      </c>
      <c r="B38" s="61">
        <v>0.14804152287296035</v>
      </c>
      <c r="C38" s="61">
        <v>0.37016897666304333</v>
      </c>
      <c r="D38" s="61">
        <v>0.7405552150010557</v>
      </c>
      <c r="E38" s="61">
        <v>1.1853055646533592</v>
      </c>
      <c r="F38" s="61">
        <v>1.4819796980202216</v>
      </c>
      <c r="G38" s="61">
        <v>2.9674381723695715</v>
      </c>
      <c r="H38" s="61">
        <v>4.4563786399372987</v>
      </c>
      <c r="I38" s="61">
        <v>5.9488040065202474</v>
      </c>
      <c r="J38" s="61">
        <v>6.696324348347594</v>
      </c>
      <c r="K38" s="61">
        <v>7.4447168603505398</v>
      </c>
      <c r="L38" s="61">
        <v>14.976660973172089</v>
      </c>
      <c r="M38" s="61">
        <v>30.302619722752951</v>
      </c>
      <c r="N38" s="61">
        <v>61.991615187499349</v>
      </c>
      <c r="O38" s="61">
        <v>129.16498879111793</v>
      </c>
      <c r="P38" s="61">
        <v>164.23269029991459</v>
      </c>
      <c r="Q38" s="61">
        <v>181.99541950192884</v>
      </c>
      <c r="R38" s="61">
        <v>199.84132247122753</v>
      </c>
      <c r="S38" s="61">
        <v>217.71298892537959</v>
      </c>
      <c r="T38" s="61">
        <v>235.55040157167159</v>
      </c>
      <c r="U38" s="61">
        <v>253.2926026580021</v>
      </c>
      <c r="V38" s="61">
        <v>270.87947044317048</v>
      </c>
      <c r="W38" s="61">
        <v>288.25347367682059</v>
      </c>
      <c r="X38" s="61">
        <v>305.3612701153109</v>
      </c>
      <c r="Y38" s="61">
        <v>322.15503295444819</v>
      </c>
      <c r="Z38" s="61">
        <v>338.59342355431801</v>
      </c>
      <c r="AA38" s="61">
        <v>354.64217257729132</v>
      </c>
      <c r="AB38" s="61">
        <v>370.27427571003693</v>
      </c>
      <c r="AC38" s="61">
        <v>385.46984665334799</v>
      </c>
      <c r="AD38" s="61">
        <v>400.21569429102999</v>
      </c>
      <c r="AE38" s="61">
        <v>414.50470176267225</v>
      </c>
      <c r="AF38" s="61">
        <v>428.33508436417912</v>
      </c>
      <c r="AG38" s="61">
        <v>441.70959419698255</v>
      </c>
      <c r="AH38" s="61">
        <v>454.63472601617468</v>
      </c>
      <c r="AI38" s="20">
        <v>467.11996396111277</v>
      </c>
      <c r="AJ38" s="13">
        <v>260</v>
      </c>
    </row>
    <row r="39" spans="1:36" ht="9.9499999999999993" customHeight="1" x14ac:dyDescent="0.2">
      <c r="A39" s="20">
        <v>0.13072089659661859</v>
      </c>
      <c r="B39" s="61">
        <v>0.14524701881978438</v>
      </c>
      <c r="C39" s="61">
        <v>0.36317672925089667</v>
      </c>
      <c r="D39" s="61">
        <v>0.72655074325185942</v>
      </c>
      <c r="E39" s="61">
        <v>1.1628600031912673</v>
      </c>
      <c r="F39" s="61">
        <v>1.4538907020750338</v>
      </c>
      <c r="G39" s="61">
        <v>2.9109388160626497</v>
      </c>
      <c r="H39" s="61">
        <v>4.3711452595555524</v>
      </c>
      <c r="I39" s="61">
        <v>5.8345106557941042</v>
      </c>
      <c r="J39" s="61">
        <v>6.5673780741633889</v>
      </c>
      <c r="K39" s="61">
        <v>7.301035328361146</v>
      </c>
      <c r="L39" s="61">
        <v>14.681037513789208</v>
      </c>
      <c r="M39" s="61">
        <v>29.677259468633448</v>
      </c>
      <c r="N39" s="61">
        <v>60.597059146080852</v>
      </c>
      <c r="O39" s="61">
        <v>125.77401714022049</v>
      </c>
      <c r="P39" s="61">
        <v>159.63615767011405</v>
      </c>
      <c r="Q39" s="61">
        <v>176.75806178935849</v>
      </c>
      <c r="R39" s="61">
        <v>193.94623068427626</v>
      </c>
      <c r="S39" s="61">
        <v>211.15081394303147</v>
      </c>
      <c r="T39" s="61">
        <v>228.31999455864008</v>
      </c>
      <c r="U39" s="61">
        <v>245.40128969120553</v>
      </c>
      <c r="V39" s="61">
        <v>262.34292300852087</v>
      </c>
      <c r="W39" s="61">
        <v>279.09517790056617</v>
      </c>
      <c r="X39" s="61">
        <v>295.61163979806497</v>
      </c>
      <c r="Y39" s="61">
        <v>311.85024684148141</v>
      </c>
      <c r="Z39" s="61">
        <v>327.77408953444598</v>
      </c>
      <c r="AA39" s="61">
        <v>343.35192781790795</v>
      </c>
      <c r="AB39" s="61">
        <v>358.55842306205602</v>
      </c>
      <c r="AC39" s="61">
        <v>373.37410797855949</v>
      </c>
      <c r="AD39" s="61">
        <v>387.78513603959607</v>
      </c>
      <c r="AE39" s="61">
        <v>401.78286228460087</v>
      </c>
      <c r="AF39" s="61">
        <v>415.36330986276494</v>
      </c>
      <c r="AG39" s="61">
        <v>428.5265729897186</v>
      </c>
      <c r="AH39" s="61">
        <v>441.27619938462777</v>
      </c>
      <c r="AI39" s="20">
        <v>453.618585805348</v>
      </c>
      <c r="AJ39" s="13">
        <v>265</v>
      </c>
    </row>
    <row r="40" spans="1:36" ht="9.9499999999999993" customHeight="1" x14ac:dyDescent="0.2">
      <c r="A40" s="20">
        <v>0.12829920128357772</v>
      </c>
      <c r="B40" s="61">
        <v>0.14255610119538575</v>
      </c>
      <c r="C40" s="61">
        <v>0.3564439937904042</v>
      </c>
      <c r="D40" s="61">
        <v>0.71306711883674512</v>
      </c>
      <c r="E40" s="61">
        <v>1.1412513085757579</v>
      </c>
      <c r="F40" s="61">
        <v>1.4268507232925745</v>
      </c>
      <c r="G40" s="61">
        <v>2.8565670147387956</v>
      </c>
      <c r="H40" s="61">
        <v>4.289147955385924</v>
      </c>
      <c r="I40" s="61">
        <v>5.7245923507802567</v>
      </c>
      <c r="J40" s="61">
        <v>6.4433878943475298</v>
      </c>
      <c r="K40" s="61">
        <v>7.1628987266557251</v>
      </c>
      <c r="L40" s="61">
        <v>14.397288583948061</v>
      </c>
      <c r="M40" s="61">
        <v>29.079023275588927</v>
      </c>
      <c r="N40" s="61">
        <v>59.272111645851666</v>
      </c>
      <c r="O40" s="61">
        <v>122.5951568455263</v>
      </c>
      <c r="P40" s="61">
        <v>155.35194600969626</v>
      </c>
      <c r="Q40" s="61">
        <v>171.88861092254891</v>
      </c>
      <c r="R40" s="61">
        <v>188.47689783133379</v>
      </c>
      <c r="S40" s="61">
        <v>205.07318459531541</v>
      </c>
      <c r="T40" s="61">
        <v>221.63237164541175</v>
      </c>
      <c r="U40" s="61">
        <v>238.10891271574451</v>
      </c>
      <c r="V40" s="61">
        <v>254.45789087522067</v>
      </c>
      <c r="W40" s="61">
        <v>270.63607608793239</v>
      </c>
      <c r="X40" s="61">
        <v>286.60290030504655</v>
      </c>
      <c r="Y40" s="61">
        <v>302.32129332803822</v>
      </c>
      <c r="Z40" s="61">
        <v>317.75833645349019</v>
      </c>
      <c r="AA40" s="61">
        <v>332.88570897166863</v>
      </c>
      <c r="AB40" s="61">
        <v>347.67992197507948</v>
      </c>
      <c r="AC40" s="61">
        <v>362.12235164598468</v>
      </c>
      <c r="AD40" s="61">
        <v>376.19909800912058</v>
      </c>
      <c r="AE40" s="61">
        <v>389.90070383440872</v>
      </c>
      <c r="AF40" s="61">
        <v>403.22177190754775</v>
      </c>
      <c r="AG40" s="61">
        <v>416.16051800544972</v>
      </c>
      <c r="AH40" s="61">
        <v>428.71829289255436</v>
      </c>
      <c r="AI40" s="20">
        <v>440.89910077998263</v>
      </c>
      <c r="AJ40" s="13">
        <v>270</v>
      </c>
    </row>
    <row r="41" spans="1:36" ht="9.9499999999999993" customHeight="1" x14ac:dyDescent="0.2">
      <c r="A41" s="20">
        <v>0.12596563052004622</v>
      </c>
      <c r="B41" s="61">
        <v>0.13996311278263768</v>
      </c>
      <c r="C41" s="61">
        <v>0.34995657094470306</v>
      </c>
      <c r="D41" s="61">
        <v>0.70007575475719663</v>
      </c>
      <c r="E41" s="61">
        <v>1.1204333782311195</v>
      </c>
      <c r="F41" s="61">
        <v>1.4008018292749054</v>
      </c>
      <c r="G41" s="61">
        <v>2.804203828921906</v>
      </c>
      <c r="H41" s="61">
        <v>4.2102036232959579</v>
      </c>
      <c r="I41" s="61">
        <v>5.6187985810334853</v>
      </c>
      <c r="J41" s="61">
        <v>6.3240683530844803</v>
      </c>
      <c r="K41" s="61">
        <v>7.0299858115793139</v>
      </c>
      <c r="L41" s="61">
        <v>14.124686308344385</v>
      </c>
      <c r="M41" s="61">
        <v>28.506068436739891</v>
      </c>
      <c r="N41" s="61">
        <v>58.011150047585346</v>
      </c>
      <c r="O41" s="61">
        <v>119.60650313828879</v>
      </c>
      <c r="P41" s="61">
        <v>151.34513953724769</v>
      </c>
      <c r="Q41" s="61">
        <v>167.34471961793687</v>
      </c>
      <c r="R41" s="61">
        <v>183.38321889166181</v>
      </c>
      <c r="S41" s="61">
        <v>199.42220597068476</v>
      </c>
      <c r="T41" s="61">
        <v>215.42214722404941</v>
      </c>
      <c r="U41" s="61">
        <v>231.34323433426133</v>
      </c>
      <c r="V41" s="61">
        <v>247.14623925773816</v>
      </c>
      <c r="W41" s="61">
        <v>262.79335085811846</v>
      </c>
      <c r="X41" s="61">
        <v>278.24894781697543</v>
      </c>
      <c r="Y41" s="61">
        <v>293.4802674673146</v>
      </c>
      <c r="Z41" s="61">
        <v>308.45793938411327</v>
      </c>
      <c r="AA41" s="61">
        <v>323.15636459671077</v>
      </c>
      <c r="AB41" s="61">
        <v>337.55393438997487</v>
      </c>
      <c r="AC41" s="61">
        <v>351.63309500743753</v>
      </c>
      <c r="AD41" s="61">
        <v>365.38027466645582</v>
      </c>
      <c r="AE41" s="61">
        <v>378.78569623931298</v>
      </c>
      <c r="AF41" s="61">
        <v>391.84310250028517</v>
      </c>
      <c r="AG41" s="61">
        <v>404.54942130240136</v>
      </c>
      <c r="AH41" s="61">
        <v>416.90439610685775</v>
      </c>
      <c r="AI41" s="20">
        <v>428.91020376596845</v>
      </c>
      <c r="AJ41" s="13">
        <v>275</v>
      </c>
    </row>
    <row r="42" spans="1:36" ht="9.9499999999999993" customHeight="1" x14ac:dyDescent="0.2">
      <c r="A42" s="20">
        <v>0.12371545829750501</v>
      </c>
      <c r="B42" s="61">
        <v>0.13746280113780229</v>
      </c>
      <c r="C42" s="61">
        <v>0.34370127991917726</v>
      </c>
      <c r="D42" s="61">
        <v>0.68755012324955334</v>
      </c>
      <c r="E42" s="61">
        <v>1.100363447207257</v>
      </c>
      <c r="F42" s="61">
        <v>1.3756902956087622</v>
      </c>
      <c r="G42" s="61">
        <v>2.7537391005531067</v>
      </c>
      <c r="H42" s="61">
        <v>4.1341428944557759</v>
      </c>
      <c r="I42" s="61">
        <v>5.5168979211212914</v>
      </c>
      <c r="J42" s="61">
        <v>6.2091559077651501</v>
      </c>
      <c r="K42" s="61">
        <v>6.9020001857647424</v>
      </c>
      <c r="L42" s="61">
        <v>13.862563214533562</v>
      </c>
      <c r="M42" s="61">
        <v>27.956724722971479</v>
      </c>
      <c r="N42" s="61">
        <v>56.809185566864961</v>
      </c>
      <c r="O42" s="61">
        <v>116.78928806417413</v>
      </c>
      <c r="P42" s="61">
        <v>147.58618387971757</v>
      </c>
      <c r="Q42" s="61">
        <v>163.09069631878864</v>
      </c>
      <c r="R42" s="61">
        <v>178.62308665472651</v>
      </c>
      <c r="S42" s="61">
        <v>194.14929405703933</v>
      </c>
      <c r="T42" s="61">
        <v>209.63444433870973</v>
      </c>
      <c r="U42" s="61">
        <v>225.04352203784154</v>
      </c>
      <c r="V42" s="61">
        <v>240.34205778977787</v>
      </c>
      <c r="W42" s="61">
        <v>255.49679761595149</v>
      </c>
      <c r="X42" s="61">
        <v>270.47632141760778</v>
      </c>
      <c r="Y42" s="61">
        <v>285.25158164629266</v>
      </c>
      <c r="Z42" s="61">
        <v>299.79633946779126</v>
      </c>
      <c r="AA42" s="61">
        <v>314.08748394917353</v>
      </c>
      <c r="AB42" s="61">
        <v>328.10522880428294</v>
      </c>
      <c r="AC42" s="61">
        <v>341.83318989377648</v>
      </c>
      <c r="AD42" s="61">
        <v>355.25835401617468</v>
      </c>
      <c r="AE42" s="61">
        <v>368.37095489538041</v>
      </c>
      <c r="AF42" s="61">
        <v>381.16427540728807</v>
      </c>
      <c r="AG42" s="61">
        <v>393.63439609204164</v>
      </c>
      <c r="AH42" s="61">
        <v>405.77990922894475</v>
      </c>
      <c r="AI42" s="20">
        <v>417.60161570467761</v>
      </c>
      <c r="AJ42" s="13">
        <v>280</v>
      </c>
    </row>
    <row r="43" spans="1:36" ht="9.9499999999999993" customHeight="1" x14ac:dyDescent="0.2">
      <c r="A43" s="20">
        <v>0.12154429074015782</v>
      </c>
      <c r="B43" s="61">
        <v>0.13505028300610214</v>
      </c>
      <c r="C43" s="61">
        <v>0.33766586862596182</v>
      </c>
      <c r="D43" s="61">
        <v>0.67546557317667366</v>
      </c>
      <c r="E43" s="61">
        <v>1.0810017903065852</v>
      </c>
      <c r="F43" s="61">
        <v>1.3514662287285397</v>
      </c>
      <c r="G43" s="61">
        <v>2.7050706496458745</v>
      </c>
      <c r="H43" s="61">
        <v>4.0608088538725946</v>
      </c>
      <c r="I43" s="61">
        <v>5.4186762161814732</v>
      </c>
      <c r="J43" s="61">
        <v>6.0984068265368707</v>
      </c>
      <c r="K43" s="61">
        <v>6.7786678928100921</v>
      </c>
      <c r="L43" s="61">
        <v>13.610305890604232</v>
      </c>
      <c r="M43" s="61">
        <v>27.429473763307637</v>
      </c>
      <c r="N43" s="61">
        <v>55.66177195907725</v>
      </c>
      <c r="O43" s="61">
        <v>114.12731459013992</v>
      </c>
      <c r="P43" s="61">
        <v>144.04985856652459</v>
      </c>
      <c r="Q43" s="61">
        <v>159.09620653964885</v>
      </c>
      <c r="R43" s="61">
        <v>174.16081643304963</v>
      </c>
      <c r="S43" s="61">
        <v>189.2133410419263</v>
      </c>
      <c r="T43" s="61">
        <v>204.2228429990187</v>
      </c>
      <c r="U43" s="61">
        <v>219.15834609000069</v>
      </c>
      <c r="V43" s="61">
        <v>233.98939372450869</v>
      </c>
      <c r="W43" s="61">
        <v>248.68658982758814</v>
      </c>
      <c r="X43" s="61">
        <v>263.2220982369231</v>
      </c>
      <c r="Y43" s="61">
        <v>277.57007948543946</v>
      </c>
      <c r="Z43" s="61">
        <v>291.7070483677839</v>
      </c>
      <c r="AA43" s="61">
        <v>305.61214143293273</v>
      </c>
      <c r="AB43" s="61">
        <v>319.26728984407015</v>
      </c>
      <c r="AC43" s="61">
        <v>332.65729918333881</v>
      </c>
      <c r="AD43" s="61">
        <v>345.7698431165316</v>
      </c>
      <c r="AE43" s="61">
        <v>358.59538191648818</v>
      </c>
      <c r="AF43" s="61">
        <v>371.12701945148132</v>
      </c>
      <c r="AG43" s="61">
        <v>383.36031338105687</v>
      </c>
      <c r="AH43" s="61">
        <v>395.29305315195847</v>
      </c>
      <c r="AI43" s="20">
        <v>406.92501924651236</v>
      </c>
      <c r="AJ43" s="13">
        <v>285</v>
      </c>
    </row>
    <row r="44" spans="1:36" ht="9.9499999999999993" customHeight="1" x14ac:dyDescent="0.2">
      <c r="A44" s="20">
        <v>0.11944803741893319</v>
      </c>
      <c r="B44" s="61">
        <v>0.13272101242856429</v>
      </c>
      <c r="C44" s="61">
        <v>0.33183893320546304</v>
      </c>
      <c r="D44" s="61">
        <v>0.6637991665675107</v>
      </c>
      <c r="E44" s="61">
        <v>1.0623114556924982</v>
      </c>
      <c r="F44" s="61">
        <v>1.3280832288444266</v>
      </c>
      <c r="G44" s="61">
        <v>2.6581035584230137</v>
      </c>
      <c r="H44" s="61">
        <v>3.9900559017506558</v>
      </c>
      <c r="I44" s="61">
        <v>5.3239349741665789</v>
      </c>
      <c r="J44" s="61">
        <v>5.991595327860038</v>
      </c>
      <c r="K44" s="61">
        <v>6.6597352916493717</v>
      </c>
      <c r="L44" s="61">
        <v>13.367349448705513</v>
      </c>
      <c r="M44" s="61">
        <v>26.922931417243404</v>
      </c>
      <c r="N44" s="61">
        <v>54.564930085285148</v>
      </c>
      <c r="O44" s="61">
        <v>111.60651214669083</v>
      </c>
      <c r="P44" s="61">
        <v>140.71448189146187</v>
      </c>
      <c r="Q44" s="61">
        <v>155.33527183517486</v>
      </c>
      <c r="R44" s="61">
        <v>169.96593323783412</v>
      </c>
      <c r="S44" s="61">
        <v>184.5793001035326</v>
      </c>
      <c r="T44" s="61">
        <v>199.14778917800643</v>
      </c>
      <c r="U44" s="61">
        <v>213.6438562067907</v>
      </c>
      <c r="V44" s="61">
        <v>228.04045394886518</v>
      </c>
      <c r="W44" s="61">
        <v>242.3114733615401</v>
      </c>
      <c r="X44" s="61">
        <v>256.43215024276179</v>
      </c>
      <c r="Y44" s="61">
        <v>270.37942179604886</v>
      </c>
      <c r="Z44" s="61">
        <v>284.13222089081182</v>
      </c>
      <c r="AA44" s="61">
        <v>297.67169990038798</v>
      </c>
      <c r="AB44" s="61">
        <v>310.98138048426199</v>
      </c>
      <c r="AC44" s="61">
        <v>324.04723008018749</v>
      </c>
      <c r="AD44" s="61">
        <v>336.85766976909787</v>
      </c>
      <c r="AE44" s="61">
        <v>349.40352125826126</v>
      </c>
      <c r="AF44" s="61">
        <v>361.67790282277076</v>
      </c>
      <c r="AG44" s="61">
        <v>373.67608512279975</v>
      </c>
      <c r="AH44" s="61">
        <v>385.39531796603546</v>
      </c>
      <c r="AI44" s="20">
        <v>396.83463848626889</v>
      </c>
      <c r="AJ44" s="13">
        <v>290</v>
      </c>
    </row>
    <row r="45" spans="1:36" ht="9.9499999999999993" customHeight="1" x14ac:dyDescent="0.2">
      <c r="A45" s="20">
        <v>0.11742288558957346</v>
      </c>
      <c r="B45" s="61">
        <v>0.13047075210071701</v>
      </c>
      <c r="C45" s="61">
        <v>0.32620984578543699</v>
      </c>
      <c r="D45" s="61">
        <v>0.65252953199510788</v>
      </c>
      <c r="E45" s="61">
        <v>1.0442580261462409</v>
      </c>
      <c r="F45" s="61">
        <v>1.3054980880273144</v>
      </c>
      <c r="G45" s="61">
        <v>2.6127495319153815</v>
      </c>
      <c r="H45" s="61">
        <v>3.921748739183331</v>
      </c>
      <c r="I45" s="61">
        <v>5.2324899373558775</v>
      </c>
      <c r="J45" s="61">
        <v>5.8885119295974864</v>
      </c>
      <c r="K45" s="61">
        <v>6.5449671726697796</v>
      </c>
      <c r="L45" s="61">
        <v>13.133172674467627</v>
      </c>
      <c r="M45" s="61">
        <v>26.435832631033474</v>
      </c>
      <c r="N45" s="61">
        <v>53.515085151206186</v>
      </c>
      <c r="O45" s="61">
        <v>109.21458373720488</v>
      </c>
      <c r="P45" s="61">
        <v>137.56128832099253</v>
      </c>
      <c r="Q45" s="61">
        <v>151.78548906180563</v>
      </c>
      <c r="R45" s="61">
        <v>166.01222734092792</v>
      </c>
      <c r="S45" s="61">
        <v>180.21708223510501</v>
      </c>
      <c r="T45" s="61">
        <v>194.37534975261332</v>
      </c>
      <c r="U45" s="61">
        <v>208.46242338483404</v>
      </c>
      <c r="V45" s="61">
        <v>222.4541728923225</v>
      </c>
      <c r="W45" s="61">
        <v>236.3273071937671</v>
      </c>
      <c r="X45" s="61">
        <v>250.05970808088961</v>
      </c>
      <c r="Y45" s="61">
        <v>263.63072321619512</v>
      </c>
      <c r="Z45" s="61">
        <v>277.02140934896931</v>
      </c>
      <c r="AA45" s="61">
        <v>290.21471968783686</v>
      </c>
      <c r="AB45" s="61">
        <v>303.19563261613365</v>
      </c>
      <c r="AC45" s="61">
        <v>315.95122213017726</v>
      </c>
      <c r="AD45" s="61">
        <v>328.47067324518741</v>
      </c>
      <c r="AE45" s="61">
        <v>340.74524793554309</v>
      </c>
      <c r="AF45" s="61">
        <v>352.76820882694403</v>
      </c>
      <c r="AG45" s="61">
        <v>364.53470880054368</v>
      </c>
      <c r="AH45" s="61">
        <v>376.04165494686356</v>
      </c>
      <c r="AI45" s="20">
        <v>387.28755502365527</v>
      </c>
      <c r="AJ45" s="13">
        <v>295</v>
      </c>
    </row>
    <row r="46" spans="1:36" ht="9.9499999999999993" customHeight="1" x14ac:dyDescent="0.2">
      <c r="A46" s="20">
        <v>0.11546527701268174</v>
      </c>
      <c r="B46" s="61">
        <v>0.12829554760253947</v>
      </c>
      <c r="C46" s="61">
        <v>0.32076868950893545</v>
      </c>
      <c r="D46" s="61">
        <v>0.64163673279757194</v>
      </c>
      <c r="E46" s="61">
        <v>1.0268094046660514</v>
      </c>
      <c r="F46" s="61">
        <v>1.2836705192218461</v>
      </c>
      <c r="G46" s="61">
        <v>2.5689263255363173</v>
      </c>
      <c r="H46" s="61">
        <v>3.8557614624088168</v>
      </c>
      <c r="I46" s="61">
        <v>5.1441698098623085</v>
      </c>
      <c r="J46" s="61">
        <v>5.7889619801334629</v>
      </c>
      <c r="K46" s="61">
        <v>6.4341450835047453</v>
      </c>
      <c r="L46" s="61">
        <v>12.907293762763546</v>
      </c>
      <c r="M46" s="61">
        <v>25.967018368153536</v>
      </c>
      <c r="N46" s="61">
        <v>52.509014143780902</v>
      </c>
      <c r="O46" s="61">
        <v>106.94072295407599</v>
      </c>
      <c r="P46" s="61">
        <v>134.57393573305157</v>
      </c>
      <c r="Q46" s="61">
        <v>148.42741483547724</v>
      </c>
      <c r="R46" s="61">
        <v>162.27701103429658</v>
      </c>
      <c r="S46" s="61">
        <v>176.10068773699425</v>
      </c>
      <c r="T46" s="61">
        <v>189.87622951009507</v>
      </c>
      <c r="U46" s="61">
        <v>203.58156170091527</v>
      </c>
      <c r="V46" s="61">
        <v>217.19506606302019</v>
      </c>
      <c r="W46" s="61">
        <v>230.69588152506955</v>
      </c>
      <c r="X46" s="61">
        <v>244.06418004520367</v>
      </c>
      <c r="Y46" s="61">
        <v>257.28140889305865</v>
      </c>
      <c r="Z46" s="61">
        <v>270.33049259612761</v>
      </c>
      <c r="AA46" s="61">
        <v>283.19599002379664</v>
      </c>
      <c r="AB46" s="61">
        <v>295.86420447408022</v>
      </c>
      <c r="AC46" s="61">
        <v>308.32324697699431</v>
      </c>
      <c r="AD46" s="61">
        <v>320.56305515152758</v>
      </c>
      <c r="AE46" s="61">
        <v>332.57537170487939</v>
      </c>
      <c r="AF46" s="61">
        <v>344.35368795040756</v>
      </c>
      <c r="AG46" s="61">
        <v>355.89315851024145</v>
      </c>
      <c r="AH46" s="61">
        <v>367.19049367908906</v>
      </c>
      <c r="AI46" s="20">
        <v>378.24383581878141</v>
      </c>
      <c r="AJ46" s="13">
        <v>300</v>
      </c>
    </row>
    <row r="47" spans="1:36" ht="9.9499999999999993" customHeight="1" x14ac:dyDescent="0.2">
      <c r="A47" s="20">
        <v>0.1135718870586289</v>
      </c>
      <c r="B47" s="61">
        <v>0.1261917041691781</v>
      </c>
      <c r="C47" s="61">
        <v>0.31550619999068297</v>
      </c>
      <c r="D47" s="61">
        <v>0.63110214841319634</v>
      </c>
      <c r="E47" s="61">
        <v>1.0099356215488899</v>
      </c>
      <c r="F47" s="61">
        <v>1.2625629125338353</v>
      </c>
      <c r="G47" s="61">
        <v>2.5265572315502949</v>
      </c>
      <c r="H47" s="61">
        <v>3.7919767521362537</v>
      </c>
      <c r="I47" s="61">
        <v>5.0588151213054768</v>
      </c>
      <c r="J47" s="61">
        <v>5.6927643481368158</v>
      </c>
      <c r="K47" s="61">
        <v>6.3270658372877886</v>
      </c>
      <c r="L47" s="61">
        <v>12.689266556777586</v>
      </c>
      <c r="M47" s="61">
        <v>25.515424281188093</v>
      </c>
      <c r="N47" s="61">
        <v>51.543801536896851</v>
      </c>
      <c r="O47" s="61">
        <v>104.77538497537419</v>
      </c>
      <c r="P47" s="61">
        <v>131.73811153889045</v>
      </c>
      <c r="Q47" s="61">
        <v>145.24407537155932</v>
      </c>
      <c r="R47" s="61">
        <v>158.74052797076996</v>
      </c>
      <c r="S47" s="61">
        <v>172.20751605869737</v>
      </c>
      <c r="T47" s="61">
        <v>185.62498843959375</v>
      </c>
      <c r="U47" s="61">
        <v>198.97306612347404</v>
      </c>
      <c r="V47" s="61">
        <v>212.23230710668128</v>
      </c>
      <c r="W47" s="61">
        <v>225.38395738441201</v>
      </c>
      <c r="X47" s="61">
        <v>238.4101805029043</v>
      </c>
      <c r="Y47" s="61">
        <v>251.29425910149993</v>
      </c>
      <c r="Z47" s="61">
        <v>264.0207633675966</v>
      </c>
      <c r="AA47" s="61">
        <v>276.57568302211001</v>
      </c>
      <c r="AB47" s="61">
        <v>288.94652124176361</v>
      </c>
      <c r="AC47" s="61">
        <v>301.12235067429322</v>
      </c>
      <c r="AD47" s="61">
        <v>313.09383329046028</v>
      </c>
      <c r="AE47" s="61">
        <v>324.8532071433458</v>
      </c>
      <c r="AF47" s="61">
        <v>336.39424410519956</v>
      </c>
      <c r="AG47" s="61">
        <v>347.71218329703913</v>
      </c>
      <c r="AH47" s="61">
        <v>358.80364522393376</v>
      </c>
      <c r="AI47" s="20">
        <v>369.66653161634378</v>
      </c>
      <c r="AJ47" s="13">
        <v>305</v>
      </c>
    </row>
    <row r="48" spans="1:36" ht="9.9499999999999993" customHeight="1" x14ac:dyDescent="0.2">
      <c r="A48" s="20">
        <v>0.11173960583867772</v>
      </c>
      <c r="B48" s="61">
        <v>0.12415576571473533</v>
      </c>
      <c r="C48" s="61">
        <v>0.31041371247087007</v>
      </c>
      <c r="D48" s="61">
        <v>0.62090836732798138</v>
      </c>
      <c r="E48" s="61">
        <v>0.9936086604744776</v>
      </c>
      <c r="F48" s="61">
        <v>1.2421401156262373</v>
      </c>
      <c r="G48" s="61">
        <v>2.485570617390894</v>
      </c>
      <c r="H48" s="61">
        <v>3.7302851463533417</v>
      </c>
      <c r="I48" s="61">
        <v>4.9762772096944721</v>
      </c>
      <c r="J48" s="61">
        <v>5.5997502510093202</v>
      </c>
      <c r="K48" s="61">
        <v>6.2235401801832211</v>
      </c>
      <c r="L48" s="61">
        <v>12.4786772207919</v>
      </c>
      <c r="M48" s="61">
        <v>25.080070853267962</v>
      </c>
      <c r="N48" s="61">
        <v>50.616801750855132</v>
      </c>
      <c r="O48" s="61">
        <v>102.71009968229531</v>
      </c>
      <c r="P48" s="61">
        <v>129.04121496481699</v>
      </c>
      <c r="Q48" s="61">
        <v>142.22057255695717</v>
      </c>
      <c r="R48" s="61">
        <v>155.38547947281467</v>
      </c>
      <c r="S48" s="61">
        <v>168.51781255163004</v>
      </c>
      <c r="T48" s="61">
        <v>181.59941342956662</v>
      </c>
      <c r="U48" s="61">
        <v>194.61231811365715</v>
      </c>
      <c r="V48" s="61">
        <v>207.53898046882387</v>
      </c>
      <c r="W48" s="61">
        <v>220.36248302779128</v>
      </c>
      <c r="X48" s="61">
        <v>233.06672919030453</v>
      </c>
      <c r="Y48" s="61">
        <v>245.63661181806688</v>
      </c>
      <c r="Z48" s="61">
        <v>258.05815439292502</v>
      </c>
      <c r="AA48" s="61">
        <v>270.3186222094057</v>
      </c>
      <c r="AB48" s="61">
        <v>282.40660242979089</v>
      </c>
      <c r="AC48" s="61">
        <v>294.31205314965098</v>
      </c>
      <c r="AD48" s="61">
        <v>306.0263228206021</v>
      </c>
      <c r="AE48" s="61">
        <v>317.54214238712723</v>
      </c>
      <c r="AF48" s="61">
        <v>328.85359326960634</v>
      </c>
      <c r="AG48" s="61">
        <v>339.95605484476442</v>
      </c>
      <c r="AH48" s="61">
        <v>350.84613533997396</v>
      </c>
      <c r="AI48" s="20">
        <v>361.52159009195196</v>
      </c>
      <c r="AJ48" s="13">
        <v>310</v>
      </c>
    </row>
    <row r="49" spans="1:36" ht="9.9499999999999993" customHeight="1" x14ac:dyDescent="0.2">
      <c r="A49" s="20">
        <v>0.10996552113663263</v>
      </c>
      <c r="B49" s="61">
        <v>0.12218449585810333</v>
      </c>
      <c r="C49" s="61">
        <v>0.30548311402898004</v>
      </c>
      <c r="D49" s="61">
        <v>0.61103909032773807</v>
      </c>
      <c r="E49" s="61">
        <v>0.97780230143473679</v>
      </c>
      <c r="F49" s="61">
        <v>1.2223692354732287</v>
      </c>
      <c r="G49" s="61">
        <v>2.4458995097814924</v>
      </c>
      <c r="H49" s="61">
        <v>3.6705843866578025</v>
      </c>
      <c r="I49" s="61">
        <v>4.8964173089703742</v>
      </c>
      <c r="J49" s="61">
        <v>5.5097622049239119</v>
      </c>
      <c r="K49" s="61">
        <v>6.1233915983711631</v>
      </c>
      <c r="L49" s="61">
        <v>12.275141288105601</v>
      </c>
      <c r="M49" s="61">
        <v>24.660054785611582</v>
      </c>
      <c r="N49" s="61">
        <v>49.725607164991011</v>
      </c>
      <c r="O49" s="61">
        <v>100.73731796207309</v>
      </c>
      <c r="P49" s="61">
        <v>126.4720986019898</v>
      </c>
      <c r="Q49" s="61">
        <v>139.34376465003558</v>
      </c>
      <c r="R49" s="61">
        <v>152.19664141731556</v>
      </c>
      <c r="S49" s="61">
        <v>165.0142213225582</v>
      </c>
      <c r="T49" s="61">
        <v>177.7800100124928</v>
      </c>
      <c r="U49" s="61">
        <v>190.4777224650496</v>
      </c>
      <c r="V49" s="61">
        <v>203.09147267012122</v>
      </c>
      <c r="W49" s="61">
        <v>215.6059516946784</v>
      </c>
      <c r="X49" s="61">
        <v>228.00658952022627</v>
      </c>
      <c r="Y49" s="61">
        <v>240.27969681882064</v>
      </c>
      <c r="Z49" s="61">
        <v>252.41258376016617</v>
      </c>
      <c r="AA49" s="61">
        <v>264.39365395862052</v>
      </c>
      <c r="AB49" s="61">
        <v>276.2124727121851</v>
      </c>
      <c r="AC49" s="61">
        <v>287.85980969279905</v>
      </c>
      <c r="AD49" s="61">
        <v>299.32765716115233</v>
      </c>
      <c r="AE49" s="61">
        <v>310.60922555319928</v>
      </c>
      <c r="AF49" s="61">
        <v>321.69891888750016</v>
      </c>
      <c r="AG49" s="61">
        <v>332.5922928567561</v>
      </c>
      <c r="AH49" s="61">
        <v>343.28599869368082</v>
      </c>
      <c r="AI49" s="20">
        <v>353.7777159550983</v>
      </c>
      <c r="AJ49" s="13">
        <v>315</v>
      </c>
    </row>
    <row r="50" spans="1:36" ht="9.9499999999999993" customHeight="1" x14ac:dyDescent="0.2">
      <c r="A50" s="20">
        <v>0.10824690294361614</v>
      </c>
      <c r="B50" s="61">
        <v>0.12027486073129127</v>
      </c>
      <c r="C50" s="61">
        <v>0.30070680030058933</v>
      </c>
      <c r="D50" s="61">
        <v>0.60147904291308663</v>
      </c>
      <c r="E50" s="61">
        <v>0.96249197862830438</v>
      </c>
      <c r="F50" s="61">
        <v>1.2032194590766034</v>
      </c>
      <c r="G50" s="61">
        <v>2.4074812193976505</v>
      </c>
      <c r="H50" s="61">
        <v>3.6127788294316785</v>
      </c>
      <c r="I50" s="61">
        <v>4.819105728681822</v>
      </c>
      <c r="J50" s="61">
        <v>5.422653081759921</v>
      </c>
      <c r="K50" s="61">
        <v>6.0264552474788902</v>
      </c>
      <c r="L50" s="61">
        <v>12.078301034552247</v>
      </c>
      <c r="M50" s="61">
        <v>24.254541446509389</v>
      </c>
      <c r="N50" s="61">
        <v>48.868020725017239</v>
      </c>
      <c r="O50" s="61">
        <v>98.850284391184601</v>
      </c>
      <c r="P50" s="61">
        <v>124.02085652276334</v>
      </c>
      <c r="Q50" s="61">
        <v>136.60200541371714</v>
      </c>
      <c r="R50" s="61">
        <v>149.16055192381657</v>
      </c>
      <c r="S50" s="61">
        <v>161.6814210510903</v>
      </c>
      <c r="T50" s="61">
        <v>174.14958820831791</v>
      </c>
      <c r="U50" s="61">
        <v>186.5502475096111</v>
      </c>
      <c r="V50" s="61">
        <v>198.86897357209821</v>
      </c>
      <c r="W50" s="61">
        <v>211.09187271341293</v>
      </c>
      <c r="X50" s="61">
        <v>223.20571993569777</v>
      </c>
      <c r="Y50" s="61">
        <v>235.19807873447539</v>
      </c>
      <c r="Z50" s="61">
        <v>247.0574015171166</v>
      </c>
      <c r="AA50" s="61">
        <v>258.77310921739172</v>
      </c>
      <c r="AB50" s="61">
        <v>270.33564950426074</v>
      </c>
      <c r="AC50" s="61">
        <v>281.73653376040915</v>
      </c>
      <c r="AD50" s="61">
        <v>292.96835370934548</v>
      </c>
      <c r="AE50" s="61">
        <v>304.02477916698444</v>
      </c>
      <c r="AF50" s="61">
        <v>314.90053886235705</v>
      </c>
      <c r="AG50" s="61">
        <v>325.59138660116719</v>
      </c>
      <c r="AH50" s="61">
        <v>336.09405523510424</v>
      </c>
      <c r="AI50" s="20">
        <v>346.40620095852063</v>
      </c>
      <c r="AJ50" s="13">
        <v>320</v>
      </c>
    </row>
    <row r="51" spans="1:36" ht="9.9499999999999993" customHeight="1" x14ac:dyDescent="0.2">
      <c r="A51" s="20">
        <v>0.1065811894229385</v>
      </c>
      <c r="B51" s="61">
        <v>0.11842401337780614</v>
      </c>
      <c r="C51" s="61">
        <v>0.29607763620918143</v>
      </c>
      <c r="D51" s="61">
        <v>0.59221389587836015</v>
      </c>
      <c r="E51" s="61">
        <v>0.94765465167679175</v>
      </c>
      <c r="F51" s="61">
        <v>1.1846618910525373</v>
      </c>
      <c r="G51" s="61">
        <v>2.3702570014976452</v>
      </c>
      <c r="H51" s="61">
        <v>3.5567789144678263</v>
      </c>
      <c r="I51" s="61">
        <v>4.7442211149704452</v>
      </c>
      <c r="J51" s="61">
        <v>5.3382852602670239</v>
      </c>
      <c r="K51" s="61">
        <v>5.9325769898169884</v>
      </c>
      <c r="L51" s="61">
        <v>11.887823135563725</v>
      </c>
      <c r="M51" s="61">
        <v>23.862758228345065</v>
      </c>
      <c r="N51" s="61">
        <v>48.04203237450524</v>
      </c>
      <c r="O51" s="61">
        <v>97.042931063841408</v>
      </c>
      <c r="P51" s="61">
        <v>121.67864931093227</v>
      </c>
      <c r="Q51" s="61">
        <v>133.98492941309416</v>
      </c>
      <c r="R51" s="61">
        <v>146.26525488053386</v>
      </c>
      <c r="S51" s="61">
        <v>158.50582623100681</v>
      </c>
      <c r="T51" s="61">
        <v>170.69292270630166</v>
      </c>
      <c r="U51" s="61">
        <v>182.81304729769693</v>
      </c>
      <c r="V51" s="61">
        <v>194.85306540319763</v>
      </c>
      <c r="W51" s="61">
        <v>206.80033382986605</v>
      </c>
      <c r="X51" s="61">
        <v>218.64281729957591</v>
      </c>
      <c r="Y51" s="61">
        <v>230.36919015771534</v>
      </c>
      <c r="Z51" s="61">
        <v>241.96892159097069</v>
      </c>
      <c r="AA51" s="61">
        <v>253.43234329940523</v>
      </c>
      <c r="AB51" s="61">
        <v>264.75069920644978</v>
      </c>
      <c r="AC51" s="61">
        <v>275.91617739662973</v>
      </c>
      <c r="AD51" s="61">
        <v>286.92192501707399</v>
      </c>
      <c r="AE51" s="61">
        <v>297.76204734282254</v>
      </c>
      <c r="AF51" s="61">
        <v>308.43159257233174</v>
      </c>
      <c r="AG51" s="61">
        <v>318.92652418057247</v>
      </c>
      <c r="AH51" s="61">
        <v>329.24368281250815</v>
      </c>
      <c r="AI51" s="20">
        <v>339.38073975592494</v>
      </c>
      <c r="AJ51" s="13">
        <v>325</v>
      </c>
    </row>
    <row r="52" spans="1:36" ht="9.9499999999999993" customHeight="1" x14ac:dyDescent="0.2">
      <c r="A52" s="20">
        <v>0.10496597415305531</v>
      </c>
      <c r="B52" s="61">
        <v>0.11662927957203925</v>
      </c>
      <c r="C52" s="61">
        <v>0.29158892028459776</v>
      </c>
      <c r="D52" s="61">
        <v>0.58323019317827929</v>
      </c>
      <c r="E52" s="61">
        <v>0.93326868872334523</v>
      </c>
      <c r="F52" s="61">
        <v>1.1666694062576344</v>
      </c>
      <c r="G52" s="61">
        <v>2.3341717485327296</v>
      </c>
      <c r="H52" s="61">
        <v>3.5025006844888411</v>
      </c>
      <c r="I52" s="61">
        <v>4.6716497835228008</v>
      </c>
      <c r="J52" s="61">
        <v>5.2565298604952924</v>
      </c>
      <c r="K52" s="61">
        <v>5.841612526775565</v>
      </c>
      <c r="L52" s="61">
        <v>11.703396570940924</v>
      </c>
      <c r="M52" s="61">
        <v>23.48398868458121</v>
      </c>
      <c r="N52" s="61">
        <v>47.245798686783786</v>
      </c>
      <c r="O52" s="61">
        <v>95.309788500955179</v>
      </c>
      <c r="P52" s="61">
        <v>119.4375585973422</v>
      </c>
      <c r="Q52" s="61">
        <v>131.48327409084507</v>
      </c>
      <c r="R52" s="61">
        <v>143.50008787125824</v>
      </c>
      <c r="S52" s="61">
        <v>155.47534041708843</v>
      </c>
      <c r="T52" s="61">
        <v>167.39647221519257</v>
      </c>
      <c r="U52" s="61">
        <v>179.2511492246241</v>
      </c>
      <c r="V52" s="61">
        <v>191.0273822027977</v>
      </c>
      <c r="W52" s="61">
        <v>202.71363725790036</v>
      </c>
      <c r="X52" s="61">
        <v>214.29893537820379</v>
      </c>
      <c r="Y52" s="61">
        <v>225.77293914288802</v>
      </c>
      <c r="Z52" s="61">
        <v>237.12602531561157</v>
      </c>
      <c r="AA52" s="61">
        <v>248.34934253618835</v>
      </c>
      <c r="AB52" s="61">
        <v>259.43485383280427</v>
      </c>
      <c r="AC52" s="61">
        <v>270.3753641545303</v>
      </c>
      <c r="AD52" s="61">
        <v>281.16453355185922</v>
      </c>
      <c r="AE52" s="61">
        <v>291.79687699609553</v>
      </c>
      <c r="AF52" s="61">
        <v>302.2677521161321</v>
      </c>
      <c r="AG52" s="61">
        <v>312.57333633820195</v>
      </c>
      <c r="AH52" s="61">
        <v>322.71059504053005</v>
      </c>
      <c r="AI52" s="20">
        <v>332.67724238516473</v>
      </c>
      <c r="AJ52" s="13">
        <v>330</v>
      </c>
    </row>
    <row r="53" spans="1:36" ht="9.9499999999999993" customHeight="1" x14ac:dyDescent="0.2">
      <c r="A53" s="20">
        <v>0.10339899451480858</v>
      </c>
      <c r="B53" s="61">
        <v>0.11488814491085565</v>
      </c>
      <c r="C53" s="61">
        <v>0.28723435219126853</v>
      </c>
      <c r="D53" s="61">
        <v>0.57451528631236903</v>
      </c>
      <c r="E53" s="61">
        <v>0.91931376014973887</v>
      </c>
      <c r="F53" s="61">
        <v>1.1492165158478278</v>
      </c>
      <c r="G53" s="61">
        <v>2.2991737112503303</v>
      </c>
      <c r="H53" s="61">
        <v>3.4498653499273839</v>
      </c>
      <c r="I53" s="61">
        <v>4.6012851162725079</v>
      </c>
      <c r="J53" s="61">
        <v>5.1772660520194824</v>
      </c>
      <c r="K53" s="61">
        <v>5.7534266154218923</v>
      </c>
      <c r="L53" s="61">
        <v>11.524730746674443</v>
      </c>
      <c r="M53" s="61">
        <v>23.117567339284001</v>
      </c>
      <c r="N53" s="61">
        <v>46.477625189230366</v>
      </c>
      <c r="O53" s="61">
        <v>93.645910455879573</v>
      </c>
      <c r="P53" s="61">
        <v>117.29046536205719</v>
      </c>
      <c r="Q53" s="61">
        <v>129.0887313720678</v>
      </c>
      <c r="R53" s="61">
        <v>140.85550568360304</v>
      </c>
      <c r="S53" s="61">
        <v>152.57915112377628</v>
      </c>
      <c r="T53" s="61">
        <v>164.24814624420358</v>
      </c>
      <c r="U53" s="61">
        <v>175.85119424936062</v>
      </c>
      <c r="V53" s="61">
        <v>187.37732608649966</v>
      </c>
      <c r="W53" s="61">
        <v>198.81599557300481</v>
      </c>
      <c r="X53" s="61">
        <v>210.15716477227264</v>
      </c>
      <c r="Y53" s="61">
        <v>221.39137821123728</v>
      </c>
      <c r="Z53" s="61">
        <v>232.50982494187258</v>
      </c>
      <c r="AA53" s="61">
        <v>243.50438786595157</v>
      </c>
      <c r="AB53" s="61">
        <v>254.36768014871257</v>
      </c>
      <c r="AC53" s="61">
        <v>265.09306892627609</v>
      </c>
      <c r="AD53" s="61">
        <v>275.67468684964035</v>
      </c>
      <c r="AE53" s="61">
        <v>286.10743229543812</v>
      </c>
      <c r="AF53" s="61">
        <v>296.38695929655034</v>
      </c>
      <c r="AG53" s="61">
        <v>306.5096584184584</v>
      </c>
      <c r="AH53" s="61">
        <v>316.47262989895091</v>
      </c>
      <c r="AI53" s="20">
        <v>326.27365042041652</v>
      </c>
      <c r="AJ53" s="13">
        <v>335</v>
      </c>
    </row>
    <row r="54" spans="1:36" ht="9.9499999999999993" customHeight="1" x14ac:dyDescent="0.2">
      <c r="A54" s="20">
        <v>0.10187812110492217</v>
      </c>
      <c r="B54" s="61">
        <v>0.113198243046138</v>
      </c>
      <c r="C54" s="61">
        <v>0.28300800313399505</v>
      </c>
      <c r="D54" s="61">
        <v>0.56605727454889054</v>
      </c>
      <c r="E54" s="61">
        <v>0.90577074180008144</v>
      </c>
      <c r="F54" s="61">
        <v>1.1322792453577386</v>
      </c>
      <c r="G54" s="61">
        <v>2.2652142452343873</v>
      </c>
      <c r="H54" s="61">
        <v>3.3987988940187046</v>
      </c>
      <c r="I54" s="61">
        <v>4.5330270148662013</v>
      </c>
      <c r="J54" s="61">
        <v>5.1003804276012277</v>
      </c>
      <c r="K54" s="61">
        <v>5.6678923598193096</v>
      </c>
      <c r="L54" s="61">
        <v>11.351553807498851</v>
      </c>
      <c r="M54" s="61">
        <v>22.762875078680402</v>
      </c>
      <c r="N54" s="61">
        <v>45.73595096369808</v>
      </c>
      <c r="O54" s="61">
        <v>92.046810103046525</v>
      </c>
      <c r="P54" s="61">
        <v>115.23094751919884</v>
      </c>
      <c r="Q54" s="61">
        <v>126.79382315267164</v>
      </c>
      <c r="R54" s="61">
        <v>138.32293253926207</v>
      </c>
      <c r="S54" s="61">
        <v>149.80755832136214</v>
      </c>
      <c r="T54" s="61">
        <v>161.23711016445117</v>
      </c>
      <c r="U54" s="61">
        <v>172.60121964167811</v>
      </c>
      <c r="V54" s="61">
        <v>183.88982961682305</v>
      </c>
      <c r="W54" s="61">
        <v>195.09327640691868</v>
      </c>
      <c r="X54" s="61">
        <v>206.20236329592561</v>
      </c>
      <c r="Y54" s="61">
        <v>217.20842429330614</v>
      </c>
      <c r="Z54" s="61">
        <v>228.10337737045063</v>
      </c>
      <c r="AA54" s="61">
        <v>238.87976674850668</v>
      </c>
      <c r="AB54" s="61">
        <v>249.53079413942012</v>
      </c>
      <c r="AC54" s="61">
        <v>260.05033914575642</v>
      </c>
      <c r="AD54" s="61">
        <v>270.43296929408439</v>
      </c>
      <c r="AE54" s="61">
        <v>280.67394040382885</v>
      </c>
      <c r="AF54" s="61">
        <v>290.76918817363799</v>
      </c>
      <c r="AG54" s="61">
        <v>300.71531199825591</v>
      </c>
      <c r="AH54" s="61">
        <v>310.50955211114115</v>
      </c>
      <c r="AI54" s="20">
        <v>320.1497611843912</v>
      </c>
      <c r="AJ54" s="13">
        <v>340</v>
      </c>
    </row>
    <row r="55" spans="1:36" ht="9.9499999999999993" customHeight="1" x14ac:dyDescent="0.2">
      <c r="A55" s="20">
        <v>0.10040134807144423</v>
      </c>
      <c r="B55" s="61">
        <v>0.11155734494229155</v>
      </c>
      <c r="C55" s="61">
        <v>0.27890428884783636</v>
      </c>
      <c r="D55" s="61">
        <v>0.55784495038970805</v>
      </c>
      <c r="E55" s="61">
        <v>0.8926216267307685</v>
      </c>
      <c r="F55" s="61">
        <v>1.1158350235559491</v>
      </c>
      <c r="G55" s="61">
        <v>2.2322475801987132</v>
      </c>
      <c r="H55" s="61">
        <v>3.3492317138750196</v>
      </c>
      <c r="I55" s="61">
        <v>4.466781404613493</v>
      </c>
      <c r="J55" s="61">
        <v>5.0257664352011799</v>
      </c>
      <c r="K55" s="61">
        <v>5.5848905686831722</v>
      </c>
      <c r="L55" s="61">
        <v>11.183611117514014</v>
      </c>
      <c r="M55" s="61">
        <v>22.419335048172048</v>
      </c>
      <c r="N55" s="61">
        <v>45.019335180105585</v>
      </c>
      <c r="O55" s="61">
        <v>90.508405609387637</v>
      </c>
      <c r="P55" s="61">
        <v>113.25319325269611</v>
      </c>
      <c r="Q55" s="61">
        <v>124.59179623785776</v>
      </c>
      <c r="R55" s="61">
        <v>135.89463766855525</v>
      </c>
      <c r="S55" s="61">
        <v>147.1518302154665</v>
      </c>
      <c r="T55" s="61">
        <v>158.35362136573318</v>
      </c>
      <c r="U55" s="61">
        <v>169.49047632792769</v>
      </c>
      <c r="V55" s="61">
        <v>180.55315578853626</v>
      </c>
      <c r="W55" s="61">
        <v>191.53278712413675</v>
      </c>
      <c r="X55" s="61">
        <v>202.42092792431094</v>
      </c>
      <c r="Y55" s="61">
        <v>213.20962095327323</v>
      </c>
      <c r="Z55" s="61">
        <v>223.89143996061156</v>
      </c>
      <c r="AA55" s="61">
        <v>234.45952603156877</v>
      </c>
      <c r="AB55" s="61">
        <v>244.90761443439908</v>
      </c>
      <c r="AC55" s="61">
        <v>255.23005216747731</v>
      </c>
      <c r="AD55" s="61">
        <v>265.42180662479387</v>
      </c>
      <c r="AE55" s="61">
        <v>275.47846597991065</v>
      </c>
      <c r="AF55" s="61">
        <v>285.39623203212034</v>
      </c>
      <c r="AG55" s="61">
        <v>295.17190636311204</v>
      </c>
      <c r="AH55" s="61">
        <v>304.80287071856702</v>
      </c>
      <c r="AI55" s="20">
        <v>314.28706255898896</v>
      </c>
      <c r="AJ55" s="13">
        <v>345</v>
      </c>
    </row>
    <row r="56" spans="1:36" ht="9.9499999999999993" customHeight="1" x14ac:dyDescent="0.2">
      <c r="A56" s="20">
        <v>9.896678427877266E-2</v>
      </c>
      <c r="B56" s="61">
        <v>0.10996334905600794</v>
      </c>
      <c r="C56" s="61">
        <v>0.27491794491238758</v>
      </c>
      <c r="D56" s="61">
        <v>0.54986774974677433</v>
      </c>
      <c r="E56" s="61">
        <v>0.87984944462053105</v>
      </c>
      <c r="F56" s="61">
        <v>1.0998625809773428</v>
      </c>
      <c r="G56" s="61">
        <v>2.200230609670363</v>
      </c>
      <c r="H56" s="61">
        <v>3.3010982937400803</v>
      </c>
      <c r="I56" s="61">
        <v>4.4024597835331187</v>
      </c>
      <c r="J56" s="61">
        <v>4.9533238619329989</v>
      </c>
      <c r="K56" s="61">
        <v>5.5043091722681803</v>
      </c>
      <c r="L56" s="61">
        <v>11.02066388928889</v>
      </c>
      <c r="M56" s="61">
        <v>22.086408989756279</v>
      </c>
      <c r="N56" s="61">
        <v>44.326445279097122</v>
      </c>
      <c r="O56" s="61">
        <v>89.026973485829743</v>
      </c>
      <c r="P56" s="61">
        <v>111.35192729997954</v>
      </c>
      <c r="Q56" s="61">
        <v>122.47653322256524</v>
      </c>
      <c r="R56" s="61">
        <v>133.56362998111101</v>
      </c>
      <c r="S56" s="61">
        <v>144.60408132330235</v>
      </c>
      <c r="T56" s="61">
        <v>155.58889082749033</v>
      </c>
      <c r="U56" s="61">
        <v>166.50927454757976</v>
      </c>
      <c r="V56" s="61">
        <v>177.35672886456715</v>
      </c>
      <c r="W56" s="61">
        <v>188.12309240745151</v>
      </c>
      <c r="X56" s="61">
        <v>198.80060112308496</v>
      </c>
      <c r="Y56" s="61">
        <v>209.38193580617124</v>
      </c>
      <c r="Z56" s="61">
        <v>219.86026163690497</v>
      </c>
      <c r="AA56" s="61">
        <v>230.22925950529648</v>
      </c>
      <c r="AB56" s="61">
        <v>240.48314912002536</v>
      </c>
      <c r="AC56" s="61">
        <v>250.61670409886108</v>
      </c>
      <c r="AD56" s="61">
        <v>260.62525941213494</v>
      </c>
      <c r="AE56" s="61">
        <v>270.50471169659778</v>
      </c>
      <c r="AF56" s="61">
        <v>280.25151307219272</v>
      </c>
      <c r="AG56" s="61">
        <v>289.86265917804212</v>
      </c>
      <c r="AH56" s="61">
        <v>299.33567219702678</v>
      </c>
      <c r="AI56" s="20">
        <v>308.66857966266741</v>
      </c>
      <c r="AJ56" s="13">
        <v>350</v>
      </c>
    </row>
    <row r="57" spans="1:36" ht="9.9499999999999993" customHeight="1" x14ac:dyDescent="0.2">
      <c r="A57" s="20">
        <v>9.7572645220332779E-2</v>
      </c>
      <c r="B57" s="61">
        <v>0.10841427234718494</v>
      </c>
      <c r="C57" s="61">
        <v>0.27104400416018282</v>
      </c>
      <c r="D57" s="61">
        <v>0.54211570636124673</v>
      </c>
      <c r="E57" s="61">
        <v>0.86743818807387596</v>
      </c>
      <c r="F57" s="61">
        <v>1.0843418571603722</v>
      </c>
      <c r="G57" s="61">
        <v>2.1691226989782382</v>
      </c>
      <c r="H57" s="61">
        <v>3.2543369070786121</v>
      </c>
      <c r="I57" s="61">
        <v>4.3399788117272919</v>
      </c>
      <c r="J57" s="61">
        <v>4.8829583644723407</v>
      </c>
      <c r="K57" s="61">
        <v>5.4260426920370231</v>
      </c>
      <c r="L57" s="61">
        <v>10.862487944473212</v>
      </c>
      <c r="M57" s="61">
        <v>21.763593964384903</v>
      </c>
      <c r="N57" s="61">
        <v>43.656046567273492</v>
      </c>
      <c r="O57" s="61">
        <v>87.599108425971238</v>
      </c>
      <c r="P57" s="61">
        <v>109.52234794317849</v>
      </c>
      <c r="Q57" s="61">
        <v>120.44247651797174</v>
      </c>
      <c r="R57" s="61">
        <v>131.32356845282663</v>
      </c>
      <c r="S57" s="61">
        <v>142.15716888128014</v>
      </c>
      <c r="T57" s="61">
        <v>152.93496558214994</v>
      </c>
      <c r="U57" s="61">
        <v>163.64885280418895</v>
      </c>
      <c r="V57" s="61">
        <v>174.29099064508671</v>
      </c>
      <c r="W57" s="61">
        <v>184.85385905553849</v>
      </c>
      <c r="X57" s="61">
        <v>195.33030572656833</v>
      </c>
      <c r="Y57" s="61">
        <v>205.71358731538774</v>
      </c>
      <c r="Z57" s="61">
        <v>215.99740366355115</v>
      </c>
      <c r="AA57" s="61">
        <v>226.17592485366853</v>
      </c>
      <c r="AB57" s="61">
        <v>236.24381113120606</v>
      </c>
      <c r="AC57" s="61">
        <v>246.1962258808349</v>
      </c>
      <c r="AD57" s="61">
        <v>256.02884198855719</v>
      </c>
      <c r="AE57" s="61">
        <v>265.73784203884406</v>
      </c>
      <c r="AF57" s="61">
        <v>275.31991288880795</v>
      </c>
      <c r="AG57" s="61">
        <v>284.77223522881337</v>
      </c>
      <c r="AH57" s="61">
        <v>294.09246878153988</v>
      </c>
      <c r="AI57" s="20">
        <v>303.27873381108344</v>
      </c>
      <c r="AJ57" s="13">
        <v>355</v>
      </c>
    </row>
    <row r="58" spans="1:36" ht="9.9499999999999993" customHeight="1" x14ac:dyDescent="0.2">
      <c r="A58" s="20">
        <v>9.6217245606096263E-2</v>
      </c>
      <c r="B58" s="61">
        <v>0.10690824204004543</v>
      </c>
      <c r="C58" s="61">
        <v>0.26727777597468322</v>
      </c>
      <c r="D58" s="61">
        <v>0.53457941004896925</v>
      </c>
      <c r="E58" s="61">
        <v>0.85537274513789985</v>
      </c>
      <c r="F58" s="61">
        <v>1.0692539157275247</v>
      </c>
      <c r="G58" s="61">
        <v>2.1388855097038277</v>
      </c>
      <c r="H58" s="61">
        <v>3.2088893445503772</v>
      </c>
      <c r="I58" s="61">
        <v>4.2792599368950937</v>
      </c>
      <c r="J58" s="61">
        <v>4.8145810410529029</v>
      </c>
      <c r="K58" s="61">
        <v>5.3499917575914528</v>
      </c>
      <c r="L58" s="61">
        <v>10.708872591153133</v>
      </c>
      <c r="M58" s="61">
        <v>21.45041941178776</v>
      </c>
      <c r="N58" s="61">
        <v>43.006993027177771</v>
      </c>
      <c r="O58" s="61">
        <v>86.221688582377581</v>
      </c>
      <c r="P58" s="61">
        <v>107.76007290496563</v>
      </c>
      <c r="Q58" s="61">
        <v>118.48456328059865</v>
      </c>
      <c r="R58" s="61">
        <v>129.16868552186534</v>
      </c>
      <c r="S58" s="61">
        <v>139.80460440962418</v>
      </c>
      <c r="T58" s="61">
        <v>150.38462844899684</v>
      </c>
      <c r="U58" s="61">
        <v>160.90126608520649</v>
      </c>
      <c r="V58" s="61">
        <v>171.34727780799605</v>
      </c>
      <c r="W58" s="61">
        <v>181.71572338339925</v>
      </c>
      <c r="X58" s="61">
        <v>192.00000361393731</v>
      </c>
      <c r="Y58" s="61">
        <v>202.19389619584194</v>
      </c>
      <c r="Z58" s="61">
        <v>212.29158541041147</v>
      </c>
      <c r="AA58" s="61">
        <v>222.28768554596161</v>
      </c>
      <c r="AB58" s="61">
        <v>232.17725809732497</v>
      </c>
      <c r="AC58" s="61">
        <v>241.9558229233096</v>
      </c>
      <c r="AD58" s="61">
        <v>251.61936365862891</v>
      </c>
      <c r="AE58" s="61">
        <v>261.16432777275662</v>
      </c>
      <c r="AF58" s="61">
        <v>270.58762174334095</v>
      </c>
      <c r="AG58" s="61">
        <v>279.88660186614726</v>
      </c>
      <c r="AH58" s="61">
        <v>289.05906125775755</v>
      </c>
      <c r="AI58" s="20">
        <v>298.10321362286874</v>
      </c>
      <c r="AJ58" s="13">
        <v>360</v>
      </c>
    </row>
    <row r="59" spans="1:36" ht="9.9499999999999993" customHeight="1" x14ac:dyDescent="0.2">
      <c r="A59" s="20">
        <v>9.4898992560127057E-2</v>
      </c>
      <c r="B59" s="61">
        <v>0.1054434880623896</v>
      </c>
      <c r="C59" s="61">
        <v>0.26361482729585056</v>
      </c>
      <c r="D59" s="61">
        <v>0.52724996840215277</v>
      </c>
      <c r="E59" s="61">
        <v>0.84363883742830492</v>
      </c>
      <c r="F59" s="61">
        <v>1.0545808665437133</v>
      </c>
      <c r="G59" s="61">
        <v>2.1094828389613269</v>
      </c>
      <c r="H59" s="61">
        <v>3.1647006652616598</v>
      </c>
      <c r="I59" s="61">
        <v>4.2202290522908701</v>
      </c>
      <c r="J59" s="61">
        <v>4.7481080407684937</v>
      </c>
      <c r="K59" s="61">
        <v>5.2760626659592287</v>
      </c>
      <c r="L59" s="61">
        <v>10.559619605150449</v>
      </c>
      <c r="M59" s="61">
        <v>21.14644450698081</v>
      </c>
      <c r="N59" s="61">
        <v>42.378219175828967</v>
      </c>
      <c r="O59" s="61">
        <v>84.891845423392013</v>
      </c>
      <c r="P59" s="61">
        <v>106.06109268911845</v>
      </c>
      <c r="Q59" s="61">
        <v>116.59816943233488</v>
      </c>
      <c r="R59" s="61">
        <v>127.09372131133921</v>
      </c>
      <c r="S59" s="61">
        <v>137.5404778769848</v>
      </c>
      <c r="T59" s="61">
        <v>147.93131212000426</v>
      </c>
      <c r="U59" s="61">
        <v>158.25929010177464</v>
      </c>
      <c r="V59" s="61">
        <v>168.51771679081273</v>
      </c>
      <c r="W59" s="61">
        <v>178.70017748013223</v>
      </c>
      <c r="X59" s="61">
        <v>188.80057430093981</v>
      </c>
      <c r="Y59" s="61">
        <v>198.81315749184282</v>
      </c>
      <c r="Z59" s="61">
        <v>208.73255122434796</v>
      </c>
      <c r="AA59" s="61">
        <v>218.55377392031764</v>
      </c>
      <c r="AB59" s="61">
        <v>228.27225312140197</v>
      </c>
      <c r="AC59" s="61">
        <v>237.88383508130985</v>
      </c>
      <c r="AD59" s="61">
        <v>247.38478934710506</v>
      </c>
      <c r="AE59" s="61">
        <v>256.77180867420685</v>
      </c>
      <c r="AF59" s="61">
        <v>266.04200468093796</v>
      </c>
      <c r="AG59" s="61">
        <v>275.19289969246722</v>
      </c>
      <c r="AH59" s="61">
        <v>284.22241525155027</v>
      </c>
      <c r="AI59" s="20">
        <v>293.1288577858254</v>
      </c>
      <c r="AJ59" s="13">
        <v>365</v>
      </c>
    </row>
    <row r="60" spans="1:36" ht="9.9499999999999993" customHeight="1" x14ac:dyDescent="0.2">
      <c r="A60" s="20">
        <v>9.3616379370359423E-2</v>
      </c>
      <c r="B60" s="61">
        <v>0.10401833609872294</v>
      </c>
      <c r="C60" s="61">
        <v>0.26005096517108822</v>
      </c>
      <c r="D60" s="61">
        <v>0.52011897161753218</v>
      </c>
      <c r="E60" s="61">
        <v>0.83222296332682533</v>
      </c>
      <c r="F60" s="61">
        <v>1.040305794271789</v>
      </c>
      <c r="G60" s="61">
        <v>2.0808804720580434</v>
      </c>
      <c r="H60" s="61">
        <v>3.1217189689850962</v>
      </c>
      <c r="I60" s="61">
        <v>4.1628161838633329</v>
      </c>
      <c r="J60" s="61">
        <v>4.6834602064020627</v>
      </c>
      <c r="K60" s="61">
        <v>5.2041669789173648</v>
      </c>
      <c r="L60" s="61">
        <v>10.414542303858134</v>
      </c>
      <c r="M60" s="61">
        <v>20.851255778401914</v>
      </c>
      <c r="N60" s="61">
        <v>41.768732831556427</v>
      </c>
      <c r="O60" s="61">
        <v>83.6069374665787</v>
      </c>
      <c r="P60" s="61">
        <v>104.42173017648655</v>
      </c>
      <c r="Q60" s="61">
        <v>114.77906129948849</v>
      </c>
      <c r="R60" s="61">
        <v>125.09386690878537</v>
      </c>
      <c r="S60" s="61">
        <v>135.35939239301237</v>
      </c>
      <c r="T60" s="61">
        <v>145.56902523219091</v>
      </c>
      <c r="U60" s="61">
        <v>155.71633891214711</v>
      </c>
      <c r="V60" s="61">
        <v>165.79513334274534</v>
      </c>
      <c r="W60" s="61">
        <v>175.79947126609216</v>
      </c>
      <c r="X60" s="61">
        <v>185.72371026243573</v>
      </c>
      <c r="Y60" s="61">
        <v>195.56253008459308</v>
      </c>
      <c r="Z60" s="61">
        <v>205.31095517195379</v>
      </c>
      <c r="AA60" s="61">
        <v>214.96437230871661</v>
      </c>
      <c r="AB60" s="61">
        <v>224.51854349500874</v>
      </c>
      <c r="AC60" s="61">
        <v>233.96961419170236</v>
      </c>
      <c r="AD60" s="61">
        <v>243.3141171784867</v>
      </c>
      <c r="AE60" s="61">
        <v>252.54897232929025</v>
      </c>
      <c r="AF60" s="61">
        <v>261.67148265914767</v>
      </c>
      <c r="AG60" s="61">
        <v>270.67932703235681</v>
      </c>
      <c r="AH60" s="61">
        <v>279.57054994396123</v>
      </c>
      <c r="AI60" s="20">
        <v>288.34354879631275</v>
      </c>
      <c r="AJ60" s="13">
        <v>370</v>
      </c>
    </row>
    <row r="61" spans="1:36" ht="9.9499999999999993" customHeight="1" x14ac:dyDescent="0.2">
      <c r="A61" s="20">
        <v>9.2367979738989262E-2</v>
      </c>
      <c r="B61" s="61">
        <v>0.10263120119987004</v>
      </c>
      <c r="C61" s="61">
        <v>0.2565822207067166</v>
      </c>
      <c r="D61" s="61">
        <v>0.51317846015679958</v>
      </c>
      <c r="E61" s="61">
        <v>0.82111234577053138</v>
      </c>
      <c r="F61" s="61">
        <v>1.0264126927183816</v>
      </c>
      <c r="G61" s="61">
        <v>2.0530460472464185</v>
      </c>
      <c r="H61" s="61">
        <v>3.0798951872991607</v>
      </c>
      <c r="I61" s="61">
        <v>4.1069552036846435</v>
      </c>
      <c r="J61" s="61">
        <v>4.6205627474382345</v>
      </c>
      <c r="K61" s="61">
        <v>5.1342211545341616</v>
      </c>
      <c r="L61" s="61">
        <v>10.273464703006223</v>
      </c>
      <c r="M61" s="61">
        <v>20.564464957057542</v>
      </c>
      <c r="N61" s="61">
        <v>41.177608670310008</v>
      </c>
      <c r="O61" s="61">
        <v>82.364527307670329</v>
      </c>
      <c r="P61" s="61">
        <v>102.83860550202431</v>
      </c>
      <c r="Q61" s="61">
        <v>113.02335366817029</v>
      </c>
      <c r="R61" s="61">
        <v>123.164715258805</v>
      </c>
      <c r="S61" s="61">
        <v>133.25640774031729</v>
      </c>
      <c r="T61" s="61">
        <v>143.29228849880519</v>
      </c>
      <c r="U61" s="61">
        <v>153.26639377815408</v>
      </c>
      <c r="V61" s="61">
        <v>163.1729744001492</v>
      </c>
      <c r="W61" s="61">
        <v>173.00652784345232</v>
      </c>
      <c r="X61" s="61">
        <v>182.76182636371993</v>
      </c>
      <c r="Y61" s="61">
        <v>192.4339409428251</v>
      </c>
      <c r="Z61" s="61">
        <v>202.01826095750718</v>
      </c>
      <c r="AA61" s="61">
        <v>211.51050955380558</v>
      </c>
      <c r="AB61" s="61">
        <v>220.9067548010031</v>
      </c>
      <c r="AC61" s="61">
        <v>230.20341677572674</v>
      </c>
      <c r="AD61" s="61">
        <v>239.39727079227933</v>
      </c>
      <c r="AE61" s="61">
        <v>248.48544704853811</v>
      </c>
      <c r="AF61" s="61">
        <v>257.46542699782731</v>
      </c>
      <c r="AG61" s="61">
        <v>266.33503678632576</v>
      </c>
      <c r="AH61" s="61">
        <v>275.09243811343595</v>
      </c>
      <c r="AI61" s="20">
        <v>283.73611688015393</v>
      </c>
      <c r="AJ61" s="13">
        <v>375</v>
      </c>
    </row>
    <row r="62" spans="1:36" ht="9.9499999999999993" customHeight="1" x14ac:dyDescent="0.2">
      <c r="A62" s="20">
        <v>9.1152442487304738E-2</v>
      </c>
      <c r="B62" s="61">
        <v>0.10128058189773641</v>
      </c>
      <c r="C62" s="61">
        <v>0.25320483429047647</v>
      </c>
      <c r="D62" s="61">
        <v>0.50642089497638576</v>
      </c>
      <c r="E62" s="61">
        <v>0.81029488420480311</v>
      </c>
      <c r="F62" s="61">
        <v>1.0128864044284145</v>
      </c>
      <c r="G62" s="61">
        <v>2.0259489314197849</v>
      </c>
      <c r="H62" s="61">
        <v>3.0391828918257406</v>
      </c>
      <c r="I62" s="61">
        <v>4.0525835671045094</v>
      </c>
      <c r="J62" s="61">
        <v>4.5593449402956159</v>
      </c>
      <c r="K62" s="61">
        <v>5.0661462095487346</v>
      </c>
      <c r="L62" s="61">
        <v>10.136220747501705</v>
      </c>
      <c r="M62" s="61">
        <v>20.28570703079912</v>
      </c>
      <c r="N62" s="61">
        <v>40.603982470378774</v>
      </c>
      <c r="O62" s="61">
        <v>81.162361462813024</v>
      </c>
      <c r="P62" s="61">
        <v>101.30860541040889</v>
      </c>
      <c r="Q62" s="61">
        <v>111.3274732679468</v>
      </c>
      <c r="R62" s="61">
        <v>121.3022184849365</v>
      </c>
      <c r="S62" s="61">
        <v>131.226991362332</v>
      </c>
      <c r="T62" s="61">
        <v>141.09607932009362</v>
      </c>
      <c r="U62" s="61">
        <v>150.90394149155682</v>
      </c>
      <c r="V62" s="61">
        <v>160.6452403581311</v>
      </c>
      <c r="W62" s="61">
        <v>170.31487007545795</v>
      </c>
      <c r="X62" s="61">
        <v>179.90798123371664</v>
      </c>
      <c r="Y62" s="61">
        <v>189.42000188569085</v>
      </c>
      <c r="Z62" s="61">
        <v>198.84665476360945</v>
      </c>
      <c r="AA62" s="61">
        <v>208.18397068724985</v>
      </c>
      <c r="AB62" s="61">
        <v>217.42829823944012</v>
      </c>
      <c r="AC62" s="61">
        <v>226.57630984962265</v>
      </c>
      <c r="AD62" s="61">
        <v>235.62500448068505</v>
      </c>
      <c r="AE62" s="61">
        <v>244.57170715846684</v>
      </c>
      <c r="AF62" s="61">
        <v>253.4140656171958</v>
      </c>
      <c r="AG62" s="61">
        <v>262.15004435795976</v>
      </c>
      <c r="AH62" s="61">
        <v>270.77791643174993</v>
      </c>
      <c r="AI62" s="20">
        <v>279.29625326448132</v>
      </c>
      <c r="AJ62" s="13">
        <v>380</v>
      </c>
    </row>
    <row r="63" spans="1:36" ht="9.9499999999999993" customHeight="1" x14ac:dyDescent="0.2">
      <c r="A63" s="20">
        <v>8.9968486673584508E-2</v>
      </c>
      <c r="B63" s="61">
        <v>9.9965054779226459E-2</v>
      </c>
      <c r="C63" s="61">
        <v>0.24991524196906945</v>
      </c>
      <c r="D63" s="61">
        <v>0.49983913009122849</v>
      </c>
      <c r="E63" s="61">
        <v>0.79975911031680635</v>
      </c>
      <c r="F63" s="61">
        <v>0.99971256504393313</v>
      </c>
      <c r="G63" s="61">
        <v>1.999560105727445</v>
      </c>
      <c r="H63" s="61">
        <v>2.9995381179436023</v>
      </c>
      <c r="I63" s="61">
        <v>3.9996420713490521</v>
      </c>
      <c r="J63" s="61">
        <v>4.4997398531463482</v>
      </c>
      <c r="K63" s="61">
        <v>4.9998674095874325</v>
      </c>
      <c r="L63" s="61">
        <v>10.002653608815518</v>
      </c>
      <c r="M63" s="61">
        <v>20.014638480373712</v>
      </c>
      <c r="N63" s="61">
        <v>40.047045959238226</v>
      </c>
      <c r="O63" s="61">
        <v>79.998352622091545</v>
      </c>
      <c r="P63" s="61">
        <v>99.828856425707201</v>
      </c>
      <c r="Q63" s="61">
        <v>109.68812686782807</v>
      </c>
      <c r="R63" s="61">
        <v>119.50265066479517</v>
      </c>
      <c r="S63" s="61">
        <v>129.26697566770949</v>
      </c>
      <c r="T63" s="61">
        <v>138.97578357338932</v>
      </c>
      <c r="U63" s="61">
        <v>148.62392071776068</v>
      </c>
      <c r="V63" s="61">
        <v>158.20642614835992</v>
      </c>
      <c r="W63" s="61">
        <v>167.71855668817102</v>
      </c>
      <c r="X63" s="61">
        <v>177.15580878256918</v>
      </c>
      <c r="Y63" s="61">
        <v>186.51393699953525</v>
      </c>
      <c r="Z63" s="61">
        <v>195.78896912812553</v>
      </c>
      <c r="AA63" s="61">
        <v>204.97721788951526</v>
      </c>
      <c r="AB63" s="61">
        <v>214.07528933726346</v>
      </c>
      <c r="AC63" s="61">
        <v>223.08008807775806</v>
      </c>
      <c r="AD63" s="61">
        <v>231.98881948748854</v>
      </c>
      <c r="AE63" s="61">
        <v>240.79898914060274</v>
      </c>
      <c r="AF63" s="61">
        <v>249.5083996882145</v>
      </c>
      <c r="AG63" s="61">
        <v>258.1151454505125</v>
      </c>
      <c r="AH63" s="61">
        <v>266.61760499436843</v>
      </c>
      <c r="AI63" s="20">
        <v>275.01443197363903</v>
      </c>
      <c r="AJ63" s="13">
        <v>385</v>
      </c>
    </row>
    <row r="64" spans="1:36" ht="9.9499999999999993" customHeight="1" x14ac:dyDescent="0.2">
      <c r="A64" s="20">
        <v>8.8814897086945621E-2</v>
      </c>
      <c r="B64" s="61">
        <v>9.8683269478049382E-2</v>
      </c>
      <c r="C64" s="61">
        <v>0.24671006287669375</v>
      </c>
      <c r="D64" s="61">
        <v>0.49342638726152704</v>
      </c>
      <c r="E64" s="61">
        <v>0.78949414720627387</v>
      </c>
      <c r="F64" s="61">
        <v>0.98687755199343041</v>
      </c>
      <c r="G64" s="61">
        <v>1.973852060193382</v>
      </c>
      <c r="H64" s="61">
        <v>2.9609192025302113</v>
      </c>
      <c r="I64" s="61">
        <v>3.9480746335333783</v>
      </c>
      <c r="J64" s="61">
        <v>4.4416840929800863</v>
      </c>
      <c r="K64" s="61">
        <v>4.9353139845489933</v>
      </c>
      <c r="L64" s="61">
        <v>9.8726150421752727</v>
      </c>
      <c r="M64" s="61">
        <v>19.750935677540166</v>
      </c>
      <c r="N64" s="61">
        <v>39.506042188638332</v>
      </c>
      <c r="O64" s="61">
        <v>78.870563977459511</v>
      </c>
      <c r="P64" s="61">
        <v>98.396701283073028</v>
      </c>
      <c r="Q64" s="61">
        <v>108.10227330750033</v>
      </c>
      <c r="R64" s="61">
        <v>117.76257524994885</v>
      </c>
      <c r="S64" s="61">
        <v>127.37252070836686</v>
      </c>
      <c r="T64" s="61">
        <v>136.92715350678537</v>
      </c>
      <c r="U64" s="61">
        <v>146.42167515468896</v>
      </c>
      <c r="V64" s="61">
        <v>155.85146980563334</v>
      </c>
      <c r="W64" s="61">
        <v>165.2121264776344</v>
      </c>
      <c r="X64" s="61">
        <v>174.49945836707622</v>
      </c>
      <c r="Y64" s="61">
        <v>183.7095191555963</v>
      </c>
      <c r="Z64" s="61">
        <v>192.83861627363211</v>
      </c>
      <c r="AA64" s="61">
        <v>201.88332114348063</v>
      </c>
      <c r="AB64" s="61">
        <v>210.84047647765422</v>
      </c>
      <c r="AC64" s="61">
        <v>219.70720075419564</v>
      </c>
      <c r="AD64" s="61">
        <v>228.48089002903117</v>
      </c>
      <c r="AE64" s="61">
        <v>237.15921727620699</v>
      </c>
      <c r="AF64" s="61">
        <v>245.74012947013608</v>
      </c>
      <c r="AG64" s="61">
        <v>254.22184264008743</v>
      </c>
      <c r="AH64" s="61">
        <v>262.60283513656651</v>
      </c>
      <c r="AI64" s="20">
        <v>270.88183935265084</v>
      </c>
      <c r="AJ64" s="13">
        <v>390</v>
      </c>
    </row>
    <row r="65" spans="1:36" ht="9.9499999999999993" customHeight="1" x14ac:dyDescent="0.2">
      <c r="A65" s="20">
        <v>8.7690520083785126E-2</v>
      </c>
      <c r="B65" s="61">
        <v>9.74339440473318E-2</v>
      </c>
      <c r="C65" s="61">
        <v>0.24358608762111597</v>
      </c>
      <c r="D65" s="61">
        <v>0.48717623261303111</v>
      </c>
      <c r="E65" s="61">
        <v>0.77948967168554728</v>
      </c>
      <c r="F65" s="61">
        <v>0.97436843712256271</v>
      </c>
      <c r="G65" s="61">
        <v>1.9487986965187336</v>
      </c>
      <c r="H65" s="61">
        <v>2.9232866344381789</v>
      </c>
      <c r="I65" s="61">
        <v>3.8978280862756298</v>
      </c>
      <c r="J65" s="61">
        <v>4.3851175728237166</v>
      </c>
      <c r="K65" s="61">
        <v>4.8724188667815014</v>
      </c>
      <c r="L65" s="61">
        <v>9.7459647976168391</v>
      </c>
      <c r="M65" s="61">
        <v>19.494293427733865</v>
      </c>
      <c r="N65" s="61">
        <v>38.98026137416268</v>
      </c>
      <c r="O65" s="61">
        <v>77.777195342284614</v>
      </c>
      <c r="P65" s="61">
        <v>97.00967815968869</v>
      </c>
      <c r="Q65" s="61">
        <v>106.56709889931453</v>
      </c>
      <c r="R65" s="61">
        <v>116.07881645763332</v>
      </c>
      <c r="S65" s="61">
        <v>125.54008144722506</v>
      </c>
      <c r="T65" s="61">
        <v>134.94627084235864</v>
      </c>
      <c r="U65" s="61">
        <v>144.29291250739126</v>
      </c>
      <c r="V65" s="61">
        <v>153.57570742686605</v>
      </c>
      <c r="W65" s="61">
        <v>162.790549441358</v>
      </c>
      <c r="X65" s="61">
        <v>171.93354235343497</v>
      </c>
      <c r="Y65" s="61">
        <v>181.00101432669933</v>
      </c>
      <c r="Z65" s="61">
        <v>189.98952955613203</v>
      </c>
      <c r="AA65" s="61">
        <v>198.89589723860217</v>
      </c>
      <c r="AB65" s="61">
        <v>207.71717791748395</v>
      </c>
      <c r="AC65" s="61">
        <v>216.45068731423478</v>
      </c>
      <c r="AD65" s="61">
        <v>225.09399779216881</v>
      </c>
      <c r="AE65" s="61">
        <v>233.64493762351211</v>
      </c>
      <c r="AF65" s="61">
        <v>242.10158825019718</v>
      </c>
      <c r="AG65" s="61">
        <v>250.46227974216967</v>
      </c>
      <c r="AH65" s="61">
        <v>258.7255846645869</v>
      </c>
      <c r="AI65" s="20">
        <v>266.89031056782716</v>
      </c>
      <c r="AJ65" s="13">
        <v>395</v>
      </c>
    </row>
    <row r="66" spans="1:36" ht="9.9499999999999993" customHeight="1" x14ac:dyDescent="0.2">
      <c r="A66" s="20">
        <v>8.6594259736801155E-2</v>
      </c>
      <c r="B66" s="61">
        <v>9.6215860679671014E-2</v>
      </c>
      <c r="C66" s="61">
        <v>0.24054026754321053</v>
      </c>
      <c r="D66" s="61">
        <v>0.48108255502052399</v>
      </c>
      <c r="E66" s="61">
        <v>0.769735879432078</v>
      </c>
      <c r="F66" s="61">
        <v>0.96217294291668609</v>
      </c>
      <c r="G66" s="61">
        <v>1.9243752383327994</v>
      </c>
      <c r="H66" s="61">
        <v>2.8866029165480822</v>
      </c>
      <c r="I66" s="61">
        <v>3.8488519892926272</v>
      </c>
      <c r="J66" s="61">
        <v>4.3299832972512871</v>
      </c>
      <c r="K66" s="61">
        <v>4.811118449929829</v>
      </c>
      <c r="L66" s="61">
        <v>9.6225700796237632</v>
      </c>
      <c r="M66" s="61">
        <v>19.244423641979257</v>
      </c>
      <c r="N66" s="61">
        <v>38.46903714514071</v>
      </c>
      <c r="O66" s="61">
        <v>76.71657082251852</v>
      </c>
      <c r="P66" s="61">
        <v>95.665502318367189</v>
      </c>
      <c r="Q66" s="61">
        <v>105.07999572832361</v>
      </c>
      <c r="R66" s="61">
        <v>114.44843407171896</v>
      </c>
      <c r="S66" s="61">
        <v>123.76637896094071</v>
      </c>
      <c r="T66" s="61">
        <v>133.02951434262968</v>
      </c>
      <c r="U66" s="61">
        <v>142.23366844395377</v>
      </c>
      <c r="V66" s="61">
        <v>151.3748336064416</v>
      </c>
      <c r="W66" s="61">
        <v>160.44918384577502</v>
      </c>
      <c r="X66" s="61">
        <v>169.45309002857229</v>
      </c>
      <c r="Y66" s="61">
        <v>178.38313260799058</v>
      </c>
      <c r="Z66" s="61">
        <v>187.23611190762898</v>
      </c>
      <c r="AA66" s="61">
        <v>196.00905598666981</v>
      </c>
      <c r="AB66" s="61">
        <v>204.69922615770673</v>
      </c>
      <c r="AC66" s="61">
        <v>213.30412026178888</v>
      </c>
      <c r="AD66" s="61">
        <v>221.82147383264004</v>
      </c>
      <c r="AE66" s="61">
        <v>230.24925930375127</v>
      </c>
      <c r="AF66" s="61">
        <v>238.58568342826595</v>
      </c>
      <c r="AG66" s="61">
        <v>246.82918309257539</v>
      </c>
      <c r="AH66" s="61">
        <v>254.97841971070352</v>
      </c>
      <c r="AI66" s="20">
        <v>263.03227238841356</v>
      </c>
      <c r="AJ66" s="13">
        <v>400</v>
      </c>
    </row>
    <row r="67" spans="1:36" ht="9.9499999999999993" customHeight="1" x14ac:dyDescent="0.2">
      <c r="A67" s="20">
        <v>8.5525074269548723E-2</v>
      </c>
      <c r="B67" s="61">
        <v>9.5027861744562417E-2</v>
      </c>
      <c r="C67" s="61">
        <v>0.23756970477422182</v>
      </c>
      <c r="D67" s="61">
        <v>0.47513954610110554</v>
      </c>
      <c r="E67" s="61">
        <v>0.76022345274429337</v>
      </c>
      <c r="F67" s="61">
        <v>0.95027940200072314</v>
      </c>
      <c r="G67" s="61">
        <v>1.9005581482322045</v>
      </c>
      <c r="H67" s="61">
        <v>2.8508324383590149</v>
      </c>
      <c r="I67" s="61">
        <v>3.8010984555267844</v>
      </c>
      <c r="J67" s="61">
        <v>4.2762271645150376</v>
      </c>
      <c r="K67" s="61">
        <v>4.7513523665569863</v>
      </c>
      <c r="L67" s="61">
        <v>9.5023050506730655</v>
      </c>
      <c r="M67" s="61">
        <v>19.001054124604689</v>
      </c>
      <c r="N67" s="61">
        <v>37.971743156401672</v>
      </c>
      <c r="O67" s="61">
        <v>75.687127837386342</v>
      </c>
      <c r="P67" s="61">
        <v>94.362049836567181</v>
      </c>
      <c r="Q67" s="61">
        <v>103.63854245284459</v>
      </c>
      <c r="R67" s="61">
        <v>112.86870118061189</v>
      </c>
      <c r="S67" s="61">
        <v>122.04837502854583</v>
      </c>
      <c r="T67" s="61">
        <v>131.17353121466203</v>
      </c>
      <c r="U67" s="61">
        <v>140.24027483319591</v>
      </c>
      <c r="V67" s="61">
        <v>149.24486657945357</v>
      </c>
      <c r="W67" s="61">
        <v>158.1837383995011</v>
      </c>
      <c r="X67" s="61">
        <v>167.05350697753616</v>
      </c>
      <c r="Y67" s="61">
        <v>175.85098501791461</v>
      </c>
      <c r="Z67" s="61">
        <v>184.57319031998085</v>
      </c>
      <c r="AA67" s="61">
        <v>193.21735268123086</v>
      </c>
      <c r="AB67" s="61">
        <v>201.78091869733535</v>
      </c>
      <c r="AC67" s="61">
        <v>210.26155455575386</v>
      </c>
      <c r="AD67" s="61">
        <v>218.65714694297063</v>
      </c>
      <c r="AE67" s="61">
        <v>226.9658022037361</v>
      </c>
      <c r="AF67" s="61">
        <v>235.1858439043026</v>
      </c>
      <c r="AG67" s="61">
        <v>243.315808960764</v>
      </c>
      <c r="AH67" s="61">
        <v>251.35444249859376</v>
      </c>
      <c r="AI67" s="20">
        <v>259.30069161077216</v>
      </c>
      <c r="AJ67" s="13">
        <v>405</v>
      </c>
    </row>
    <row r="68" spans="1:36" ht="9.9499999999999993" customHeight="1" x14ac:dyDescent="0.2">
      <c r="A68" s="20">
        <v>8.4481972752125947E-2</v>
      </c>
      <c r="B68" s="61">
        <v>9.3868846116074087E-2</v>
      </c>
      <c r="C68" s="61">
        <v>0.23467164302244084</v>
      </c>
      <c r="D68" s="61">
        <v>0.46934168167897855</v>
      </c>
      <c r="E68" s="61">
        <v>0.7509435306762966</v>
      </c>
      <c r="F68" s="61">
        <v>0.93867671963302546</v>
      </c>
      <c r="G68" s="61">
        <v>1.8773250510142421</v>
      </c>
      <c r="H68" s="61">
        <v>2.8159413581840376</v>
      </c>
      <c r="I68" s="61">
        <v>3.7545219905035534</v>
      </c>
      <c r="J68" s="61">
        <v>4.2237977838017766</v>
      </c>
      <c r="K68" s="61">
        <v>4.6930632828409999</v>
      </c>
      <c r="L68" s="61">
        <v>9.3850503745216933</v>
      </c>
      <c r="M68" s="61">
        <v>18.763927464916542</v>
      </c>
      <c r="N68" s="61">
        <v>37.48779002176758</v>
      </c>
      <c r="O68" s="61">
        <v>74.687407316478527</v>
      </c>
      <c r="P68" s="61">
        <v>93.097343144629562</v>
      </c>
      <c r="Q68" s="61">
        <v>102.2404872699038</v>
      </c>
      <c r="R68" s="61">
        <v>111.33708445392234</v>
      </c>
      <c r="S68" s="61">
        <v>120.38324964361381</v>
      </c>
      <c r="T68" s="61">
        <v>129.37521182526905</v>
      </c>
      <c r="U68" s="61">
        <v>138.30933167541028</v>
      </c>
      <c r="V68" s="61">
        <v>147.18211742572635</v>
      </c>
      <c r="W68" s="61">
        <v>155.99023883256788</v>
      </c>
      <c r="X68" s="61">
        <v>164.7305391817263</v>
      </c>
      <c r="Y68" s="61">
        <v>173.40004529759895</v>
      </c>
      <c r="Z68" s="61">
        <v>181.99597556151033</v>
      </c>
      <c r="AA68" s="61">
        <v>190.51574597619248</v>
      </c>
      <c r="AB68" s="61">
        <v>198.95697434175676</v>
      </c>
      <c r="AC68" s="61">
        <v>207.31748263262838</v>
      </c>
      <c r="AD68" s="61">
        <v>215.59529768473371</v>
      </c>
      <c r="AE68" s="61">
        <v>223.78865031779461</v>
      </c>
      <c r="AF68" s="61">
        <v>231.89597302900998</v>
      </c>
      <c r="AG68" s="61">
        <v>239.91589640199601</v>
      </c>
      <c r="AH68" s="61">
        <v>247.84724437886894</v>
      </c>
      <c r="AI68" s="20">
        <v>255.68902854423803</v>
      </c>
      <c r="AJ68" s="13">
        <v>410</v>
      </c>
    </row>
    <row r="69" spans="1:36" ht="9.9499999999999993" customHeight="1" x14ac:dyDescent="0.2">
      <c r="A69" s="20">
        <v>8.346401203594353E-2</v>
      </c>
      <c r="B69" s="61">
        <v>9.2737765766257432E-2</v>
      </c>
      <c r="C69" s="61">
        <v>0.23184345902757927</v>
      </c>
      <c r="D69" s="61">
        <v>0.46368370459685926</v>
      </c>
      <c r="E69" s="61">
        <v>0.74188768134879957</v>
      </c>
      <c r="F69" s="61">
        <v>0.92735433893762165</v>
      </c>
      <c r="G69" s="61">
        <v>1.8546546625693252</v>
      </c>
      <c r="H69" s="61">
        <v>2.7818974941114738</v>
      </c>
      <c r="I69" s="61">
        <v>3.7090793437511129</v>
      </c>
      <c r="J69" s="61">
        <v>4.1726463062719521</v>
      </c>
      <c r="K69" s="61">
        <v>4.6361967088237099</v>
      </c>
      <c r="L69" s="61">
        <v>9.2706927955192846</v>
      </c>
      <c r="M69" s="61">
        <v>18.532800022377124</v>
      </c>
      <c r="N69" s="61">
        <v>37.016622533003883</v>
      </c>
      <c r="O69" s="61">
        <v>73.716044925913891</v>
      </c>
      <c r="P69" s="61">
        <v>91.869538138453976</v>
      </c>
      <c r="Q69" s="61">
        <v>100.88373276107339</v>
      </c>
      <c r="R69" s="61">
        <v>109.85122662094575</v>
      </c>
      <c r="S69" s="61">
        <v>118.76838105906702</v>
      </c>
      <c r="T69" s="61">
        <v>127.63166728247219</v>
      </c>
      <c r="U69" s="61">
        <v>136.43768222877915</v>
      </c>
      <c r="V69" s="61">
        <v>145.18316278769137</v>
      </c>
      <c r="W69" s="61">
        <v>153.86499828959384</v>
      </c>
      <c r="X69" s="61">
        <v>162.48024120660742</v>
      </c>
      <c r="Y69" s="61">
        <v>171.02611604492722</v>
      </c>
      <c r="Z69" s="61">
        <v>179.50002643820881</v>
      </c>
      <c r="AA69" s="61">
        <v>187.89956047962573</v>
      </c>
      <c r="AB69" s="61">
        <v>196.22249435461333</v>
      </c>
      <c r="AC69" s="61">
        <v>204.46679435700037</v>
      </c>
      <c r="AD69" s="61">
        <v>212.63061738817464</v>
      </c>
      <c r="AE69" s="61">
        <v>220.71231005211695</v>
      </c>
      <c r="AF69" s="61">
        <v>228.71040646879888</v>
      </c>
      <c r="AG69" s="61">
        <v>236.62362493473546</v>
      </c>
      <c r="AH69" s="61">
        <v>244.4508635627343</v>
      </c>
      <c r="AI69" s="20">
        <v>252.19119503342711</v>
      </c>
      <c r="AJ69" s="13">
        <v>415</v>
      </c>
    </row>
    <row r="70" spans="1:36" ht="9.9499999999999993" customHeight="1" x14ac:dyDescent="0.2">
      <c r="A70" s="20">
        <v>8.2470293907631859E-2</v>
      </c>
      <c r="B70" s="61">
        <v>9.1633622602124862E-2</v>
      </c>
      <c r="C70" s="61">
        <v>0.22908265462703695</v>
      </c>
      <c r="D70" s="61">
        <v>0.45816060876112219</v>
      </c>
      <c r="E70" s="61">
        <v>0.73304787625321144</v>
      </c>
      <c r="F70" s="61">
        <v>0.91630220864391332</v>
      </c>
      <c r="G70" s="61">
        <v>1.8325267239498488</v>
      </c>
      <c r="H70" s="61">
        <v>2.7486702229761844</v>
      </c>
      <c r="I70" s="61">
        <v>3.6647293712312954</v>
      </c>
      <c r="J70" s="61">
        <v>4.1227262686744135</v>
      </c>
      <c r="K70" s="61">
        <v>4.5807008228427266</v>
      </c>
      <c r="L70" s="61">
        <v>9.1591247506297986</v>
      </c>
      <c r="M70" s="61">
        <v>18.307440996035506</v>
      </c>
      <c r="N70" s="61">
        <v>36.557717133039233</v>
      </c>
      <c r="O70" s="61">
        <v>72.771763197138156</v>
      </c>
      <c r="P70" s="61">
        <v>90.676912666502858</v>
      </c>
      <c r="Q70" s="61">
        <v>99.566322376672503</v>
      </c>
      <c r="R70" s="61">
        <v>108.40893086473456</v>
      </c>
      <c r="S70" s="61">
        <v>117.20132803296089</v>
      </c>
      <c r="T70" s="61">
        <v>125.94020950597665</v>
      </c>
      <c r="U70" s="61">
        <v>134.62239090974126</v>
      </c>
      <c r="V70" s="61">
        <v>143.24482063823748</v>
      </c>
      <c r="W70" s="61">
        <v>151.8045910343464</v>
      </c>
      <c r="X70" s="61">
        <v>160.29894794228107</v>
      </c>
      <c r="Y70" s="61">
        <v>168.72529861816415</v>
      </c>
      <c r="Z70" s="61">
        <v>177.08121801222629</v>
      </c>
      <c r="AA70" s="61">
        <v>185.3644534602347</v>
      </c>
      <c r="AB70" s="61">
        <v>193.57292784280054</v>
      </c>
      <c r="AC70" s="61">
        <v>201.70474128900707</v>
      </c>
      <c r="AD70" s="61">
        <v>209.75817151528713</v>
      </c>
      <c r="AE70" s="61">
        <v>217.73167290172364</v>
      </c>
      <c r="AF70" s="61">
        <v>225.62387441610122</v>
      </c>
      <c r="AG70" s="61">
        <v>233.43357650128286</v>
      </c>
      <c r="AH70" s="61">
        <v>241.15974704410667</v>
      </c>
      <c r="AI70" s="20">
        <v>248.80151654428565</v>
      </c>
      <c r="AJ70" s="13">
        <v>420</v>
      </c>
    </row>
    <row r="71" spans="1:36" ht="9.9499999999999993" customHeight="1" x14ac:dyDescent="0.2">
      <c r="A71" s="20">
        <v>8.1499962444020357E-2</v>
      </c>
      <c r="B71" s="61">
        <v>9.0555465526110504E-2</v>
      </c>
      <c r="C71" s="61">
        <v>0.22638684938352191</v>
      </c>
      <c r="D71" s="61">
        <v>0.45276762431848411</v>
      </c>
      <c r="E71" s="61">
        <v>0.72441646638318924</v>
      </c>
      <c r="F71" s="61">
        <v>0.90551075312495222</v>
      </c>
      <c r="G71" s="61">
        <v>1.8109219401795016</v>
      </c>
      <c r="H71" s="61">
        <v>2.7162303866590136</v>
      </c>
      <c r="I71" s="61">
        <v>3.62143290783481</v>
      </c>
      <c r="J71" s="61">
        <v>4.0739934484499898</v>
      </c>
      <c r="K71" s="61">
        <v>4.5265263089148569</v>
      </c>
      <c r="L71" s="61">
        <v>9.0502440111934064</v>
      </c>
      <c r="M71" s="61">
        <v>18.0876315700297</v>
      </c>
      <c r="N71" s="61">
        <v>36.110579616221116</v>
      </c>
      <c r="O71" s="61">
        <v>71.853364449654876</v>
      </c>
      <c r="P71" s="61">
        <v>89.517856219961814</v>
      </c>
      <c r="Q71" s="61">
        <v>98.286428351713923</v>
      </c>
      <c r="R71" s="61">
        <v>107.00814688778037</v>
      </c>
      <c r="S71" s="61">
        <v>115.67981399281055</v>
      </c>
      <c r="T71" s="61">
        <v>124.29833346562873</v>
      </c>
      <c r="U71" s="61">
        <v>132.86072360850378</v>
      </c>
      <c r="V71" s="61">
        <v>141.36412870374255</v>
      </c>
      <c r="W71" s="61">
        <v>149.80582903769408</v>
      </c>
      <c r="X71" s="61">
        <v>158.18324943937981</v>
      </c>
      <c r="Y71" s="61">
        <v>166.49396632650831</v>
      </c>
      <c r="Z71" s="61">
        <v>174.73571327505411</v>
      </c>
      <c r="AA71" s="61">
        <v>182.90638514952084</v>
      </c>
      <c r="AB71" s="61">
        <v>191.00404084920294</v>
      </c>
      <c r="AC71" s="61">
        <v>199.02690474108331</v>
      </c>
      <c r="AD71" s="61">
        <v>206.97336686244756</v>
      </c>
      <c r="AE71" s="61">
        <v>214.84198198587683</v>
      </c>
      <c r="AF71" s="61">
        <v>222.63146764619015</v>
      </c>
      <c r="AG71" s="61">
        <v>230.34070123329067</v>
      </c>
      <c r="AH71" s="61">
        <v>237.96871625696954</v>
      </c>
      <c r="AI71" s="20">
        <v>245.51469788979747</v>
      </c>
      <c r="AJ71" s="13">
        <v>425</v>
      </c>
    </row>
    <row r="72" spans="1:36" ht="9.9499999999999993" customHeight="1" x14ac:dyDescent="0.2">
      <c r="A72" s="20">
        <v>8.0552201551805619E-2</v>
      </c>
      <c r="B72" s="61">
        <v>8.9502387701803451E-2</v>
      </c>
      <c r="C72" s="61">
        <v>0.22375377372820232</v>
      </c>
      <c r="D72" s="61">
        <v>0.44750020387160211</v>
      </c>
      <c r="E72" s="61">
        <v>0.71598616004359972</v>
      </c>
      <c r="F72" s="61">
        <v>0.89497084454510056</v>
      </c>
      <c r="G72" s="61">
        <v>1.7898219234086203</v>
      </c>
      <c r="H72" s="61">
        <v>2.6845502050984149</v>
      </c>
      <c r="I72" s="61">
        <v>3.5791526490864243</v>
      </c>
      <c r="J72" s="61">
        <v>4.0264057293439652</v>
      </c>
      <c r="K72" s="61">
        <v>4.473626205961045</v>
      </c>
      <c r="L72" s="61">
        <v>8.9439533517681014</v>
      </c>
      <c r="M72" s="61">
        <v>17.87316412776493</v>
      </c>
      <c r="N72" s="61">
        <v>35.674743031614852</v>
      </c>
      <c r="O72" s="61">
        <v>70.959724413918792</v>
      </c>
      <c r="P72" s="61">
        <v>88.390860679149682</v>
      </c>
      <c r="Q72" s="61">
        <v>97.042340876601983</v>
      </c>
      <c r="R72" s="61">
        <v>105.64695844060758</v>
      </c>
      <c r="S72" s="61">
        <v>114.20171287713752</v>
      </c>
      <c r="T72" s="61">
        <v>122.70370131372353</v>
      </c>
      <c r="U72" s="61">
        <v>131.1501301133664</v>
      </c>
      <c r="V72" s="61">
        <v>139.53832520519535</v>
      </c>
      <c r="W72" s="61">
        <v>147.86574108329654</v>
      </c>
      <c r="X72" s="61">
        <v>156.1299684489943</v>
      </c>
      <c r="Y72" s="61">
        <v>164.32874049423256</v>
      </c>
      <c r="Z72" s="61">
        <v>172.4599378441369</v>
      </c>
      <c r="AA72" s="61">
        <v>180.521592195045</v>
      </c>
      <c r="AB72" s="61">
        <v>188.51188870005737</v>
      </c>
      <c r="AC72" s="61">
        <v>196.42916716739492</v>
      </c>
      <c r="AD72" s="61">
        <v>204.2719221475364</v>
      </c>
      <c r="AE72" s="61">
        <v>212.03880199332048</v>
      </c>
      <c r="AF72" s="61">
        <v>219.72860698303856</v>
      </c>
      <c r="AG72" s="61">
        <v>227.34028660022702</v>
      </c>
      <c r="AH72" s="61">
        <v>234.87293606552245</v>
      </c>
      <c r="AI72" s="20">
        <v>242.32579221588668</v>
      </c>
      <c r="AJ72" s="13">
        <v>430</v>
      </c>
    </row>
    <row r="73" spans="1:36" ht="9.9499999999999993" customHeight="1" x14ac:dyDescent="0.2">
      <c r="A73" s="20">
        <v>7.962623267703392E-2</v>
      </c>
      <c r="B73" s="61">
        <v>8.8473524008419707E-2</v>
      </c>
      <c r="C73" s="61">
        <v>0.22118126257779577</v>
      </c>
      <c r="D73" s="61">
        <v>0.44235400964954558</v>
      </c>
      <c r="E73" s="61">
        <v>0.70775000220071893</v>
      </c>
      <c r="F73" s="61">
        <v>0.88467377694550664</v>
      </c>
      <c r="G73" s="61">
        <v>1.76920914005843</v>
      </c>
      <c r="H73" s="61">
        <v>2.6536031954571175</v>
      </c>
      <c r="I73" s="61">
        <v>3.5378530412882401</v>
      </c>
      <c r="J73" s="61">
        <v>3.9799229766425457</v>
      </c>
      <c r="K73" s="61">
        <v>4.4219557678711068</v>
      </c>
      <c r="L73" s="61">
        <v>8.8401602436621634</v>
      </c>
      <c r="M73" s="61">
        <v>17.663841528518386</v>
      </c>
      <c r="N73" s="61">
        <v>35.249765768290878</v>
      </c>
      <c r="O73" s="61">
        <v>70.089786473255231</v>
      </c>
      <c r="P73" s="61">
        <v>87.294511989697838</v>
      </c>
      <c r="Q73" s="61">
        <v>95.832458370473745</v>
      </c>
      <c r="R73" s="61">
        <v>104.32357213419287</v>
      </c>
      <c r="S73" s="61">
        <v>112.76503644736273</v>
      </c>
      <c r="T73" s="61">
        <v>121.15412817631618</v>
      </c>
      <c r="U73" s="61">
        <v>129.48822838150718</v>
      </c>
      <c r="V73" s="61">
        <v>137.76483162866305</v>
      </c>
      <c r="W73" s="61">
        <v>145.9815540776591</v>
      </c>
      <c r="X73" s="61">
        <v>154.13614033100356</v>
      </c>
      <c r="Y73" s="61">
        <v>162.22646904342676</v>
      </c>
      <c r="Z73" s="61">
        <v>170.25055731192651</v>
      </c>
      <c r="AA73" s="61">
        <v>178.20656388147958</v>
      </c>
      <c r="AB73" s="61">
        <v>186.09279121532023</v>
      </c>
      <c r="AC73" s="61">
        <v>193.90768649012517</v>
      </c>
      <c r="AD73" s="61">
        <v>201.6498415856689</v>
      </c>
      <c r="AE73" s="61">
        <v>209.31799214552686</v>
      </c>
      <c r="AF73" s="61">
        <v>216.91101579039369</v>
      </c>
      <c r="AG73" s="61">
        <v>224.42792956863798</v>
      </c>
      <c r="AH73" s="61">
        <v>231.86788673004747</v>
      </c>
      <c r="AI73" s="20">
        <v>239.23017290852169</v>
      </c>
      <c r="AJ73" s="13">
        <v>435</v>
      </c>
    </row>
    <row r="74" spans="1:36" ht="9.9499999999999993" customHeight="1" x14ac:dyDescent="0.2">
      <c r="A74" s="20">
        <v>7.8721312670876412E-2</v>
      </c>
      <c r="B74" s="61">
        <v>8.746804866898257E-2</v>
      </c>
      <c r="C74" s="61">
        <v>0.21866724938779952</v>
      </c>
      <c r="D74" s="61">
        <v>0.43732490155677062</v>
      </c>
      <c r="E74" s="61">
        <v>0.69970135525006227</v>
      </c>
      <c r="F74" s="61">
        <v>0.87461124211162744</v>
      </c>
      <c r="G74" s="61">
        <v>1.7490668616302867</v>
      </c>
      <c r="H74" s="61">
        <v>2.6233640969391532</v>
      </c>
      <c r="I74" s="61">
        <v>3.4975001794026621</v>
      </c>
      <c r="J74" s="61">
        <v>3.9345069212331936</v>
      </c>
      <c r="K74" s="61">
        <v>4.3714723335030286</v>
      </c>
      <c r="L74" s="61">
        <v>8.7387765710093213</v>
      </c>
      <c r="M74" s="61">
        <v>17.45947644040287</v>
      </c>
      <c r="N74" s="61">
        <v>34.835229804044218</v>
      </c>
      <c r="O74" s="61">
        <v>69.242556454405928</v>
      </c>
      <c r="P74" s="61">
        <v>86.227482659271573</v>
      </c>
      <c r="Q74" s="61">
        <v>94.655278726060985</v>
      </c>
      <c r="R74" s="61">
        <v>103.03630738203749</v>
      </c>
      <c r="S74" s="61">
        <v>111.36792289213459</v>
      </c>
      <c r="T74" s="61">
        <v>119.64756940170973</v>
      </c>
      <c r="U74" s="61">
        <v>127.87279043083403</v>
      </c>
      <c r="V74" s="61">
        <v>136.04123727703032</v>
      </c>
      <c r="W74" s="61">
        <v>144.15067629521343</v>
      </c>
      <c r="X74" s="61">
        <v>152.19899504210429</v>
      </c>
      <c r="Y74" s="61">
        <v>160.1842072896211</v>
      </c>
      <c r="Z74" s="61">
        <v>168.10445692737468</v>
      </c>
      <c r="AA74" s="61">
        <v>175.95802078823564</v>
      </c>
      <c r="AB74" s="61">
        <v>183.74331044284267</v>
      </c>
      <c r="AC74" s="61">
        <v>191.45887301884852</v>
      </c>
      <c r="AD74" s="61">
        <v>199.10339110864533</v>
      </c>
      <c r="AE74" s="61">
        <v>206.67568183534797</v>
      </c>
      <c r="AF74" s="61">
        <v>214.1746951510512</v>
      </c>
      <c r="AG74" s="61">
        <v>221.59951144393318</v>
      </c>
      <c r="AH74" s="61">
        <v>228.94933853182278</v>
      </c>
      <c r="AI74" s="20">
        <v>236.22350811957892</v>
      </c>
      <c r="AJ74" s="13">
        <v>440</v>
      </c>
    </row>
    <row r="75" spans="1:36" ht="9.9499999999999993" customHeight="1" x14ac:dyDescent="0.2">
      <c r="A75" s="20">
        <v>7.7836731799394626E-2</v>
      </c>
      <c r="B75" s="61">
        <v>8.6485173038535576E-2</v>
      </c>
      <c r="C75" s="61">
        <v>0.21620976060746386</v>
      </c>
      <c r="D75" s="61">
        <v>0.4324089260311596</v>
      </c>
      <c r="E75" s="61">
        <v>0.69183388108940935</v>
      </c>
      <c r="F75" s="61">
        <v>0.86477530708121331</v>
      </c>
      <c r="G75" s="61">
        <v>1.7293791188858174</v>
      </c>
      <c r="H75" s="61">
        <v>2.5938088007995779</v>
      </c>
      <c r="I75" s="61">
        <v>3.4580617120424488</v>
      </c>
      <c r="J75" s="61">
        <v>3.8901210517643103</v>
      </c>
      <c r="K75" s="61">
        <v>4.322135205797581</v>
      </c>
      <c r="L75" s="61">
        <v>8.6397183674521951</v>
      </c>
      <c r="M75" s="61">
        <v>17.25989072470805</v>
      </c>
      <c r="N75" s="61">
        <v>34.430739101156853</v>
      </c>
      <c r="O75" s="61">
        <v>68.417097905439064</v>
      </c>
      <c r="P75" s="61">
        <v>85.188524980226205</v>
      </c>
      <c r="Q75" s="61">
        <v>93.509391412699671</v>
      </c>
      <c r="R75" s="61">
        <v>101.78358733877607</v>
      </c>
      <c r="S75" s="61">
        <v>110.00862657064323</v>
      </c>
      <c r="T75" s="61">
        <v>118.18210909215266</v>
      </c>
      <c r="U75" s="61">
        <v>126.30172965867469</v>
      </c>
      <c r="V75" s="61">
        <v>134.36528538923167</v>
      </c>
      <c r="W75" s="61">
        <v>142.3706823262365</v>
      </c>
      <c r="X75" s="61">
        <v>150.31594095449782</v>
      </c>
      <c r="Y75" s="61">
        <v>158.1992006863164</v>
      </c>
      <c r="Z75" s="61">
        <v>166.0187233331948</v>
      </c>
      <c r="AA75" s="61">
        <v>173.77289559676717</v>
      </c>
      <c r="AB75" s="61">
        <v>181.46023062194365</v>
      </c>
      <c r="AC75" s="61">
        <v>189.07936866386672</v>
      </c>
      <c r="AD75" s="61">
        <v>196.62907692715726</v>
      </c>
      <c r="AE75" s="61">
        <v>204.1082486411203</v>
      </c>
      <c r="AF75" s="61">
        <v>211.51590143818066</v>
      </c>
      <c r="AG75" s="61">
        <v>218.85117510496764</v>
      </c>
      <c r="AH75" s="61">
        <v>226.11332877627868</v>
      </c>
      <c r="AI75" s="20">
        <v>233.3017376418079</v>
      </c>
      <c r="AJ75" s="13">
        <v>445</v>
      </c>
    </row>
    <row r="76" spans="1:36" ht="9.9499999999999993" customHeight="1" x14ac:dyDescent="0.2">
      <c r="A76" s="20">
        <v>7.697181188608454E-2</v>
      </c>
      <c r="B76" s="61">
        <v>8.5524143539928002E-2</v>
      </c>
      <c r="C76" s="61">
        <v>0.21380691050518935</v>
      </c>
      <c r="D76" s="61">
        <v>0.42760230564786827</v>
      </c>
      <c r="E76" s="61">
        <v>0.68414152439470899</v>
      </c>
      <c r="F76" s="61">
        <v>0.85515839316387143</v>
      </c>
      <c r="G76" s="61">
        <v>1.710130659130662</v>
      </c>
      <c r="H76" s="61">
        <v>2.5649142851312843</v>
      </c>
      <c r="I76" s="61">
        <v>3.419506752993922</v>
      </c>
      <c r="J76" s="61">
        <v>3.846730514247461</v>
      </c>
      <c r="K76" s="61">
        <v>4.2739055392658258</v>
      </c>
      <c r="L76" s="61">
        <v>8.5429055716888254</v>
      </c>
      <c r="M76" s="61">
        <v>17.06491486692266</v>
      </c>
      <c r="N76" s="61">
        <v>34.03591813469717</v>
      </c>
      <c r="O76" s="61">
        <v>67.612527807577834</v>
      </c>
      <c r="P76" s="61">
        <v>84.176464896029387</v>
      </c>
      <c r="Q76" s="61">
        <v>92.393470339180396</v>
      </c>
      <c r="R76" s="61">
        <v>100.5639307200511</v>
      </c>
      <c r="S76" s="61">
        <v>108.68550876216615</v>
      </c>
      <c r="T76" s="61">
        <v>116.75594976834438</v>
      </c>
      <c r="U76" s="61">
        <v>124.77308941946247</v>
      </c>
      <c r="V76" s="61">
        <v>132.73486064225187</v>
      </c>
      <c r="W76" s="61">
        <v>140.63929952692047</v>
      </c>
      <c r="X76" s="61">
        <v>148.48455028984117</v>
      </c>
      <c r="Y76" s="61">
        <v>156.26886928989194</v>
      </c>
      <c r="Z76" s="61">
        <v>163.99062811905677</v>
      </c>
      <c r="AA76" s="61">
        <v>171.64831579849033</v>
      </c>
      <c r="AB76" s="61">
        <v>179.24054012029276</v>
      </c>
      <c r="AC76" s="61">
        <v>186.76602818274304</v>
      </c>
      <c r="AD76" s="61">
        <v>194.22362617268888</v>
      </c>
      <c r="AE76" s="61">
        <v>201.61229845326278</v>
      </c>
      <c r="AF76" s="61">
        <v>208.93112601817148</v>
      </c>
      <c r="AG76" s="61">
        <v>216.17930437559201</v>
      </c>
      <c r="AH76" s="61">
        <v>223.35614092534104</v>
      </c>
      <c r="AI76" s="20">
        <v>230.4610518925831</v>
      </c>
      <c r="AJ76" s="13">
        <v>450</v>
      </c>
    </row>
    <row r="77" spans="1:36" ht="9.9499999999999993" customHeight="1" x14ac:dyDescent="0.2">
      <c r="A77" s="20">
        <v>7.6125904576977932E-2</v>
      </c>
      <c r="B77" s="61">
        <v>8.4584239735810404E-2</v>
      </c>
      <c r="C77" s="61">
        <v>0.21145689633578019</v>
      </c>
      <c r="D77" s="61">
        <v>0.4229014294113439</v>
      </c>
      <c r="E77" s="61">
        <v>0.67661849700561705</v>
      </c>
      <c r="F77" s="61">
        <v>0.84575325635484022</v>
      </c>
      <c r="G77" s="61">
        <v>1.6913069063585167</v>
      </c>
      <c r="H77" s="61">
        <v>2.5366585540510753</v>
      </c>
      <c r="I77" s="61">
        <v>3.3818057987521768</v>
      </c>
      <c r="J77" s="61">
        <v>3.8043020185058745</v>
      </c>
      <c r="K77" s="61">
        <v>4.2267462351760345</v>
      </c>
      <c r="L77" s="61">
        <v>8.4482618003061329</v>
      </c>
      <c r="M77" s="61">
        <v>16.874387450298396</v>
      </c>
      <c r="N77" s="61">
        <v>33.650410540491436</v>
      </c>
      <c r="O77" s="61">
        <v>66.828012674193317</v>
      </c>
      <c r="P77" s="61">
        <v>83.190196439880324</v>
      </c>
      <c r="Q77" s="61">
        <v>91.306267390962148</v>
      </c>
      <c r="R77" s="61">
        <v>99.375944403556318</v>
      </c>
      <c r="S77" s="61">
        <v>107.39702930668859</v>
      </c>
      <c r="T77" s="61">
        <v>115.36740303637495</v>
      </c>
      <c r="U77" s="61">
        <v>123.28503271596563</v>
      </c>
      <c r="V77" s="61">
        <v>131.14797787581608</v>
      </c>
      <c r="W77" s="61">
        <v>138.95439579764076</v>
      </c>
      <c r="X77" s="61">
        <v>146.7025459816746</v>
      </c>
      <c r="Y77" s="61">
        <v>154.39079374654901</v>
      </c>
      <c r="Z77" s="61">
        <v>162.01761298234774</v>
      </c>
      <c r="AA77" s="61">
        <v>169.58158808660363</v>
      </c>
      <c r="AB77" s="61">
        <v>177.08141512090117</v>
      </c>
      <c r="AC77" s="61">
        <v>184.51590223228007</v>
      </c>
      <c r="AD77" s="61">
        <v>191.88396938880513</v>
      </c>
      <c r="AE77" s="61">
        <v>199.18464748251247</v>
      </c>
      <c r="AF77" s="61">
        <v>206.41707685558285</v>
      </c>
      <c r="AG77" s="61">
        <v>213.580505307073</v>
      </c>
      <c r="AH77" s="61">
        <v>220.6742856380184</v>
      </c>
      <c r="AI77" s="20">
        <v>227.69787279229095</v>
      </c>
      <c r="AJ77" s="13">
        <v>455</v>
      </c>
    </row>
    <row r="78" spans="1:36" ht="9.9499999999999993" customHeight="1" x14ac:dyDescent="0.2">
      <c r="A78" s="20">
        <v>7.5298389718968059E-2</v>
      </c>
      <c r="B78" s="61">
        <v>8.3664772526466452E-2</v>
      </c>
      <c r="C78" s="61">
        <v>0.2091579938234828</v>
      </c>
      <c r="D78" s="61">
        <v>0.41830284368290205</v>
      </c>
      <c r="E78" s="61">
        <v>0.66925926333560448</v>
      </c>
      <c r="F78" s="61">
        <v>0.83655296903587051</v>
      </c>
      <c r="G78" s="61">
        <v>1.6728939240338305</v>
      </c>
      <c r="H78" s="61">
        <v>2.5090205809410957</v>
      </c>
      <c r="I78" s="61">
        <v>3.344930651594308</v>
      </c>
      <c r="J78" s="61">
        <v>3.7628037509272954</v>
      </c>
      <c r="K78" s="61">
        <v>4.1806218438279723</v>
      </c>
      <c r="L78" s="61">
        <v>8.3557141364744503</v>
      </c>
      <c r="M78" s="61">
        <v>16.688154668227707</v>
      </c>
      <c r="N78" s="61">
        <v>33.273877871332985</v>
      </c>
      <c r="O78" s="61">
        <v>66.062764995970042</v>
      </c>
      <c r="P78" s="61">
        <v>82.228676683040376</v>
      </c>
      <c r="Q78" s="61">
        <v>90.246606567229861</v>
      </c>
      <c r="R78" s="61">
        <v>98.218316724093484</v>
      </c>
      <c r="S78" s="61">
        <v>106.14173903642239</v>
      </c>
      <c r="T78" s="61">
        <v>114.01488114376373</v>
      </c>
      <c r="U78" s="61">
        <v>121.83583287767014</v>
      </c>
      <c r="V78" s="61">
        <v>129.60277190069573</v>
      </c>
      <c r="W78" s="61">
        <v>137.3139685382738</v>
      </c>
      <c r="X78" s="61">
        <v>144.96778980393867</v>
      </c>
      <c r="Y78" s="61">
        <v>152.56270262874156</v>
      </c>
      <c r="Z78" s="61">
        <v>160.09727631501977</v>
      </c>
      <c r="AA78" s="61">
        <v>167.57018424282714</v>
      </c>
      <c r="AB78" s="61">
        <v>174.98020486426344</v>
      </c>
      <c r="AC78" s="61">
        <v>182.32622202663205</v>
      </c>
      <c r="AD78" s="61">
        <v>189.60722466984666</v>
      </c>
      <c r="AE78" s="61">
        <v>196.82230594683102</v>
      </c>
      <c r="AF78" s="61">
        <v>203.97066181790629</v>
      </c>
      <c r="AG78" s="61">
        <v>211.05158917140369</v>
      </c>
      <c r="AH78" s="61">
        <v>218.06448352308126</v>
      </c>
      <c r="AI78" s="20">
        <v>225.00883634648579</v>
      </c>
      <c r="AJ78" s="13">
        <v>460</v>
      </c>
    </row>
    <row r="79" spans="1:36" ht="9.9499999999999993" customHeight="1" x14ac:dyDescent="0.2">
      <c r="A79" s="20">
        <v>7.4488673842829881E-2</v>
      </c>
      <c r="B79" s="61">
        <v>8.2765082464000536E-2</v>
      </c>
      <c r="C79" s="61">
        <v>0.20690855293698768</v>
      </c>
      <c r="D79" s="61">
        <v>0.41380324369580201</v>
      </c>
      <c r="E79" s="61">
        <v>0.66205852672894872</v>
      </c>
      <c r="F79" s="61">
        <v>0.82755090286547028</v>
      </c>
      <c r="G79" s="61">
        <v>1.6548783803109521</v>
      </c>
      <c r="H79" s="61">
        <v>2.4819802554322341</v>
      </c>
      <c r="I79" s="61">
        <v>3.3088543477592043</v>
      </c>
      <c r="J79" s="61">
        <v>3.7222052930280203</v>
      </c>
      <c r="K79" s="61">
        <v>4.1354984733580897</v>
      </c>
      <c r="L79" s="61">
        <v>8.2651929332115408</v>
      </c>
      <c r="M79" s="61">
        <v>16.506069872082378</v>
      </c>
      <c r="N79" s="61">
        <v>32.905998451247669</v>
      </c>
      <c r="O79" s="61">
        <v>65.316039996206712</v>
      </c>
      <c r="P79" s="61">
        <v>81.290921138167164</v>
      </c>
      <c r="Q79" s="61">
        <v>89.213378652665526</v>
      </c>
      <c r="R79" s="61">
        <v>97.089811386565927</v>
      </c>
      <c r="S79" s="61">
        <v>104.91827291087046</v>
      </c>
      <c r="T79" s="61">
        <v>112.69688932582606</v>
      </c>
      <c r="U79" s="61">
        <v>120.42386511622189</v>
      </c>
      <c r="V79" s="61">
        <v>128.09748826948862</v>
      </c>
      <c r="W79" s="61">
        <v>135.71613464888031</v>
      </c>
      <c r="X79" s="61">
        <v>143.27827162406027</v>
      </c>
      <c r="Y79" s="61">
        <v>150.78246097060256</v>
      </c>
      <c r="Z79" s="61">
        <v>158.22736105812061</v>
      </c>
      <c r="AA79" s="61">
        <v>165.61172835390607</v>
      </c>
      <c r="AB79" s="61">
        <v>172.93441827502872</v>
      </c>
      <c r="AC79" s="61">
        <v>180.19438542682218</v>
      </c>
      <c r="AD79" s="61">
        <v>187.39068326959494</v>
      </c>
      <c r="AE79" s="61">
        <v>194.52246325826673</v>
      </c>
      <c r="AF79" s="61">
        <v>201.58897350156553</v>
      </c>
      <c r="AG79" s="61">
        <v>208.58955698844173</v>
      </c>
      <c r="AH79" s="61">
        <v>215.52364942960986</v>
      </c>
      <c r="AI79" s="20">
        <v>222.39077676166687</v>
      </c>
      <c r="AJ79" s="13">
        <v>465</v>
      </c>
    </row>
    <row r="80" spans="1:36" ht="9.9499999999999993" customHeight="1" x14ac:dyDescent="0.2">
      <c r="A80" s="20">
        <v>7.3696188743131871E-2</v>
      </c>
      <c r="B80" s="61">
        <v>8.1884538174209098E-2</v>
      </c>
      <c r="C80" s="61">
        <v>0.20470699393460018</v>
      </c>
      <c r="D80" s="61">
        <v>0.40939946561388169</v>
      </c>
      <c r="E80" s="61">
        <v>0.65501121669360018</v>
      </c>
      <c r="F80" s="61">
        <v>0.81874071276914906</v>
      </c>
      <c r="G80" s="61">
        <v>1.6372475155051354</v>
      </c>
      <c r="H80" s="61">
        <v>2.4555183338436408</v>
      </c>
      <c r="I80" s="61">
        <v>3.2735510903406184</v>
      </c>
      <c r="J80" s="61">
        <v>3.6824775453788656</v>
      </c>
      <c r="K80" s="61">
        <v>4.0913437045686329</v>
      </c>
      <c r="L80" s="61">
        <v>8.1766316300446054</v>
      </c>
      <c r="M80" s="61">
        <v>16.327993151491512</v>
      </c>
      <c r="N80" s="61">
        <v>32.546466318731333</v>
      </c>
      <c r="O80" s="61">
        <v>64.587132664509824</v>
      </c>
      <c r="P80" s="61">
        <v>80.375999569652635</v>
      </c>
      <c r="Q80" s="61">
        <v>88.205536366862248</v>
      </c>
      <c r="R80" s="61">
        <v>95.989261930327459</v>
      </c>
      <c r="S80" s="61">
        <v>103.72534377905262</v>
      </c>
      <c r="T80" s="61">
        <v>111.41201885607505</v>
      </c>
      <c r="U80" s="61">
        <v>119.0475988617646</v>
      </c>
      <c r="V80" s="61">
        <v>126.630474904094</v>
      </c>
      <c r="W80" s="61">
        <v>134.1591214607632</v>
      </c>
      <c r="X80" s="61">
        <v>141.63209965698221</v>
      </c>
      <c r="Y80" s="61">
        <v>149.0480598708395</v>
      </c>
      <c r="Z80" s="61">
        <v>156.40574368543329</v>
      </c>
      <c r="AA80" s="61">
        <v>163.70398521324583</v>
      </c>
      <c r="AB80" s="61">
        <v>170.94171182357601</v>
      </c>
      <c r="AC80" s="61">
        <v>178.11794430819188</v>
      </c>
      <c r="AD80" s="61">
        <v>185.23179652377024</v>
      </c>
      <c r="AE80" s="61">
        <v>192.28247455218093</v>
      </c>
      <c r="AF80" s="61">
        <v>199.26927542130323</v>
      </c>
      <c r="AG80" s="61">
        <v>206.19158542993907</v>
      </c>
      <c r="AH80" s="61">
        <v>213.04887812052345</v>
      </c>
      <c r="AI80" s="20">
        <v>219.84071194289706</v>
      </c>
      <c r="AJ80" s="13">
        <v>470</v>
      </c>
    </row>
    <row r="81" spans="1:36" ht="9.9499999999999993" customHeight="1" x14ac:dyDescent="0.2">
      <c r="A81" s="20">
        <v>7.2920390147895517E-2</v>
      </c>
      <c r="B81" s="61">
        <v>8.1022534878193539E-2</v>
      </c>
      <c r="C81" s="61">
        <v>0.20255180365963327</v>
      </c>
      <c r="D81" s="61">
        <v>0.40508847909351919</v>
      </c>
      <c r="E81" s="61">
        <v>0.64811247694493512</v>
      </c>
      <c r="F81" s="61">
        <v>0.81011632194791372</v>
      </c>
      <c r="G81" s="61">
        <v>1.6199891116466214</v>
      </c>
      <c r="H81" s="61">
        <v>2.429616392817223</v>
      </c>
      <c r="I81" s="61">
        <v>3.2389961865346937</v>
      </c>
      <c r="J81" s="61">
        <v>3.6435926564832211</v>
      </c>
      <c r="K81" s="61">
        <v>4.0481265113186566</v>
      </c>
      <c r="L81" s="61">
        <v>8.0899665820153714</v>
      </c>
      <c r="M81" s="61">
        <v>16.153790944332023</v>
      </c>
      <c r="N81" s="61">
        <v>32.194990250841492</v>
      </c>
      <c r="O81" s="61">
        <v>63.875375040848724</v>
      </c>
      <c r="P81" s="61">
        <v>79.483032168742966</v>
      </c>
      <c r="Q81" s="61">
        <v>87.222089941263775</v>
      </c>
      <c r="R81" s="61">
        <v>94.915566686487651</v>
      </c>
      <c r="S81" s="61">
        <v>102.56173670196186</v>
      </c>
      <c r="T81" s="61">
        <v>110.15894072507785</v>
      </c>
      <c r="U81" s="61">
        <v>117.70559079600314</v>
      </c>
      <c r="V81" s="61">
        <v>125.20017448729615</v>
      </c>
      <c r="W81" s="61">
        <v>132.64125849724394</v>
      </c>
      <c r="X81" s="61">
        <v>140.02749161188279</v>
      </c>
      <c r="Y81" s="61">
        <v>147.35760704786287</v>
      </c>
      <c r="Z81" s="61">
        <v>154.63042419472904</v>
      </c>
      <c r="AA81" s="61">
        <v>161.84484978073687</v>
      </c>
      <c r="AB81" s="61">
        <v>168.99987849102007</v>
      </c>
      <c r="AC81" s="61">
        <v>176.09459307073115</v>
      </c>
      <c r="AD81" s="61">
        <v>183.12816394874216</v>
      </c>
      <c r="AE81" s="61">
        <v>190.09984841964982</v>
      </c>
      <c r="AF81" s="61">
        <v>197.00898942323226</v>
      </c>
      <c r="AG81" s="61">
        <v>203.85501396121327</v>
      </c>
      <c r="AH81" s="61">
        <v>210.63743119127506</v>
      </c>
      <c r="AI81" s="20">
        <v>217.35583023781598</v>
      </c>
      <c r="AJ81" s="13">
        <v>475</v>
      </c>
    </row>
    <row r="82" spans="1:36" ht="9.9499999999999993" customHeight="1" x14ac:dyDescent="0.2">
      <c r="A82" s="20">
        <v>7.2160756471451939E-2</v>
      </c>
      <c r="B82" s="61">
        <v>8.0178493006436299E-2</v>
      </c>
      <c r="C82" s="61">
        <v>0.2004415320677366</v>
      </c>
      <c r="D82" s="61">
        <v>0.4008673803120712</v>
      </c>
      <c r="E82" s="61">
        <v>0.64135765420086854</v>
      </c>
      <c r="F82" s="61">
        <v>0.80167190783014008</v>
      </c>
      <c r="G82" s="61">
        <v>1.6030914639634226</v>
      </c>
      <c r="H82" s="61">
        <v>2.4042567859084536</v>
      </c>
      <c r="I82" s="61">
        <v>3.2051659889141204</v>
      </c>
      <c r="J82" s="61">
        <v>3.6055239562331232</v>
      </c>
      <c r="K82" s="61">
        <v>4.0058171860551059</v>
      </c>
      <c r="L82" s="61">
        <v>8.0051369000085</v>
      </c>
      <c r="M82" s="61">
        <v>15.983335673968174</v>
      </c>
      <c r="N82" s="61">
        <v>31.85129286087346</v>
      </c>
      <c r="O82" s="61">
        <v>63.180133725171785</v>
      </c>
      <c r="P82" s="61">
        <v>78.611186056220163</v>
      </c>
      <c r="Q82" s="61">
        <v>86.262103079508236</v>
      </c>
      <c r="R82" s="61">
        <v>93.867684176818372</v>
      </c>
      <c r="S82" s="61">
        <v>101.42630377644709</v>
      </c>
      <c r="T82" s="61">
        <v>108.93639988142202</v>
      </c>
      <c r="U82" s="61">
        <v>116.39647850812098</v>
      </c>
      <c r="V82" s="61">
        <v>123.80511753722985</v>
      </c>
      <c r="W82" s="61">
        <v>131.16096997584845</v>
      </c>
      <c r="X82" s="61">
        <v>138.46276663659793</v>
      </c>
      <c r="Y82" s="61">
        <v>145.70931824597974</v>
      </c>
      <c r="Z82" s="61">
        <v>152.89951699989766</v>
      </c>
      <c r="AA82" s="61">
        <v>160.03233758916065</v>
      </c>
      <c r="AB82" s="61">
        <v>167.10683772190737</v>
      </c>
      <c r="AC82" s="61">
        <v>174.12215817323798</v>
      </c>
      <c r="AD82" s="61">
        <v>181.07752239492342</v>
      </c>
      <c r="AE82" s="61">
        <v>187.97223571993266</v>
      </c>
      <c r="AF82" s="61">
        <v>194.80568419771291</v>
      </c>
      <c r="AG82" s="61">
        <v>201.5773330967537</v>
      </c>
      <c r="AH82" s="61">
        <v>208.28672511097577</v>
      </c>
      <c r="AI82" s="20">
        <v>214.93347830606677</v>
      </c>
      <c r="AJ82" s="13">
        <v>480</v>
      </c>
    </row>
    <row r="83" spans="1:36" ht="9.9499999999999993" customHeight="1" x14ac:dyDescent="0.2">
      <c r="A83" s="20">
        <v>7.1416787644488666E-2</v>
      </c>
      <c r="B83" s="61">
        <v>7.9351856898661866E-2</v>
      </c>
      <c r="C83" s="61">
        <v>0.19837478896938943</v>
      </c>
      <c r="D83" s="61">
        <v>0.39673338542898573</v>
      </c>
      <c r="E83" s="61">
        <v>0.63474228767375962</v>
      </c>
      <c r="F83" s="61">
        <v>0.79340188889819263</v>
      </c>
      <c r="G83" s="61">
        <v>1.5865433541513418</v>
      </c>
      <c r="H83" s="61">
        <v>2.3794226029150525</v>
      </c>
      <c r="I83" s="61">
        <v>3.1720378404292173</v>
      </c>
      <c r="J83" s="61">
        <v>3.568245893601186</v>
      </c>
      <c r="K83" s="61">
        <v>3.9643872700985847</v>
      </c>
      <c r="L83" s="61">
        <v>7.9220843016493383</v>
      </c>
      <c r="M83" s="61">
        <v>15.816505411509441</v>
      </c>
      <c r="N83" s="61">
        <v>31.515109763100501</v>
      </c>
      <c r="O83" s="61">
        <v>62.500807590592913</v>
      </c>
      <c r="P83" s="61">
        <v>77.759672079765608</v>
      </c>
      <c r="Q83" s="61">
        <v>85.324689262253855</v>
      </c>
      <c r="R83" s="61">
        <v>92.84462890901375</v>
      </c>
      <c r="S83" s="61">
        <v>100.31795940875674</v>
      </c>
      <c r="T83" s="61">
        <v>107.74320997641635</v>
      </c>
      <c r="U83" s="61">
        <v>115.11897470859634</v>
      </c>
      <c r="V83" s="61">
        <v>122.44391609330835</v>
      </c>
      <c r="W83" s="61">
        <v>129.71676797425582</v>
      </c>
      <c r="X83" s="61">
        <v>136.93633797620438</v>
      </c>
      <c r="Y83" s="61">
        <v>144.1015094036446</v>
      </c>
      <c r="Z83" s="61">
        <v>151.21124262998379</v>
      </c>
      <c r="AA83" s="61">
        <v>158.2645759988217</v>
      </c>
      <c r="AB83" s="61">
        <v>165.26062626251795</v>
      </c>
      <c r="AC83" s="61">
        <v>172.19858858616863</v>
      </c>
      <c r="AD83" s="61">
        <v>179.07773614739457</v>
      </c>
      <c r="AE83" s="61">
        <v>185.89741936394429</v>
      </c>
      <c r="AF83" s="61">
        <v>192.65706478214756</v>
      </c>
      <c r="AG83" s="61">
        <v>199.3561736597371</v>
      </c>
      <c r="AH83" s="61">
        <v>205.99432027652495</v>
      </c>
      <c r="AI83" s="20">
        <v>212.57115000601067</v>
      </c>
      <c r="AJ83" s="13">
        <v>485</v>
      </c>
    </row>
    <row r="84" spans="1:36" ht="9.9499999999999993" customHeight="1" x14ac:dyDescent="0.2">
      <c r="A84" s="20">
        <v>7.0688004015767802E-2</v>
      </c>
      <c r="B84" s="61">
        <v>7.8542093583349487E-2</v>
      </c>
      <c r="C84" s="61">
        <v>0.19635024097215897</v>
      </c>
      <c r="D84" s="61">
        <v>0.39268382444855399</v>
      </c>
      <c r="E84" s="61">
        <v>0.62826209920900455</v>
      </c>
      <c r="F84" s="61">
        <v>0.78530091232680888</v>
      </c>
      <c r="G84" s="61">
        <v>1.5703340253015858</v>
      </c>
      <c r="H84" s="61">
        <v>2.3550976317433783</v>
      </c>
      <c r="I84" s="61">
        <v>3.1395900228614666</v>
      </c>
      <c r="J84" s="61">
        <v>3.5317339782555406</v>
      </c>
      <c r="K84" s="61">
        <v>3.92380948833129</v>
      </c>
      <c r="L84" s="61">
        <v>7.8407529718036937</v>
      </c>
      <c r="M84" s="61">
        <v>15.653183561066463</v>
      </c>
      <c r="N84" s="61">
        <v>31.186188798722199</v>
      </c>
      <c r="O84" s="61">
        <v>61.836825680610666</v>
      </c>
      <c r="P84" s="61">
        <v>76.927741876893407</v>
      </c>
      <c r="Q84" s="61">
        <v>84.409008362073521</v>
      </c>
      <c r="R84" s="61">
        <v>91.845467528340706</v>
      </c>
      <c r="S84" s="61">
        <v>99.23567599206099</v>
      </c>
      <c r="T84" s="61">
        <v>106.57824856105313</v>
      </c>
      <c r="U84" s="61">
        <v>113.87186194366049</v>
      </c>
      <c r="V84" s="61">
        <v>121.11525795067966</v>
      </c>
      <c r="W84" s="61">
        <v>128.30724619159278</v>
      </c>
      <c r="X84" s="61">
        <v>135.44670627213691</v>
      </c>
      <c r="Y84" s="61">
        <v>142.53258950529502</v>
      </c>
      <c r="Z84" s="61">
        <v>149.56392015223753</v>
      </c>
      <c r="AA84" s="61">
        <v>156.53979621358653</v>
      </c>
      <c r="AB84" s="61">
        <v>163.45938979456298</v>
      </c>
      <c r="AC84" s="61">
        <v>170.32194707017177</v>
      </c>
      <c r="AD84" s="61">
        <v>177.12678787854426</v>
      </c>
      <c r="AE84" s="61">
        <v>183.8733049719676</v>
      </c>
      <c r="AF84" s="61">
        <v>190.56096295600156</v>
      </c>
      <c r="AG84" s="61">
        <v>197.18929694747328</v>
      </c>
      <c r="AH84" s="61">
        <v>203.75791098209186</v>
      </c>
      <c r="AI84" s="20">
        <v>210.26647620199282</v>
      </c>
      <c r="AJ84" s="13">
        <v>490</v>
      </c>
    </row>
    <row r="85" spans="1:36" ht="9.9499999999999993" customHeight="1" x14ac:dyDescent="0.2">
      <c r="A85" s="20">
        <v>6.9973945320445388E-2</v>
      </c>
      <c r="B85" s="61">
        <v>7.7748691631262593E-2</v>
      </c>
      <c r="C85" s="61">
        <v>0.19436660860857069</v>
      </c>
      <c r="D85" s="61">
        <v>0.38871613545580286</v>
      </c>
      <c r="E85" s="61">
        <v>0.62191298402432404</v>
      </c>
      <c r="F85" s="61">
        <v>0.77736384237540257</v>
      </c>
      <c r="G85" s="61">
        <v>1.5544531583669556</v>
      </c>
      <c r="H85" s="61">
        <v>2.3312663226290731</v>
      </c>
      <c r="I85" s="61">
        <v>3.1078017084782008</v>
      </c>
      <c r="J85" s="61">
        <v>3.4959647258110316</v>
      </c>
      <c r="K85" s="61">
        <v>3.8840576879643183</v>
      </c>
      <c r="L85" s="61">
        <v>7.7610894320667017</v>
      </c>
      <c r="M85" s="61">
        <v>15.493258566170507</v>
      </c>
      <c r="N85" s="61">
        <v>30.864289317748923</v>
      </c>
      <c r="O85" s="61">
        <v>61.187645272969192</v>
      </c>
      <c r="P85" s="61">
        <v>76.114685177631046</v>
      </c>
      <c r="Q85" s="61">
        <v>83.514263537933985</v>
      </c>
      <c r="R85" s="61">
        <v>90.869315290314617</v>
      </c>
      <c r="S85" s="61">
        <v>98.178479947568178</v>
      </c>
      <c r="T85" s="61">
        <v>105.44045268975272</v>
      </c>
      <c r="U85" s="61">
        <v>112.65398775982892</v>
      </c>
      <c r="V85" s="61">
        <v>119.81790138764411</v>
      </c>
      <c r="W85" s="61">
        <v>126.93107424466152</v>
      </c>
      <c r="X85" s="61">
        <v>133.99245343682566</v>
      </c>
      <c r="Y85" s="61">
        <v>141.00105404744446</v>
      </c>
      <c r="Z85" s="61">
        <v>147.95596024591777</v>
      </c>
      <c r="AA85" s="61">
        <v>154.85632598153995</v>
      </c>
      <c r="AB85" s="61">
        <v>161.70137528442459</v>
      </c>
      <c r="AC85" s="61">
        <v>168.49040219787824</v>
      </c>
      <c r="AD85" s="61">
        <v>175.22277036826387</v>
      </c>
      <c r="AE85" s="61">
        <v>181.89791231962946</v>
      </c>
      <c r="AF85" s="61">
        <v>188.51532844110838</v>
      </c>
      <c r="AG85" s="61">
        <v>195.07458571541815</v>
      </c>
      <c r="AH85" s="61">
        <v>201.57531621670321</v>
      </c>
      <c r="AI85" s="20">
        <v>208.01721540555207</v>
      </c>
      <c r="AJ85" s="13">
        <v>495</v>
      </c>
    </row>
    <row r="86" spans="1:36" ht="9.9499999999999993" customHeight="1" x14ac:dyDescent="0.2">
      <c r="A86" s="20">
        <v>6.9274169710325489E-2</v>
      </c>
      <c r="B86" s="61">
        <v>7.6971160077808964E-2</v>
      </c>
      <c r="C86" s="61">
        <v>0.19242266363657243</v>
      </c>
      <c r="D86" s="61">
        <v>0.3848278591992973</v>
      </c>
      <c r="E86" s="61">
        <v>0.61569100200743143</v>
      </c>
      <c r="F86" s="61">
        <v>0.76958574948112068</v>
      </c>
      <c r="G86" s="61">
        <v>1.5388908500573082</v>
      </c>
      <c r="H86" s="61">
        <v>2.307913754543478</v>
      </c>
      <c r="I86" s="61">
        <v>3.0766529146576804</v>
      </c>
      <c r="J86" s="61">
        <v>3.4609156064538458</v>
      </c>
      <c r="K86" s="61">
        <v>3.8451067810884831</v>
      </c>
      <c r="L86" s="61">
        <v>7.6830424185247717</v>
      </c>
      <c r="M86" s="61">
        <v>15.336623635690348</v>
      </c>
      <c r="N86" s="61">
        <v>30.54918151207341</v>
      </c>
      <c r="O86" s="61">
        <v>60.552750094650953</v>
      </c>
      <c r="P86" s="61">
        <v>75.319827323992442</v>
      </c>
      <c r="Q86" s="61">
        <v>82.639698382193444</v>
      </c>
      <c r="R86" s="61">
        <v>89.915332823041908</v>
      </c>
      <c r="S86" s="61">
        <v>97.145448093451506</v>
      </c>
      <c r="T86" s="61">
        <v>104.32881489061664</v>
      </c>
      <c r="U86" s="61">
        <v>111.46426027375435</v>
      </c>
      <c r="V86" s="61">
        <v>118.5506703368618</v>
      </c>
      <c r="W86" s="61">
        <v>125.58699244565585</v>
      </c>
      <c r="X86" s="61">
        <v>132.57223704632017</v>
      </c>
      <c r="Y86" s="61">
        <v>139.50547905768408</v>
      </c>
      <c r="Z86" s="61">
        <v>146.38585886196415</v>
      </c>
      <c r="AA86" s="61">
        <v>153.21258291221426</v>
      </c>
      <c r="AB86" s="61">
        <v>159.9849239771211</v>
      </c>
      <c r="AC86" s="61">
        <v>166.70222104578272</v>
      </c>
      <c r="AD86" s="61">
        <v>173.36387891661934</v>
      </c>
      <c r="AE86" s="61">
        <v>179.96936749562141</v>
      </c>
      <c r="AF86" s="61">
        <v>186.51822082977694</v>
      </c>
      <c r="AG86" s="61">
        <v>193.01003590176694</v>
      </c>
      <c r="AH86" s="61">
        <v>199.44447121190771</v>
      </c>
      <c r="AI86" s="20">
        <v>205.82124517293983</v>
      </c>
      <c r="AJ86" s="13">
        <v>500</v>
      </c>
    </row>
    <row r="87" spans="1:36" ht="9.9499999999999993" customHeight="1" x14ac:dyDescent="0.2">
      <c r="A87" s="20">
        <v>6.8588252841755237E-2</v>
      </c>
      <c r="B87" s="61">
        <v>7.6209027409457605E-2</v>
      </c>
      <c r="C87" s="61">
        <v>0.19051722650061151</v>
      </c>
      <c r="D87" s="61">
        <v>0.38101663399672991</v>
      </c>
      <c r="E87" s="61">
        <v>0.60959236953315676</v>
      </c>
      <c r="F87" s="61">
        <v>0.76196190000372577</v>
      </c>
      <c r="G87" s="61">
        <v>1.5236375920638181</v>
      </c>
      <c r="H87" s="61">
        <v>2.2850256036310501</v>
      </c>
      <c r="I87" s="61">
        <v>3.046124461272925</v>
      </c>
      <c r="J87" s="61">
        <v>3.4265649966983069</v>
      </c>
      <c r="K87" s="61">
        <v>3.8069326907371659</v>
      </c>
      <c r="L87" s="61">
        <v>7.606562767185773</v>
      </c>
      <c r="M87" s="61">
        <v>15.183176487730121</v>
      </c>
      <c r="N87" s="61">
        <v>30.240645795441665</v>
      </c>
      <c r="O87" s="61">
        <v>59.931648674144526</v>
      </c>
      <c r="P87" s="61">
        <v>74.542526985803747</v>
      </c>
      <c r="Q87" s="61">
        <v>81.784594296050315</v>
      </c>
      <c r="R87" s="61">
        <v>88.982723151364979</v>
      </c>
      <c r="S87" s="61">
        <v>96.135704309816447</v>
      </c>
      <c r="T87" s="61">
        <v>103.24237946646389</v>
      </c>
      <c r="U87" s="61">
        <v>110.30164410770914</v>
      </c>
      <c r="V87" s="61">
        <v>117.31244995675978</v>
      </c>
      <c r="W87" s="61">
        <v>124.27380701398216</v>
      </c>
      <c r="X87" s="61">
        <v>131.18478519990148</v>
      </c>
      <c r="Y87" s="61">
        <v>138.04451561217542</v>
      </c>
      <c r="Z87" s="61">
        <v>144.85219141099091</v>
      </c>
      <c r="AA87" s="61">
        <v>151.60706834999442</v>
      </c>
      <c r="AB87" s="61">
        <v>158.30846497208645</v>
      </c>
      <c r="AC87" s="61">
        <v>164.95576249115848</v>
      </c>
      <c r="AD87" s="61">
        <v>171.54840438218341</v>
      </c>
      <c r="AE87" s="61">
        <v>178.08589570298452</v>
      </c>
      <c r="AF87" s="61">
        <v>184.56780217154417</v>
      </c>
      <c r="AG87" s="61">
        <v>190.99374902290972</v>
      </c>
      <c r="AH87" s="61">
        <v>197.36341966963636</v>
      </c>
      <c r="AI87" s="20">
        <v>203.67655418931307</v>
      </c>
      <c r="AJ87" s="13">
        <v>505</v>
      </c>
    </row>
    <row r="88" spans="1:36" ht="9.9499999999999993" customHeight="1" x14ac:dyDescent="0.2">
      <c r="A88" s="20">
        <v>6.791578701720051E-2</v>
      </c>
      <c r="B88" s="61">
        <v>7.5461840609813258E-2</v>
      </c>
      <c r="C88" s="61">
        <v>0.18864916394227618</v>
      </c>
      <c r="D88" s="61">
        <v>0.37728019094106074</v>
      </c>
      <c r="E88" s="61">
        <v>0.60361345176417569</v>
      </c>
      <c r="F88" s="61">
        <v>0.75448774657724926</v>
      </c>
      <c r="G88" s="61">
        <v>1.5086842515194892</v>
      </c>
      <c r="H88" s="61">
        <v>2.2625881135355059</v>
      </c>
      <c r="I88" s="61">
        <v>3.0161979306396955</v>
      </c>
      <c r="J88" s="61">
        <v>3.3928921340542186</v>
      </c>
      <c r="K88" s="61">
        <v>3.7695123002119297</v>
      </c>
      <c r="L88" s="61">
        <v>7.531603306516848</v>
      </c>
      <c r="M88" s="61">
        <v>15.032819110127139</v>
      </c>
      <c r="N88" s="61">
        <v>29.938472226448294</v>
      </c>
      <c r="O88" s="61">
        <v>59.323872818584434</v>
      </c>
      <c r="P88" s="61">
        <v>73.782174054644017</v>
      </c>
      <c r="Q88" s="61">
        <v>80.94826807199297</v>
      </c>
      <c r="R88" s="61">
        <v>88.070728958008701</v>
      </c>
      <c r="S88" s="61">
        <v>95.148416471456642</v>
      </c>
      <c r="T88" s="61">
        <v>102.18023909489264</v>
      </c>
      <c r="U88" s="61">
        <v>109.16515665543992</v>
      </c>
      <c r="V88" s="61">
        <v>116.10218256442251</v>
      </c>
      <c r="W88" s="61">
        <v>122.99038568010819</v>
      </c>
      <c r="X88" s="61">
        <v>129.82889180137508</v>
      </c>
      <c r="Y88" s="61">
        <v>136.6168848033002</v>
      </c>
      <c r="Z88" s="61">
        <v>143.35360742844568</v>
      </c>
      <c r="AA88" s="61">
        <v>150.03836174998798</v>
      </c>
      <c r="AB88" s="61">
        <v>156.67050932479003</v>
      </c>
      <c r="AC88" s="61">
        <v>163.24947105606702</v>
      </c>
      <c r="AD88" s="61">
        <v>169.77472678645452</v>
      </c>
      <c r="AE88" s="61">
        <v>176.24581464309122</v>
      </c>
      <c r="AF88" s="61">
        <v>182.66233015676767</v>
      </c>
      <c r="AG88" s="61">
        <v>189.02392517736214</v>
      </c>
      <c r="AH88" s="61">
        <v>195.33030660762884</v>
      </c>
      <c r="AI88" s="20">
        <v>201.5812349770502</v>
      </c>
      <c r="AJ88" s="13">
        <v>510</v>
      </c>
    </row>
    <row r="89" spans="1:36" ht="9.9499999999999993" customHeight="1" x14ac:dyDescent="0.2">
      <c r="A89" s="20">
        <v>6.7256380376853567E-2</v>
      </c>
      <c r="B89" s="61">
        <v>7.4729164261291836E-2</v>
      </c>
      <c r="C89" s="61">
        <v>0.18681738675032702</v>
      </c>
      <c r="D89" s="61">
        <v>0.37361634938670818</v>
      </c>
      <c r="E89" s="61">
        <v>0.59775075540228717</v>
      </c>
      <c r="F89" s="61">
        <v>0.74715891902688703</v>
      </c>
      <c r="G89" s="61">
        <v>1.4940220526108203</v>
      </c>
      <c r="H89" s="61">
        <v>2.2405880674836522</v>
      </c>
      <c r="I89" s="61">
        <v>2.9868556298496043</v>
      </c>
      <c r="J89" s="61">
        <v>3.3598770744009259</v>
      </c>
      <c r="K89" s="61">
        <v>3.7328234054416716</v>
      </c>
      <c r="L89" s="61">
        <v>7.4581187565760478</v>
      </c>
      <c r="M89" s="61">
        <v>14.885457536289861</v>
      </c>
      <c r="N89" s="61">
        <v>29.642459971047401</v>
      </c>
      <c r="O89" s="61">
        <v>58.728976204645143</v>
      </c>
      <c r="P89" s="61">
        <v>73.038187699601849</v>
      </c>
      <c r="Q89" s="61">
        <v>80.130069664105847</v>
      </c>
      <c r="R89" s="61">
        <v>87.178630059610029</v>
      </c>
      <c r="S89" s="61">
        <v>94.182793623222295</v>
      </c>
      <c r="T89" s="61">
        <v>101.14153169908693</v>
      </c>
      <c r="U89" s="61">
        <v>108.05386464700537</v>
      </c>
      <c r="V89" s="61">
        <v>114.91886389550831</v>
      </c>
      <c r="W89" s="61">
        <v>121.73565364399413</v>
      </c>
      <c r="X89" s="61">
        <v>128.50341222174214</v>
      </c>
      <c r="Y89" s="61">
        <v>135.22137311444581</v>
      </c>
      <c r="Z89" s="61">
        <v>141.88882567139322</v>
      </c>
      <c r="AA89" s="61">
        <v>148.50511550851957</v>
      </c>
      <c r="AB89" s="61">
        <v>155.06964462429701</v>
      </c>
      <c r="AC89" s="61">
        <v>161.58187124678352</v>
      </c>
      <c r="AD89" s="61">
        <v>168.04130943118008</v>
      </c>
      <c r="AE89" s="61">
        <v>174.44752842792821</v>
      </c>
      <c r="AF89" s="61">
        <v>180.8001518417631</v>
      </c>
      <c r="AG89" s="61">
        <v>187.09885660225351</v>
      </c>
      <c r="AH89" s="61">
        <v>193.34337176620801</v>
      </c>
      <c r="AI89" s="20">
        <v>199.53347717197749</v>
      </c>
      <c r="AJ89" s="13">
        <v>515</v>
      </c>
    </row>
    <row r="90" spans="1:36" ht="9.9499999999999993" customHeight="1" x14ac:dyDescent="0.2">
      <c r="A90" s="20">
        <v>6.6609656136901854E-2</v>
      </c>
      <c r="B90" s="61">
        <v>7.401057969865045E-2</v>
      </c>
      <c r="C90" s="61">
        <v>0.18502084764071167</v>
      </c>
      <c r="D90" s="61">
        <v>0.37002301269688359</v>
      </c>
      <c r="E90" s="61">
        <v>0.59200092185974962</v>
      </c>
      <c r="F90" s="61">
        <v>0.7399712158128432</v>
      </c>
      <c r="G90" s="61">
        <v>1.4796425592620077</v>
      </c>
      <c r="H90" s="61">
        <v>2.2190127620062579</v>
      </c>
      <c r="I90" s="61">
        <v>2.9580805553236038</v>
      </c>
      <c r="J90" s="61">
        <v>3.327500651880547</v>
      </c>
      <c r="K90" s="61">
        <v>3.6968446701644986</v>
      </c>
      <c r="L90" s="61">
        <v>7.3860656342662336</v>
      </c>
      <c r="M90" s="61">
        <v>14.74100163522586</v>
      </c>
      <c r="N90" s="61">
        <v>29.352416801399958</v>
      </c>
      <c r="O90" s="61">
        <v>58.146533073204765</v>
      </c>
      <c r="P90" s="61">
        <v>72.3100145702535</v>
      </c>
      <c r="Q90" s="61">
        <v>79.329380129107548</v>
      </c>
      <c r="R90" s="61">
        <v>86.305741077867225</v>
      </c>
      <c r="S90" s="61">
        <v>93.238083375521924</v>
      </c>
      <c r="T90" s="61">
        <v>100.12543756413808</v>
      </c>
      <c r="U90" s="61">
        <v>106.96688098460835</v>
      </c>
      <c r="V90" s="61">
        <v>113.76153966047825</v>
      </c>
      <c r="W90" s="61">
        <v>120.50858985473623</v>
      </c>
      <c r="X90" s="61">
        <v>127.20725930731271</v>
      </c>
      <c r="Y90" s="61">
        <v>133.85682816357601</v>
      </c>
      <c r="Z90" s="61">
        <v>140.4566296063141</v>
      </c>
      <c r="AA90" s="61">
        <v>147.00605020556978</v>
      </c>
      <c r="AB90" s="61">
        <v>153.50453000222819</v>
      </c>
      <c r="AC90" s="61">
        <v>159.95156234245968</v>
      </c>
      <c r="AD90" s="61">
        <v>166.34669348102022</v>
      </c>
      <c r="AE90" s="61">
        <v>172.68952197199638</v>
      </c>
      <c r="AF90" s="61">
        <v>178.97969786591491</v>
      </c>
      <c r="AG90" s="61">
        <v>185.21692173221081</v>
      </c>
      <c r="AH90" s="61">
        <v>191.40094352589057</v>
      </c>
      <c r="AI90" s="20">
        <v>197.53156131689701</v>
      </c>
      <c r="AJ90" s="13">
        <v>520</v>
      </c>
    </row>
    <row r="91" spans="1:36" ht="9.9499999999999993" customHeight="1" x14ac:dyDescent="0.2">
      <c r="A91" s="20">
        <v>6.5975251871345716E-2</v>
      </c>
      <c r="B91" s="61">
        <v>7.3305684210914476E-2</v>
      </c>
      <c r="C91" s="61">
        <v>0.1832585392578906</v>
      </c>
      <c r="D91" s="61">
        <v>0.36649816423459469</v>
      </c>
      <c r="E91" s="61">
        <v>0.58636072082253088</v>
      </c>
      <c r="F91" s="61">
        <v>0.73292059596574621</v>
      </c>
      <c r="G91" s="61">
        <v>1.4655376588193234</v>
      </c>
      <c r="H91" s="61">
        <v>2.1978499821846644</v>
      </c>
      <c r="I91" s="61">
        <v>2.9298563594340177</v>
      </c>
      <c r="J91" s="61">
        <v>3.2957444411375598</v>
      </c>
      <c r="K91" s="61">
        <v>3.6615555837381351</v>
      </c>
      <c r="L91" s="61">
        <v>7.3154021642783205</v>
      </c>
      <c r="M91" s="61">
        <v>14.599364914708358</v>
      </c>
      <c r="N91" s="61">
        <v>29.068158628171183</v>
      </c>
      <c r="O91" s="61">
        <v>57.576137018796302</v>
      </c>
      <c r="P91" s="61">
        <v>71.597127133778685</v>
      </c>
      <c r="Q91" s="61">
        <v>78.545609722785017</v>
      </c>
      <c r="R91" s="61">
        <v>85.451409288129057</v>
      </c>
      <c r="S91" s="61">
        <v>92.313569499865636</v>
      </c>
      <c r="T91" s="61">
        <v>99.131176676335301</v>
      </c>
      <c r="U91" s="61">
        <v>105.90336182442141</v>
      </c>
      <c r="V91" s="61">
        <v>112.62930236970777</v>
      </c>
      <c r="W91" s="61">
        <v>119.30822358161876</v>
      </c>
      <c r="X91" s="61">
        <v>125.93939970118112</v>
      </c>
      <c r="Y91" s="61">
        <v>132.52215478132985</v>
      </c>
      <c r="Z91" s="61">
        <v>139.05586325163526</v>
      </c>
      <c r="AA91" s="61">
        <v>145.53995022100844</v>
      </c>
      <c r="AB91" s="61">
        <v>151.97389153329203</v>
      </c>
      <c r="AC91" s="61">
        <v>158.35721359171527</v>
      </c>
      <c r="AD91" s="61">
        <v>164.68949296896946</v>
      </c>
      <c r="AE91" s="61">
        <v>170.9703558201775</v>
      </c>
      <c r="AF91" s="61">
        <v>177.19947711630005</v>
      </c>
      <c r="AG91" s="61">
        <v>183.37657971557121</v>
      </c>
      <c r="AH91" s="61">
        <v>189.50143329040014</v>
      </c>
      <c r="AI91" s="20">
        <v>195.57385312684596</v>
      </c>
      <c r="AJ91" s="13">
        <v>525</v>
      </c>
    </row>
    <row r="92" spans="1:36" ht="9.9499999999999993" customHeight="1" x14ac:dyDescent="0.2">
      <c r="A92" s="20">
        <v>6.5352818834487875E-2</v>
      </c>
      <c r="B92" s="61">
        <v>7.2614090288502089E-2</v>
      </c>
      <c r="C92" s="61">
        <v>0.18152949228944323</v>
      </c>
      <c r="D92" s="61">
        <v>0.3630398635811779</v>
      </c>
      <c r="E92" s="61">
        <v>0.58082704417944042</v>
      </c>
      <c r="F92" s="61">
        <v>0.72600317148097215</v>
      </c>
      <c r="G92" s="61">
        <v>1.4516995466687104</v>
      </c>
      <c r="H92" s="61">
        <v>2.1770879783204875</v>
      </c>
      <c r="I92" s="61">
        <v>2.9021673190550161</v>
      </c>
      <c r="J92" s="61">
        <v>3.2645907217454284</v>
      </c>
      <c r="K92" s="61">
        <v>3.6269364213997943</v>
      </c>
      <c r="L92" s="61">
        <v>7.2460881953256928</v>
      </c>
      <c r="M92" s="61">
        <v>14.460464336618889</v>
      </c>
      <c r="N92" s="61">
        <v>28.78950906365435</v>
      </c>
      <c r="O92" s="61">
        <v>57.017399865758321</v>
      </c>
      <c r="P92" s="61">
        <v>70.899022134452977</v>
      </c>
      <c r="Q92" s="61">
        <v>77.778196138061872</v>
      </c>
      <c r="R92" s="61">
        <v>84.615012629568099</v>
      </c>
      <c r="S92" s="61">
        <v>91.408569706442478</v>
      </c>
      <c r="T92" s="61">
        <v>98.158006265238086</v>
      </c>
      <c r="U92" s="61">
        <v>104.86250388203239</v>
      </c>
      <c r="V92" s="61">
        <v>111.52128840294235</v>
      </c>
      <c r="W92" s="61">
        <v>118.13363124992527</v>
      </c>
      <c r="X92" s="61">
        <v>124.69885044936856</v>
      </c>
      <c r="Y92" s="61">
        <v>131.21631139301724</v>
      </c>
      <c r="Z92" s="61">
        <v>137.68542734253427</v>
      </c>
      <c r="AA92" s="61">
        <v>144.10565969048264</v>
      </c>
      <c r="AB92" s="61">
        <v>150.47651799171982</v>
      </c>
      <c r="AC92" s="61">
        <v>156.79755978013355</v>
      </c>
      <c r="AD92" s="61">
        <v>163.06839018634028</v>
      </c>
      <c r="AE92" s="61">
        <v>169.28866137240419</v>
      </c>
      <c r="AF92" s="61">
        <v>175.45807179986448</v>
      </c>
      <c r="AG92" s="61">
        <v>181.57636534738253</v>
      </c>
      <c r="AH92" s="61">
        <v>187.64333029416062</v>
      </c>
      <c r="AI92" s="20">
        <v>193.65879818497655</v>
      </c>
      <c r="AJ92" s="13">
        <v>530</v>
      </c>
    </row>
    <row r="93" spans="1:36" ht="9.9499999999999993" customHeight="1" x14ac:dyDescent="0.2">
      <c r="A93" s="20">
        <v>6.474202132143124E-2</v>
      </c>
      <c r="B93" s="61">
        <v>7.1935424912588239E-2</v>
      </c>
      <c r="C93" s="61">
        <v>0.17983277368653658</v>
      </c>
      <c r="D93" s="61">
        <v>0.35964624296742453</v>
      </c>
      <c r="E93" s="61">
        <v>0.57539690029310053</v>
      </c>
      <c r="F93" s="61">
        <v>0.71921520014165607</v>
      </c>
      <c r="G93" s="61">
        <v>1.4381207117248045</v>
      </c>
      <c r="H93" s="61">
        <v>2.1567154439335665</v>
      </c>
      <c r="I93" s="61">
        <v>2.8749983059123427</v>
      </c>
      <c r="J93" s="61">
        <v>3.2340224446732484</v>
      </c>
      <c r="K93" s="61">
        <v>3.5929682068104953</v>
      </c>
      <c r="L93" s="61">
        <v>7.1780851213036714</v>
      </c>
      <c r="M93" s="61">
        <v>14.324220143584883</v>
      </c>
      <c r="N93" s="61">
        <v>28.516299013333985</v>
      </c>
      <c r="O93" s="61">
        <v>56.469950623785337</v>
      </c>
      <c r="P93" s="61">
        <v>70.215219164946092</v>
      </c>
      <c r="Q93" s="61">
        <v>77.026602872333228</v>
      </c>
      <c r="R93" s="61">
        <v>83.795957862706075</v>
      </c>
      <c r="S93" s="61">
        <v>90.522433587583663</v>
      </c>
      <c r="T93" s="61">
        <v>97.205218530435218</v>
      </c>
      <c r="U93" s="61">
        <v>103.84354194146199</v>
      </c>
      <c r="V93" s="61">
        <v>110.43667530111473</v>
      </c>
      <c r="W93" s="61">
        <v>116.98393351762844</v>
      </c>
      <c r="X93" s="61">
        <v>123.48467586592575</v>
      </c>
      <c r="Y93" s="61">
        <v>129.93830667705836</v>
      </c>
      <c r="Z93" s="61">
        <v>136.34427578892851</v>
      </c>
      <c r="AA93" s="61">
        <v>142.70207877035409</v>
      </c>
      <c r="AB93" s="61">
        <v>149.01125693161509</v>
      </c>
      <c r="AC93" s="61">
        <v>155.27139713544113</v>
      </c>
      <c r="AD93" s="61">
        <v>161.4821314230135</v>
      </c>
      <c r="AE93" s="61">
        <v>167.64313646992159</v>
      </c>
      <c r="AF93" s="61">
        <v>173.75413288721495</v>
      </c>
      <c r="AG93" s="61">
        <v>179.81488438268846</v>
      </c>
      <c r="AH93" s="61">
        <v>185.82519679737732</v>
      </c>
      <c r="AI93" s="20">
        <v>191.78491703195067</v>
      </c>
      <c r="AJ93" s="13">
        <v>535</v>
      </c>
    </row>
    <row r="94" spans="1:36" ht="9.9499999999999993" customHeight="1" x14ac:dyDescent="0.2">
      <c r="A94" s="20">
        <v>6.414253606412125E-2</v>
      </c>
      <c r="B94" s="61">
        <v>7.1269328883968544E-2</v>
      </c>
      <c r="C94" s="61">
        <v>0.17816748498338061</v>
      </c>
      <c r="D94" s="61">
        <v>0.35631550390348155</v>
      </c>
      <c r="E94" s="61">
        <v>0.57006740859047889</v>
      </c>
      <c r="F94" s="61">
        <v>0.71255307874244644</v>
      </c>
      <c r="G94" s="61">
        <v>1.4247939227341988</v>
      </c>
      <c r="H94" s="61">
        <v>2.1367214950004692</v>
      </c>
      <c r="I94" s="61">
        <v>2.8483347586127969</v>
      </c>
      <c r="J94" s="61">
        <v>3.20402320065664</v>
      </c>
      <c r="K94" s="61">
        <v>3.5596326767312338</v>
      </c>
      <c r="L94" s="61">
        <v>7.1113558070365306</v>
      </c>
      <c r="M94" s="61">
        <v>14.190555696103198</v>
      </c>
      <c r="N94" s="61">
        <v>28.248366293713499</v>
      </c>
      <c r="O94" s="61">
        <v>55.933434516283668</v>
      </c>
      <c r="P94" s="61">
        <v>69.545259339892155</v>
      </c>
      <c r="Q94" s="61">
        <v>76.290317712933856</v>
      </c>
      <c r="R94" s="61">
        <v>82.993678861491887</v>
      </c>
      <c r="S94" s="61">
        <v>89.654540712596628</v>
      </c>
      <c r="T94" s="61">
        <v>96.272138536731774</v>
      </c>
      <c r="U94" s="61">
        <v>102.84574654974877</v>
      </c>
      <c r="V94" s="61">
        <v>109.37467926079049</v>
      </c>
      <c r="W94" s="61">
        <v>115.8582925715351</v>
      </c>
      <c r="X94" s="61">
        <v>122.29598463393273</v>
      </c>
      <c r="Y94" s="61">
        <v>128.6871964752375</v>
      </c>
      <c r="Z94" s="61">
        <v>135.03141240054259</v>
      </c>
      <c r="AA94" s="61">
        <v>141.32816018420246</v>
      </c>
      <c r="AB94" s="61">
        <v>147.57701106248413</v>
      </c>
      <c r="AC94" s="61">
        <v>153.77757954051268</v>
      </c>
      <c r="AD94" s="61">
        <v>159.92952302711123</v>
      </c>
      <c r="AE94" s="61">
        <v>166.0325413114588</v>
      </c>
      <c r="AF94" s="61">
        <v>172.08637589564506</v>
      </c>
      <c r="AG94" s="61">
        <v>178.09080919718485</v>
      </c>
      <c r="AH94" s="61">
        <v>184.04566363540243</v>
      </c>
      <c r="AI94" s="20">
        <v>189.95080061530803</v>
      </c>
      <c r="AJ94" s="13">
        <v>540</v>
      </c>
    </row>
    <row r="95" spans="1:36" ht="9.9499999999999993" customHeight="1" x14ac:dyDescent="0.2">
      <c r="A95" s="20">
        <v>6.3554051660648953E-2</v>
      </c>
      <c r="B95" s="61">
        <v>7.0615456188884679E-2</v>
      </c>
      <c r="C95" s="61">
        <v>0.17653276070930649</v>
      </c>
      <c r="D95" s="61">
        <v>0.35304591399472052</v>
      </c>
      <c r="E95" s="61">
        <v>0.56483579445237575</v>
      </c>
      <c r="F95" s="61">
        <v>0.70601333668808897</v>
      </c>
      <c r="G95" s="61">
        <v>1.411712215340043</v>
      </c>
      <c r="H95" s="61">
        <v>2.1170956503525264</v>
      </c>
      <c r="I95" s="61">
        <v>2.8221626562431297</v>
      </c>
      <c r="J95" s="61">
        <v>3.174577190347355</v>
      </c>
      <c r="K95" s="61">
        <v>3.5269122476902379</v>
      </c>
      <c r="L95" s="61">
        <v>7.0458645183011166</v>
      </c>
      <c r="M95" s="61">
        <v>14.059397319407852</v>
      </c>
      <c r="N95" s="61">
        <v>27.985555274422985</v>
      </c>
      <c r="O95" s="61">
        <v>55.407512075565812</v>
      </c>
      <c r="P95" s="61">
        <v>68.888704063133432</v>
      </c>
      <c r="Q95" s="61">
        <v>75.56885133070756</v>
      </c>
      <c r="R95" s="61">
        <v>82.207635028402976</v>
      </c>
      <c r="S95" s="61">
        <v>88.8042988609063</v>
      </c>
      <c r="T95" s="61">
        <v>95.35812226314826</v>
      </c>
      <c r="U95" s="61">
        <v>101.86842188092258</v>
      </c>
      <c r="V95" s="61">
        <v>108.33455281351266</v>
      </c>
      <c r="W95" s="61">
        <v>114.75590962363427</v>
      </c>
      <c r="X95" s="61">
        <v>121.13192712166922</v>
      </c>
      <c r="Y95" s="61">
        <v>127.46208093263473</v>
      </c>
      <c r="Z95" s="61">
        <v>133.74588785558436</v>
      </c>
      <c r="AA95" s="61">
        <v>139.98290602619113</v>
      </c>
      <c r="AB95" s="61">
        <v>146.17273489410522</v>
      </c>
      <c r="AC95" s="61">
        <v>152.31501502732976</v>
      </c>
      <c r="AD95" s="61">
        <v>158.40942775631538</v>
      </c>
      <c r="AE95" s="61">
        <v>164.45569467075646</v>
      </c>
      <c r="AF95" s="61">
        <v>170.45357698219675</v>
      </c>
      <c r="AG95" s="61">
        <v>176.40287476552729</v>
      </c>
      <c r="AH95" s="61">
        <v>182.30342609229416</v>
      </c>
      <c r="AI95" s="20">
        <v>188.15510606847636</v>
      </c>
      <c r="AJ95" s="13">
        <v>545</v>
      </c>
    </row>
    <row r="96" spans="1:36" ht="9.9499999999999993" customHeight="1" x14ac:dyDescent="0.2">
      <c r="A96" s="20">
        <v>6.2976268035695393E-2</v>
      </c>
      <c r="B96" s="61">
        <v>6.9973473399458155E-2</v>
      </c>
      <c r="C96" s="61">
        <v>0.17492776688756315</v>
      </c>
      <c r="D96" s="61">
        <v>0.34983580393170627</v>
      </c>
      <c r="E96" s="61">
        <v>0.55969938438272782</v>
      </c>
      <c r="F96" s="61">
        <v>0.69959262994287563</v>
      </c>
      <c r="G96" s="61">
        <v>1.3988688798589595</v>
      </c>
      <c r="H96" s="61">
        <v>2.0978278131582724</v>
      </c>
      <c r="I96" s="61">
        <v>2.7964684934361452</v>
      </c>
      <c r="J96" s="61">
        <v>3.1456691961255276</v>
      </c>
      <c r="K96" s="61">
        <v>3.4947899845108852</v>
      </c>
      <c r="L96" s="61">
        <v>6.9815768558402169</v>
      </c>
      <c r="M96" s="61">
        <v>13.930674159399542</v>
      </c>
      <c r="N96" s="61">
        <v>27.727716542794678</v>
      </c>
      <c r="O96" s="61">
        <v>54.891858299478812</v>
      </c>
      <c r="P96" s="61">
        <v>68.245133880866064</v>
      </c>
      <c r="Q96" s="61">
        <v>74.861735972614767</v>
      </c>
      <c r="R96" s="61">
        <v>81.437309822171898</v>
      </c>
      <c r="S96" s="61">
        <v>87.971142381730857</v>
      </c>
      <c r="T96" s="61">
        <v>94.462554792557526</v>
      </c>
      <c r="U96" s="61">
        <v>100.91090375478956</v>
      </c>
      <c r="V96" s="61">
        <v>107.31558267407436</v>
      </c>
      <c r="W96" s="61">
        <v>113.6760225903154</v>
      </c>
      <c r="X96" s="61">
        <v>119.99169289530258</v>
      </c>
      <c r="Y96" s="61">
        <v>126.26210184731517</v>
      </c>
      <c r="Z96" s="61">
        <v>132.48679689191115</v>
      </c>
      <c r="AA96" s="61">
        <v>138.66536479905014</v>
      </c>
      <c r="AB96" s="61">
        <v>144.79743162745564</v>
      </c>
      <c r="AC96" s="61">
        <v>150.88266252768673</v>
      </c>
      <c r="AD96" s="61">
        <v>156.92076139579549</v>
      </c>
      <c r="AE96" s="61">
        <v>162.91147038968634</v>
      </c>
      <c r="AF96" s="61">
        <v>168.85456932039114</v>
      </c>
      <c r="AG96" s="61">
        <v>174.74987493043932</v>
      </c>
      <c r="AH96" s="61">
        <v>180.597240071339</v>
      </c>
      <c r="AI96" s="20">
        <v>186.39655279193801</v>
      </c>
      <c r="AJ96" s="13">
        <v>550</v>
      </c>
    </row>
    <row r="97" spans="1:36" ht="9.9499999999999993" customHeight="1" x14ac:dyDescent="0.2">
      <c r="A97" s="20">
        <v>6.2408895930154695E-2</v>
      </c>
      <c r="B97" s="61">
        <v>6.9343059106547714E-2</v>
      </c>
      <c r="C97" s="61">
        <v>0.17335169961535513</v>
      </c>
      <c r="D97" s="61">
        <v>0.34668356464325395</v>
      </c>
      <c r="E97" s="61">
        <v>0.55465560144002635</v>
      </c>
      <c r="F97" s="61">
        <v>0.69328773530867704</v>
      </c>
      <c r="G97" s="61">
        <v>1.3862574497248239</v>
      </c>
      <c r="H97" s="61">
        <v>2.0789082534207735</v>
      </c>
      <c r="I97" s="61">
        <v>2.7712392568094066</v>
      </c>
      <c r="J97" s="61">
        <v>3.1172845554670476</v>
      </c>
      <c r="K97" s="61">
        <v>3.4632495705797659</v>
      </c>
      <c r="L97" s="61">
        <v>6.9184596931005498</v>
      </c>
      <c r="M97" s="61">
        <v>13.804318047009687</v>
      </c>
      <c r="N97" s="61">
        <v>27.474706589249458</v>
      </c>
      <c r="O97" s="61">
        <v>54.386161864559554</v>
      </c>
      <c r="P97" s="61">
        <v>67.614147413654891</v>
      </c>
      <c r="Q97" s="61">
        <v>74.168524245191406</v>
      </c>
      <c r="R97" s="61">
        <v>80.682209388745818</v>
      </c>
      <c r="S97" s="61">
        <v>87.154530669662137</v>
      </c>
      <c r="T97" s="61">
        <v>93.584848630076664</v>
      </c>
      <c r="U97" s="61">
        <v>99.972557797390692</v>
      </c>
      <c r="V97" s="61">
        <v>106.31708774333543</v>
      </c>
      <c r="W97" s="61">
        <v>112.61790393884179</v>
      </c>
      <c r="X97" s="61">
        <v>118.87450841128057</v>
      </c>
      <c r="Y97" s="61">
        <v>125.08644021181826</v>
      </c>
      <c r="Z97" s="61">
        <v>131.25327570163779</v>
      </c>
      <c r="AA97" s="61">
        <v>137.37462866661363</v>
      </c>
      <c r="AB97" s="61">
        <v>143.4501502706996</v>
      </c>
      <c r="AC97" s="61">
        <v>149.47952885878269</v>
      </c>
      <c r="AD97" s="61">
        <v>155.46248962012359</v>
      </c>
      <c r="AE97" s="61">
        <v>161.39879412369066</v>
      </c>
      <c r="AF97" s="61">
        <v>167.28823973678786</v>
      </c>
      <c r="AG97" s="61">
        <v>173.13065893832041</v>
      </c>
      <c r="AH97" s="61">
        <v>178.92591853788633</v>
      </c>
      <c r="AI97" s="20">
        <v>184.67391881164866</v>
      </c>
      <c r="AJ97" s="13">
        <v>555</v>
      </c>
    </row>
    <row r="98" spans="1:36" ht="9.9499999999999993" customHeight="1" x14ac:dyDescent="0.2">
      <c r="A98" s="20">
        <v>6.185165641810967E-2</v>
      </c>
      <c r="B98" s="61">
        <v>6.8723903383004284E-2</v>
      </c>
      <c r="C98" s="61">
        <v>0.17180378372003929</v>
      </c>
      <c r="D98" s="61">
        <v>0.34358764460235391</v>
      </c>
      <c r="E98" s="61">
        <v>0.54970196091437706</v>
      </c>
      <c r="F98" s="61">
        <v>0.6870955450109224</v>
      </c>
      <c r="G98" s="61">
        <v>1.3738716905573016</v>
      </c>
      <c r="H98" s="61">
        <v>2.060327591425346</v>
      </c>
      <c r="I98" s="61">
        <v>2.7464624026889073</v>
      </c>
      <c r="J98" s="61">
        <v>3.0894091357665259</v>
      </c>
      <c r="K98" s="61">
        <v>3.4322752797431488</v>
      </c>
      <c r="L98" s="61">
        <v>6.8564811174505929</v>
      </c>
      <c r="M98" s="61">
        <v>13.680263370421185</v>
      </c>
      <c r="N98" s="61">
        <v>27.226387511977382</v>
      </c>
      <c r="O98" s="61">
        <v>53.890124391264223</v>
      </c>
      <c r="P98" s="61">
        <v>66.995360360943209</v>
      </c>
      <c r="Q98" s="61">
        <v>73.48878798144294</v>
      </c>
      <c r="R98" s="61">
        <v>79.94186128698118</v>
      </c>
      <c r="S98" s="61">
        <v>86.353946746543969</v>
      </c>
      <c r="T98" s="61">
        <v>92.724442139482221</v>
      </c>
      <c r="U98" s="61">
        <v>99.052777731263774</v>
      </c>
      <c r="V98" s="61">
        <v>105.33841725258505</v>
      </c>
      <c r="W98" s="61">
        <v>111.5808586869782</v>
      </c>
      <c r="X98" s="61">
        <v>117.77963487326036</v>
      </c>
      <c r="Y98" s="61">
        <v>123.93431393024251</v>
      </c>
      <c r="Z98" s="61">
        <v>130.04449951200573</v>
      </c>
      <c r="AA98" s="61">
        <v>136.10983090280823</v>
      </c>
      <c r="AB98" s="61">
        <v>142.12998296127486</v>
      </c>
      <c r="AC98" s="61">
        <v>148.10466592396776</v>
      </c>
      <c r="AD98" s="61">
        <v>154.03362507874533</v>
      </c>
      <c r="AE98" s="61">
        <v>159.91664031848202</v>
      </c>
      <c r="AF98" s="61">
        <v>165.7535255857926</v>
      </c>
      <c r="AG98" s="61">
        <v>171.54412821933605</v>
      </c>
      <c r="AH98" s="61">
        <v>177.28832821213416</v>
      </c>
      <c r="AI98" s="20">
        <v>182.98603739209921</v>
      </c>
      <c r="AJ98" s="13">
        <v>560</v>
      </c>
    </row>
    <row r="99" spans="1:36" ht="9.9499999999999993" customHeight="1" x14ac:dyDescent="0.2">
      <c r="A99" s="20">
        <v>6.1304280449465134E-2</v>
      </c>
      <c r="B99" s="61">
        <v>6.8115707275438073E-2</v>
      </c>
      <c r="C99" s="61">
        <v>0.17028327148675315</v>
      </c>
      <c r="D99" s="61">
        <v>0.3405465472754623</v>
      </c>
      <c r="E99" s="61">
        <v>0.54483606623492353</v>
      </c>
      <c r="F99" s="61">
        <v>0.68101306157334107</v>
      </c>
      <c r="G99" s="61">
        <v>1.3617055898159767</v>
      </c>
      <c r="H99" s="61">
        <v>2.0420767820778543</v>
      </c>
      <c r="I99" s="61">
        <v>2.7221258360363763</v>
      </c>
      <c r="J99" s="61">
        <v>3.0620293105234517</v>
      </c>
      <c r="K99" s="61">
        <v>3.4018519497282615</v>
      </c>
      <c r="L99" s="61">
        <v>6.7956103746517034</v>
      </c>
      <c r="M99" s="61">
        <v>13.558446954613625</v>
      </c>
      <c r="N99" s="61">
        <v>26.982626739522448</v>
      </c>
      <c r="O99" s="61">
        <v>53.403459757216432</v>
      </c>
      <c r="P99" s="61">
        <v>66.388404572274609</v>
      </c>
      <c r="Q99" s="61">
        <v>72.822117184450562</v>
      </c>
      <c r="R99" s="61">
        <v>79.215813301377324</v>
      </c>
      <c r="S99" s="61">
        <v>85.568895940952743</v>
      </c>
      <c r="T99" s="61">
        <v>91.880798087933215</v>
      </c>
      <c r="U99" s="61">
        <v>98.150983784777381</v>
      </c>
      <c r="V99" s="61">
        <v>104.37894903770797</v>
      </c>
      <c r="W99" s="61">
        <v>110.56422254303197</v>
      </c>
      <c r="X99" s="61">
        <v>116.70636623985422</v>
      </c>
      <c r="Y99" s="61">
        <v>122.80497569627546</v>
      </c>
      <c r="Z99" s="61">
        <v>128.85968033697083</v>
      </c>
      <c r="AA99" s="61">
        <v>134.87014352071205</v>
      </c>
      <c r="AB99" s="61">
        <v>140.83606247692609</v>
      </c>
      <c r="AC99" s="61">
        <v>146.75716811077413</v>
      </c>
      <c r="AD99" s="61">
        <v>152.6332246864992</v>
      </c>
      <c r="AE99" s="61">
        <v>158.4640293989419</v>
      </c>
      <c r="AF99" s="61">
        <v>164.24941184316063</v>
      </c>
      <c r="AG99" s="61">
        <v>169.98923339203517</v>
      </c>
      <c r="AH99" s="61">
        <v>175.68338649158025</v>
      </c>
      <c r="AI99" s="20">
        <v>181.33179388348282</v>
      </c>
      <c r="AJ99" s="13">
        <v>565</v>
      </c>
    </row>
    <row r="100" spans="1:36" ht="9.9499999999999993" customHeight="1" x14ac:dyDescent="0.2">
      <c r="A100" s="20">
        <v>6.076650841666293E-2</v>
      </c>
      <c r="B100" s="61">
        <v>6.751818232274677E-2</v>
      </c>
      <c r="C100" s="61">
        <v>0.1687894414530843</v>
      </c>
      <c r="D100" s="61">
        <v>0.33755882870634313</v>
      </c>
      <c r="E100" s="61">
        <v>0.54005560509342621</v>
      </c>
      <c r="F100" s="61">
        <v>0.67503739296363874</v>
      </c>
      <c r="G100" s="61">
        <v>1.3497533470037624</v>
      </c>
      <c r="H100" s="61">
        <v>2.0241471000779954</v>
      </c>
      <c r="I100" s="61">
        <v>2.6982178905047571</v>
      </c>
      <c r="J100" s="61">
        <v>3.0351319368059224</v>
      </c>
      <c r="K100" s="61">
        <v>3.3719649569934131</v>
      </c>
      <c r="L100" s="61">
        <v>6.7358178163727604</v>
      </c>
      <c r="M100" s="61">
        <v>13.438807947741648</v>
      </c>
      <c r="N100" s="61">
        <v>26.743296769996508</v>
      </c>
      <c r="O100" s="61">
        <v>52.925893454785545</v>
      </c>
      <c r="P100" s="61">
        <v>65.792927179971983</v>
      </c>
      <c r="Q100" s="61">
        <v>72.168119041590842</v>
      </c>
      <c r="R100" s="61">
        <v>78.503632334869749</v>
      </c>
      <c r="S100" s="61">
        <v>84.798904657394218</v>
      </c>
      <c r="T100" s="61">
        <v>91.053402290203536</v>
      </c>
      <c r="U100" s="61">
        <v>97.266621210819892</v>
      </c>
      <c r="V100" s="61">
        <v>103.43808793251897</v>
      </c>
      <c r="W100" s="61">
        <v>109.56736017477256</v>
      </c>
      <c r="X100" s="61">
        <v>115.65402737078742</v>
      </c>
      <c r="Y100" s="61">
        <v>121.69771101891683</v>
      </c>
      <c r="Z100" s="61">
        <v>127.69806488544847</v>
      </c>
      <c r="AA100" s="61">
        <v>133.65477506686707</v>
      </c>
      <c r="AB100" s="61">
        <v>139.5675599201565</v>
      </c>
      <c r="AC100" s="61">
        <v>145.4361698700572</v>
      </c>
      <c r="AD100" s="61">
        <v>151.26038710241991</v>
      </c>
      <c r="AE100" s="61">
        <v>157.04002515292424</v>
      </c>
      <c r="AF100" s="61">
        <v>162.77492840045389</v>
      </c>
      <c r="AG100" s="61">
        <v>168.4649714743604</v>
      </c>
      <c r="AH100" s="61">
        <v>174.11005858469701</v>
      </c>
      <c r="AI100" s="20">
        <v>179.71012278429635</v>
      </c>
      <c r="AJ100" s="13">
        <v>570</v>
      </c>
    </row>
    <row r="101" spans="1:36" ht="9.9499999999999993" customHeight="1" x14ac:dyDescent="0.2">
      <c r="A101" s="20">
        <v>6.0238089744011618E-2</v>
      </c>
      <c r="B101" s="61">
        <v>6.6931050099774375E-2</v>
      </c>
      <c r="C101" s="61">
        <v>0.16732159726669474</v>
      </c>
      <c r="D101" s="61">
        <v>0.3346230952262349</v>
      </c>
      <c r="E101" s="61">
        <v>0.53535834577078456</v>
      </c>
      <c r="F101" s="61">
        <v>0.66916574799352702</v>
      </c>
      <c r="G101" s="61">
        <v>1.3380093643857895</v>
      </c>
      <c r="H101" s="61">
        <v>2.0065301258760155</v>
      </c>
      <c r="I101" s="61">
        <v>2.6747273095517956</v>
      </c>
      <c r="J101" s="61">
        <v>3.0087043339123687</v>
      </c>
      <c r="K101" s="61">
        <v>3.3426001929176445</v>
      </c>
      <c r="L101" s="61">
        <v>6.6770748505540869</v>
      </c>
      <c r="M101" s="61">
        <v>13.321287713893309</v>
      </c>
      <c r="N101" s="61">
        <v>26.50827492575149</v>
      </c>
      <c r="O101" s="61">
        <v>52.457161989627437</v>
      </c>
      <c r="P101" s="61">
        <v>65.208589788494166</v>
      </c>
      <c r="Q101" s="61">
        <v>71.526417003820754</v>
      </c>
      <c r="R101" s="61">
        <v>77.804903375341837</v>
      </c>
      <c r="S101" s="61">
        <v>84.043519228067339</v>
      </c>
      <c r="T101" s="61">
        <v>90.241762344445647</v>
      </c>
      <c r="U101" s="61">
        <v>96.399158906028845</v>
      </c>
      <c r="V101" s="61">
        <v>102.51526427162796</v>
      </c>
      <c r="W101" s="61">
        <v>108.589663596778</v>
      </c>
      <c r="X101" s="61">
        <v>114.62197230021975</v>
      </c>
      <c r="Y101" s="61">
        <v>120.61183638388016</v>
      </c>
      <c r="Z101" s="61">
        <v>126.55893261347646</v>
      </c>
      <c r="AA101" s="61">
        <v>132.46296856740895</v>
      </c>
      <c r="AB101" s="61">
        <v>138.32368256201545</v>
      </c>
      <c r="AC101" s="61">
        <v>144.14084346157063</v>
      </c>
      <c r="AD101" s="61">
        <v>149.91425038161145</v>
      </c>
      <c r="AE101" s="61">
        <v>155.64373229427304</v>
      </c>
      <c r="AF101" s="61">
        <v>161.32914754433105</v>
      </c>
      <c r="AG101" s="61">
        <v>166.97038328458518</v>
      </c>
      <c r="AH101" s="61">
        <v>172.56735483906695</v>
      </c>
      <c r="AI101" s="20">
        <v>178.12000500236607</v>
      </c>
      <c r="AJ101" s="13">
        <v>575</v>
      </c>
    </row>
    <row r="102" spans="1:36" ht="9.9499999999999993" customHeight="1" x14ac:dyDescent="0.2">
      <c r="A102" s="20">
        <v>5.9718782498266218E-2</v>
      </c>
      <c r="B102" s="61">
        <v>6.6354041784584761E-2</v>
      </c>
      <c r="C102" s="61">
        <v>0.16587906660209595</v>
      </c>
      <c r="D102" s="61">
        <v>0.33173800128271103</v>
      </c>
      <c r="E102" s="61">
        <v>0.53074213365420864</v>
      </c>
      <c r="F102" s="61">
        <v>0.66339543195768536</v>
      </c>
      <c r="G102" s="61">
        <v>1.3264682381923623</v>
      </c>
      <c r="H102" s="61">
        <v>1.9892177323648008</v>
      </c>
      <c r="I102" s="61">
        <v>2.651643228546595</v>
      </c>
      <c r="J102" s="61">
        <v>2.9827342631573637</v>
      </c>
      <c r="K102" s="61">
        <v>3.3137440412471961</v>
      </c>
      <c r="L102" s="61">
        <v>6.619353894440497</v>
      </c>
      <c r="M102" s="61">
        <v>13.205829731809139</v>
      </c>
      <c r="N102" s="61">
        <v>26.277443122433816</v>
      </c>
      <c r="O102" s="61">
        <v>51.997012317117054</v>
      </c>
      <c r="P102" s="61">
        <v>64.635067716115245</v>
      </c>
      <c r="Q102" s="61">
        <v>70.89664992498254</v>
      </c>
      <c r="R102" s="61">
        <v>77.119228530091291</v>
      </c>
      <c r="S102" s="61">
        <v>83.302304840688095</v>
      </c>
      <c r="T102" s="61">
        <v>89.445406452232461</v>
      </c>
      <c r="U102" s="61">
        <v>95.548088122561722</v>
      </c>
      <c r="V102" s="61">
        <v>101.60993249408801</v>
      </c>
      <c r="W102" s="61">
        <v>107.63055066672267</v>
      </c>
      <c r="X102" s="61">
        <v>113.60958262702552</v>
      </c>
      <c r="Y102" s="61">
        <v>119.5466975397747</v>
      </c>
      <c r="Z102" s="61">
        <v>125.44159390872673</v>
      </c>
      <c r="AA102" s="61">
        <v>131.29399961382143</v>
      </c>
      <c r="AB102" s="61">
        <v>137.10367183244662</v>
      </c>
      <c r="AC102" s="61">
        <v>142.87039685265157</v>
      </c>
      <c r="AD102" s="61">
        <v>148.59398978636847</v>
      </c>
      <c r="AE102" s="61">
        <v>154.27429419078675</v>
      </c>
      <c r="AF102" s="61">
        <v>159.91118160602494</v>
      </c>
      <c r="AG102" s="61">
        <v>165.50455101718245</v>
      </c>
      <c r="AH102" s="61">
        <v>171.05432824870539</v>
      </c>
      <c r="AI102" s="20">
        <v>176.56046529881957</v>
      </c>
      <c r="AJ102" s="13">
        <v>580</v>
      </c>
    </row>
    <row r="103" spans="1:36" ht="9.9499999999999993" customHeight="1" x14ac:dyDescent="0.2">
      <c r="A103" s="20">
        <v>5.9208353019185166E-2</v>
      </c>
      <c r="B103" s="61">
        <v>6.5786897747934489E-2</v>
      </c>
      <c r="C103" s="61">
        <v>0.16446120013303123</v>
      </c>
      <c r="D103" s="61">
        <v>0.32890224738010682</v>
      </c>
      <c r="E103" s="61">
        <v>0.52620488793358067</v>
      </c>
      <c r="F103" s="61">
        <v>0.65772384249728277</v>
      </c>
      <c r="G103" s="61">
        <v>1.3151247502767145</v>
      </c>
      <c r="H103" s="61">
        <v>1.972202072262746</v>
      </c>
      <c r="I103" s="61">
        <v>2.6289551578085497</v>
      </c>
      <c r="J103" s="61">
        <v>2.9572099087127746</v>
      </c>
      <c r="K103" s="61">
        <v>3.285383356721661</v>
      </c>
      <c r="L103" s="61">
        <v>6.5626283301163282</v>
      </c>
      <c r="M103" s="61">
        <v>13.092379499174728</v>
      </c>
      <c r="N103" s="61">
        <v>26.050687651430522</v>
      </c>
      <c r="O103" s="61">
        <v>51.545201313863409</v>
      </c>
      <c r="P103" s="61">
        <v>64.072049284956279</v>
      </c>
      <c r="Q103" s="61">
        <v>70.278471256529627</v>
      </c>
      <c r="R103" s="61">
        <v>76.446226123000798</v>
      </c>
      <c r="S103" s="61">
        <v>82.574844536462493</v>
      </c>
      <c r="T103" s="61">
        <v>88.663882316287911</v>
      </c>
      <c r="U103" s="61">
        <v>94.712921265136416</v>
      </c>
      <c r="V103" s="61">
        <v>100.7215698398757</v>
      </c>
      <c r="W103" s="61">
        <v>106.68946368198996</v>
      </c>
      <c r="X103" s="61">
        <v>112.61626601276403</v>
      </c>
      <c r="Y103" s="61">
        <v>118.5016678991668</v>
      </c>
      <c r="Z103" s="61">
        <v>124.34538839686488</v>
      </c>
      <c r="AA103" s="61">
        <v>130.14717457723694</v>
      </c>
      <c r="AB103" s="61">
        <v>135.90680144557538</v>
      </c>
      <c r="AC103" s="61">
        <v>141.62407175790332</v>
      </c>
      <c r="AD103" s="61">
        <v>147.29881574398289</v>
      </c>
      <c r="AE103" s="61">
        <v>152.93089074415644</v>
      </c>
      <c r="AF103" s="61">
        <v>158.52018076766018</v>
      </c>
      <c r="AG103" s="61">
        <v>164.06659597997685</v>
      </c>
      <c r="AH103" s="61">
        <v>169.57007212665661</v>
      </c>
      <c r="AI103" s="20">
        <v>175.03056990086225</v>
      </c>
      <c r="AJ103" s="13">
        <v>585</v>
      </c>
    </row>
    <row r="104" spans="1:36" ht="9.9499999999999993" customHeight="1" x14ac:dyDescent="0.2">
      <c r="A104" s="20">
        <v>5.8706575568879898E-2</v>
      </c>
      <c r="B104" s="61">
        <v>6.5229367163629134E-2</v>
      </c>
      <c r="C104" s="61">
        <v>0.16306737055716147</v>
      </c>
      <c r="D104" s="61">
        <v>0.32611457812488431</v>
      </c>
      <c r="E104" s="61">
        <v>0.5217445984663408</v>
      </c>
      <c r="F104" s="61">
        <v>0.65214846567467111</v>
      </c>
      <c r="G104" s="61">
        <v>1.3039738602003479</v>
      </c>
      <c r="H104" s="61">
        <v>1.9554755661457799</v>
      </c>
      <c r="I104" s="61">
        <v>2.6066529665223248</v>
      </c>
      <c r="J104" s="61">
        <v>2.9321198594403235</v>
      </c>
      <c r="K104" s="61">
        <v>3.2575054448082534</v>
      </c>
      <c r="L104" s="61">
        <v>6.5068724623872054</v>
      </c>
      <c r="M104" s="61">
        <v>12.98088444212795</v>
      </c>
      <c r="N104" s="61">
        <v>25.827898974795431</v>
      </c>
      <c r="O104" s="61">
        <v>51.10149528173919</v>
      </c>
      <c r="P104" s="61">
        <v>63.519235155744212</v>
      </c>
      <c r="Q104" s="61">
        <v>69.671548293479518</v>
      </c>
      <c r="R104" s="61">
        <v>75.785529849632056</v>
      </c>
      <c r="S104" s="61">
        <v>81.860738272816306</v>
      </c>
      <c r="T104" s="61">
        <v>87.896756109901318</v>
      </c>
      <c r="U104" s="61">
        <v>93.893190766718675</v>
      </c>
      <c r="V104" s="61">
        <v>99.849675131970017</v>
      </c>
      <c r="W104" s="61">
        <v>105.7658680687687</v>
      </c>
      <c r="X104" s="61">
        <v>111.64145477890881</v>
      </c>
      <c r="Y104" s="61">
        <v>117.47614704551584</v>
      </c>
      <c r="Z104" s="61">
        <v>123.26968336019885</v>
      </c>
      <c r="AA104" s="61">
        <v>129.02182894120534</v>
      </c>
      <c r="AB104" s="61">
        <v>134.73237564936906</v>
      </c>
      <c r="AC104" s="61">
        <v>140.40114180884962</v>
      </c>
      <c r="AD104" s="61">
        <v>146.02797193978736</v>
      </c>
      <c r="AE104" s="61">
        <v>151.61273641005351</v>
      </c>
      <c r="AF104" s="61">
        <v>157.15533101326068</v>
      </c>
      <c r="AG104" s="61">
        <v>162.65567648012944</v>
      </c>
      <c r="AH104" s="61">
        <v>168.1137179301692</v>
      </c>
      <c r="AI104" s="20">
        <v>173.5294242704702</v>
      </c>
      <c r="AJ104" s="13">
        <v>590</v>
      </c>
    </row>
    <row r="105" spans="1:36" ht="9.9499999999999993" customHeight="1" x14ac:dyDescent="0.2">
      <c r="A105" s="20">
        <v>5.8213231998849937E-2</v>
      </c>
      <c r="B105" s="61">
        <v>6.4681207638532898E-2</v>
      </c>
      <c r="C105" s="61">
        <v>0.16169697166997685</v>
      </c>
      <c r="D105" s="61">
        <v>0.3233737803697419</v>
      </c>
      <c r="E105" s="61">
        <v>0.51735932280094432</v>
      </c>
      <c r="F105" s="61">
        <v>0.64666687224677322</v>
      </c>
      <c r="G105" s="61">
        <v>1.293010697720528</v>
      </c>
      <c r="H105" s="61">
        <v>1.9390308910898679</v>
      </c>
      <c r="I105" s="61">
        <v>2.5847268674763195</v>
      </c>
      <c r="J105" s="61">
        <v>2.9074530916559689</v>
      </c>
      <c r="K105" s="61">
        <v>3.2300980424774082</v>
      </c>
      <c r="L105" s="61">
        <v>6.4520614788643424</v>
      </c>
      <c r="M105" s="61">
        <v>12.871293829648607</v>
      </c>
      <c r="N105" s="61">
        <v>25.608971531814408</v>
      </c>
      <c r="O105" s="61">
        <v>50.665669482070129</v>
      </c>
      <c r="P105" s="61">
        <v>62.976337703984612</v>
      </c>
      <c r="Q105" s="61">
        <v>69.075561467763748</v>
      </c>
      <c r="R105" s="61">
        <v>75.136787985872658</v>
      </c>
      <c r="S105" s="61">
        <v>81.15960204596891</v>
      </c>
      <c r="T105" s="61">
        <v>87.14361151255595</v>
      </c>
      <c r="U105" s="61">
        <v>93.088448036828808</v>
      </c>
      <c r="V105" s="61">
        <v>98.993767637440769</v>
      </c>
      <c r="W105" s="61">
        <v>104.85925115649438</v>
      </c>
      <c r="X105" s="61">
        <v>110.68460459565419</v>
      </c>
      <c r="Y105" s="61">
        <v>116.46955933778256</v>
      </c>
      <c r="Z105" s="61">
        <v>122.21387225991764</v>
      </c>
      <c r="AA105" s="61">
        <v>127.91732574375438</v>
      </c>
      <c r="AB105" s="61">
        <v>133.57972759004542</v>
      </c>
      <c r="AC105" s="61">
        <v>139.20091084351765</v>
      </c>
      <c r="AD105" s="61">
        <v>144.78073353501162</v>
      </c>
      <c r="AE105" s="61">
        <v>150.31907834759153</v>
      </c>
      <c r="AF105" s="61">
        <v>155.81585221335499</v>
      </c>
      <c r="AG105" s="61">
        <v>161.27098584759642</v>
      </c>
      <c r="AH105" s="61">
        <v>166.68443322685383</v>
      </c>
      <c r="AI105" s="20">
        <v>172.05617101720355</v>
      </c>
      <c r="AJ105" s="13">
        <v>595</v>
      </c>
    </row>
    <row r="106" spans="1:36" ht="9.9499999999999993" customHeight="1" x14ac:dyDescent="0.2">
      <c r="A106" s="20">
        <v>5.7728111433672555E-2</v>
      </c>
      <c r="B106" s="61">
        <v>6.4142184861084736E-2</v>
      </c>
      <c r="C106" s="61">
        <v>0.16034941748505588</v>
      </c>
      <c r="D106" s="61">
        <v>0.32067868145069922</v>
      </c>
      <c r="E106" s="61">
        <v>0.51304718334959931</v>
      </c>
      <c r="F106" s="61">
        <v>0.64127671412551723</v>
      </c>
      <c r="G106" s="61">
        <v>1.282230555656289</v>
      </c>
      <c r="H106" s="61">
        <v>1.9228609698878283</v>
      </c>
      <c r="I106" s="61">
        <v>2.5631674025757523</v>
      </c>
      <c r="J106" s="61">
        <v>2.8831989527706923</v>
      </c>
      <c r="K106" s="61">
        <v>3.2031492999576798</v>
      </c>
      <c r="L106" s="61">
        <v>6.3981714121172581</v>
      </c>
      <c r="M106" s="61">
        <v>12.76355869252272</v>
      </c>
      <c r="N106" s="61">
        <v>25.393803556433959</v>
      </c>
      <c r="O106" s="61">
        <v>50.237507697827972</v>
      </c>
      <c r="P106" s="61">
        <v>62.443080434516816</v>
      </c>
      <c r="Q106" s="61">
        <v>68.490203685470092</v>
      </c>
      <c r="R106" s="61">
        <v>74.499662646151137</v>
      </c>
      <c r="S106" s="61">
        <v>80.471067068862524</v>
      </c>
      <c r="T106" s="61">
        <v>86.404048806776501</v>
      </c>
      <c r="U106" s="61">
        <v>92.29826247696181</v>
      </c>
      <c r="V106" s="61">
        <v>98.153386001537243</v>
      </c>
      <c r="W106" s="61">
        <v>103.96912103112469</v>
      </c>
      <c r="X106" s="61">
        <v>109.74519325530463</v>
      </c>
      <c r="Y106" s="61">
        <v>115.48135260523728</v>
      </c>
      <c r="Z106" s="61">
        <v>121.17737335398481</v>
      </c>
      <c r="AA106" s="61">
        <v>126.83305412037002</v>
      </c>
      <c r="AB106" s="61">
        <v>132.44821778244523</v>
      </c>
      <c r="AC106" s="61">
        <v>138.02271130678537</v>
      </c>
      <c r="AD106" s="61">
        <v>143.55640549993157</v>
      </c>
      <c r="AE106" s="61">
        <v>149.04919468832401</v>
      </c>
      <c r="AF106" s="61">
        <v>154.50099633305356</v>
      </c>
      <c r="AG106" s="61">
        <v>159.9117505856772</v>
      </c>
      <c r="AH106" s="61">
        <v>165.28141979122341</v>
      </c>
      <c r="AI106" s="20">
        <v>170.60998794436196</v>
      </c>
      <c r="AJ106" s="13">
        <v>600</v>
      </c>
    </row>
    <row r="107" spans="1:36" ht="9.9499999999999993" customHeight="1" x14ac:dyDescent="0.2">
      <c r="A107" s="20">
        <v>5.7251009970382287E-2</v>
      </c>
      <c r="B107" s="61">
        <v>6.3612072267250352E-2</v>
      </c>
      <c r="C107" s="61">
        <v>0.15902414139799059</v>
      </c>
      <c r="D107" s="61">
        <v>0.31802814751176284</v>
      </c>
      <c r="E107" s="61">
        <v>0.50880636470162788</v>
      </c>
      <c r="F107" s="61">
        <v>0.63597572101444677</v>
      </c>
      <c r="G107" s="61">
        <v>1.2716288831108258</v>
      </c>
      <c r="H107" s="61">
        <v>1.906958960806836</v>
      </c>
      <c r="I107" s="61">
        <v>2.5419654290846903</v>
      </c>
      <c r="J107" s="61">
        <v>2.8593471457558901</v>
      </c>
      <c r="K107" s="61">
        <v>3.1766477634119235</v>
      </c>
      <c r="L107" s="61">
        <v>6.3451791037700511</v>
      </c>
      <c r="M107" s="61">
        <v>12.657631746595163</v>
      </c>
      <c r="N107" s="61">
        <v>25.182296904836914</v>
      </c>
      <c r="O107" s="61">
        <v>49.816801821844862</v>
      </c>
      <c r="P107" s="61">
        <v>61.919197431671719</v>
      </c>
      <c r="Q107" s="61">
        <v>67.915179704774772</v>
      </c>
      <c r="R107" s="61">
        <v>73.873829087567927</v>
      </c>
      <c r="S107" s="61">
        <v>79.794779000344477</v>
      </c>
      <c r="T107" s="61">
        <v>85.67768403163312</v>
      </c>
      <c r="U107" s="61">
        <v>91.522220558097203</v>
      </c>
      <c r="V107" s="61">
        <v>97.328087249290164</v>
      </c>
      <c r="W107" s="61">
        <v>103.09500546130712</v>
      </c>
      <c r="X107" s="61">
        <v>108.82271952384993</v>
      </c>
      <c r="Y107" s="61">
        <v>114.51099692564073</v>
      </c>
      <c r="Z107" s="61">
        <v>120.15962840344748</v>
      </c>
      <c r="AA107" s="61">
        <v>125.76842794026086</v>
      </c>
      <c r="AB107" s="61">
        <v>131.33723267835705</v>
      </c>
      <c r="AC107" s="61">
        <v>136.86590275312699</v>
      </c>
      <c r="AD107" s="61">
        <v>142.35432105362159</v>
      </c>
      <c r="AE107" s="61">
        <v>147.80239291578792</v>
      </c>
      <c r="AF107" s="61">
        <v>153.21004575434418</v>
      </c>
      <c r="AG107" s="61">
        <v>158.57722863916342</v>
      </c>
      <c r="AH107" s="61">
        <v>163.90391182192144</v>
      </c>
      <c r="AI107" s="20">
        <v>169.19008621861201</v>
      </c>
      <c r="AJ107" s="13">
        <v>605</v>
      </c>
    </row>
    <row r="108" spans="1:36" ht="9.9499999999999993" customHeight="1" x14ac:dyDescent="0.2">
      <c r="A108" s="20">
        <v>5.6781730392640055E-2</v>
      </c>
      <c r="B108" s="61">
        <v>6.3090650722908856E-2</v>
      </c>
      <c r="C108" s="61">
        <v>0.15772059539146741</v>
      </c>
      <c r="D108" s="61">
        <v>0.31542108191213913</v>
      </c>
      <c r="E108" s="61">
        <v>0.50463511106934444</v>
      </c>
      <c r="F108" s="61">
        <v>0.63076169721135167</v>
      </c>
      <c r="G108" s="61">
        <v>1.2612012790296592</v>
      </c>
      <c r="H108" s="61">
        <v>1.8913182478551382</v>
      </c>
      <c r="I108" s="61">
        <v>2.5211121065545168</v>
      </c>
      <c r="J108" s="61">
        <v>2.8358877143851937</v>
      </c>
      <c r="K108" s="61">
        <v>3.1505823584807802</v>
      </c>
      <c r="L108" s="61">
        <v>6.2930621704250891</v>
      </c>
      <c r="M108" s="61">
        <v>12.55346732004595</v>
      </c>
      <c r="N108" s="61">
        <v>24.974356892502943</v>
      </c>
      <c r="O108" s="61">
        <v>49.403351469230564</v>
      </c>
      <c r="P108" s="61">
        <v>61.404432842489278</v>
      </c>
      <c r="Q108" s="61">
        <v>67.350205551624782</v>
      </c>
      <c r="R108" s="61">
        <v>73.258975056603603</v>
      </c>
      <c r="S108" s="61">
        <v>79.130397221848227</v>
      </c>
      <c r="T108" s="61">
        <v>84.964148188727947</v>
      </c>
      <c r="U108" s="61">
        <v>90.759924955702516</v>
      </c>
      <c r="V108" s="61">
        <v>96.517445849610411</v>
      </c>
      <c r="W108" s="61">
        <v>102.23645089200647</v>
      </c>
      <c r="X108" s="61">
        <v>107.91670206489512</v>
      </c>
      <c r="Y108" s="61">
        <v>113.55798348056597</v>
      </c>
      <c r="Z108" s="61">
        <v>119.16010146054633</v>
      </c>
      <c r="AA108" s="61">
        <v>124.72288452892415</v>
      </c>
      <c r="AB108" s="61">
        <v>130.24618332546967</v>
      </c>
      <c r="AC108" s="61">
        <v>135.72987044410957</v>
      </c>
      <c r="AD108" s="61">
        <v>141.17384020236332</v>
      </c>
      <c r="AE108" s="61">
        <v>146.57800834737512</v>
      </c>
      <c r="AF108" s="61">
        <v>151.94231170413266</v>
      </c>
      <c r="AG108" s="61">
        <v>157.26670777139748</v>
      </c>
      <c r="AH108" s="61">
        <v>162.5511742707528</v>
      </c>
      <c r="AI108" s="20">
        <v>167.79570865403659</v>
      </c>
      <c r="AJ108" s="13">
        <v>610</v>
      </c>
    </row>
    <row r="109" spans="1:36" ht="9.9499999999999993" customHeight="1" x14ac:dyDescent="0.2">
      <c r="A109" s="20">
        <v>5.6320081898850016E-2</v>
      </c>
      <c r="B109" s="61">
        <v>6.2577708221738124E-2</v>
      </c>
      <c r="C109" s="61">
        <v>0.15643824927915917</v>
      </c>
      <c r="D109" s="61">
        <v>0.31285642371128269</v>
      </c>
      <c r="E109" s="61">
        <v>0.50053172385888178</v>
      </c>
      <c r="F109" s="61">
        <v>0.62563251856743451</v>
      </c>
      <c r="G109" s="61">
        <v>1.2509434860752815</v>
      </c>
      <c r="H109" s="61">
        <v>1.8759324315286563</v>
      </c>
      <c r="I109" s="61">
        <v>2.5005988843990412</v>
      </c>
      <c r="J109" s="61">
        <v>2.8128110292076007</v>
      </c>
      <c r="K109" s="61">
        <v>3.1249423746430729</v>
      </c>
      <c r="L109" s="61">
        <v>6.2417989713057676</v>
      </c>
      <c r="M109" s="61">
        <v>12.451021284442978</v>
      </c>
      <c r="N109" s="61">
        <v>24.769892140141351</v>
      </c>
      <c r="O109" s="61">
        <v>48.996963612318375</v>
      </c>
      <c r="P109" s="61">
        <v>60.898540390653835</v>
      </c>
      <c r="Q109" s="61">
        <v>66.79500797047784</v>
      </c>
      <c r="R109" s="61">
        <v>72.654800175341848</v>
      </c>
      <c r="S109" s="61">
        <v>78.477594158134806</v>
      </c>
      <c r="T109" s="61">
        <v>84.263086496844195</v>
      </c>
      <c r="U109" s="61">
        <v>90.010993738025562</v>
      </c>
      <c r="V109" s="61">
        <v>95.721052837295602</v>
      </c>
      <c r="W109" s="61">
        <v>101.39302150062495</v>
      </c>
      <c r="X109" s="61">
        <v>107.02667843060067</v>
      </c>
      <c r="Y109" s="61">
        <v>112.62182348216105</v>
      </c>
      <c r="Z109" s="61">
        <v>118.17827773257167</v>
      </c>
      <c r="AA109" s="61">
        <v>123.69588347063176</v>
      </c>
      <c r="AB109" s="61">
        <v>129.17450411025069</v>
      </c>
      <c r="AC109" s="61">
        <v>134.61402403364215</v>
      </c>
      <c r="AD109" s="61">
        <v>140.01434836943443</v>
      </c>
      <c r="AE109" s="61">
        <v>145.37540271099925</v>
      </c>
      <c r="AF109" s="61">
        <v>150.69713278027541</v>
      </c>
      <c r="AG109" s="61">
        <v>155.97950404227706</v>
      </c>
      <c r="AH109" s="61">
        <v>161.22250127537609</v>
      </c>
      <c r="AI109" s="20">
        <v>166.42612810231125</v>
      </c>
      <c r="AJ109" s="13">
        <v>615</v>
      </c>
    </row>
    <row r="110" spans="1:36" ht="9.9499999999999993" customHeight="1" x14ac:dyDescent="0.2">
      <c r="A110" s="20">
        <v>5.5865879843435814E-2</v>
      </c>
      <c r="B110" s="61">
        <v>6.2073039597723936E-2</v>
      </c>
      <c r="C110" s="61">
        <v>0.15517658998623696</v>
      </c>
      <c r="D110" s="61">
        <v>0.31033314622738084</v>
      </c>
      <c r="E110" s="61">
        <v>0.49649455935889664</v>
      </c>
      <c r="F110" s="61">
        <v>0.62058612959412673</v>
      </c>
      <c r="G110" s="61">
        <v>1.2408513848002796</v>
      </c>
      <c r="H110" s="61">
        <v>1.8607953200099909</v>
      </c>
      <c r="I110" s="61">
        <v>2.4804174900791698</v>
      </c>
      <c r="J110" s="61">
        <v>2.7901077742099112</v>
      </c>
      <c r="K110" s="61">
        <v>3.0997174503459739</v>
      </c>
      <c r="L110" s="61">
        <v>6.1913685775173546</v>
      </c>
      <c r="M110" s="61">
        <v>12.350250989342397</v>
      </c>
      <c r="N110" s="61">
        <v>24.568814427928647</v>
      </c>
      <c r="O110" s="61">
        <v>48.59745223659823</v>
      </c>
      <c r="P110" s="61">
        <v>60.401282919002256</v>
      </c>
      <c r="Q110" s="61">
        <v>66.249323907624827</v>
      </c>
      <c r="R110" s="61">
        <v>72.061015364395928</v>
      </c>
      <c r="S110" s="61">
        <v>77.836054638939999</v>
      </c>
      <c r="T110" s="61">
        <v>83.574157691753626</v>
      </c>
      <c r="U110" s="61">
        <v>89.275059603819315</v>
      </c>
      <c r="V110" s="61">
        <v>94.938514988742554</v>
      </c>
      <c r="W110" s="61">
        <v>100.56429831106342</v>
      </c>
      <c r="X110" s="61">
        <v>106.15220411474253</v>
      </c>
      <c r="Y110" s="61">
        <v>111.70204716612547</v>
      </c>
      <c r="Z110" s="61">
        <v>117.21366251592953</v>
      </c>
      <c r="AA110" s="61">
        <v>122.68690548498627</v>
      </c>
      <c r="AB110" s="61">
        <v>128.12165157861205</v>
      </c>
      <c r="AC110" s="61">
        <v>133.51779633456846</v>
      </c>
      <c r="AD110" s="61">
        <v>138.87525510961595</v>
      </c>
      <c r="AE110" s="61">
        <v>144.19396280966427</v>
      </c>
      <c r="AF110" s="61">
        <v>149.47387356848907</v>
      </c>
      <c r="AG110" s="61">
        <v>154.71496037990536</v>
      </c>
      <c r="AH110" s="61">
        <v>159.91721468818702</v>
      </c>
      <c r="AI110" s="20">
        <v>165.08064594139256</v>
      </c>
      <c r="AJ110" s="13">
        <v>620</v>
      </c>
    </row>
    <row r="111" spans="1:36" ht="9.9499999999999993" customHeight="1" x14ac:dyDescent="0.2">
      <c r="A111" s="20">
        <v>5.5418945490539842E-2</v>
      </c>
      <c r="B111" s="61">
        <v>6.1576446251473405E-2</v>
      </c>
      <c r="C111" s="61">
        <v>0.15393512086444619</v>
      </c>
      <c r="D111" s="61">
        <v>0.30785025566514856</v>
      </c>
      <c r="E111" s="61">
        <v>0.49252202654051808</v>
      </c>
      <c r="F111" s="61">
        <v>0.61562054070926409</v>
      </c>
      <c r="G111" s="61">
        <v>1.2309209881020584</v>
      </c>
      <c r="H111" s="61">
        <v>1.8459009207942294</v>
      </c>
      <c r="I111" s="61">
        <v>2.4605599178624025</v>
      </c>
      <c r="J111" s="61">
        <v>2.767768934129121</v>
      </c>
      <c r="K111" s="61">
        <v>3.0748975588609966</v>
      </c>
      <c r="L111" s="61">
        <v>6.1417507428317659</v>
      </c>
      <c r="M111" s="61">
        <v>12.251115200223003</v>
      </c>
      <c r="N111" s="61">
        <v>24.371038557525825</v>
      </c>
      <c r="O111" s="61">
        <v>48.204638016218894</v>
      </c>
      <c r="P111" s="61">
        <v>59.912431958626428</v>
      </c>
      <c r="Q111" s="61">
        <v>65.712900024824307</v>
      </c>
      <c r="R111" s="61">
        <v>71.477342299960895</v>
      </c>
      <c r="S111" s="61">
        <v>77.205475298632635</v>
      </c>
      <c r="T111" s="61">
        <v>82.897033367968774</v>
      </c>
      <c r="U111" s="61">
        <v>88.551769165967684</v>
      </c>
      <c r="V111" s="61">
        <v>94.169454047507713</v>
      </c>
      <c r="W111" s="61">
        <v>99.749878361555474</v>
      </c>
      <c r="X111" s="61">
        <v>105.292851663414</v>
      </c>
      <c r="Y111" s="61">
        <v>110.79820284612306</v>
      </c>
      <c r="Z111" s="61">
        <v>116.26578019533869</v>
      </c>
      <c r="AA111" s="61">
        <v>121.69545137219191</v>
      </c>
      <c r="AB111" s="61">
        <v>127.08710332874266</v>
      </c>
      <c r="AC111" s="61">
        <v>132.44064216072394</v>
      </c>
      <c r="AD111" s="61">
        <v>137.75599290230656</v>
      </c>
      <c r="AE111" s="61">
        <v>143.03309926760551</v>
      </c>
      <c r="AF111" s="61">
        <v>148.27192334361479</v>
      </c>
      <c r="AG111" s="61">
        <v>153.47244523918181</v>
      </c>
      <c r="AH111" s="61">
        <v>158.63466269452917</v>
      </c>
      <c r="AI111" s="20">
        <v>163.75859065571603</v>
      </c>
      <c r="AJ111" s="13">
        <v>625</v>
      </c>
    </row>
    <row r="112" spans="1:36" ht="9.9499999999999993" customHeight="1" x14ac:dyDescent="0.2">
      <c r="A112" s="20">
        <v>5.497910577945446E-2</v>
      </c>
      <c r="B112" s="61">
        <v>6.1087735889565932E-2</v>
      </c>
      <c r="C112" s="61">
        <v>0.15271336103982563</v>
      </c>
      <c r="D112" s="61">
        <v>0.30540678980907893</v>
      </c>
      <c r="E112" s="61">
        <v>0.48861258496234972</v>
      </c>
      <c r="F112" s="61">
        <v>0.61073382561483847</v>
      </c>
      <c r="G112" s="61">
        <v>1.2211484359434124</v>
      </c>
      <c r="H112" s="61">
        <v>1.8312434327175136</v>
      </c>
      <c r="I112" s="61">
        <v>2.4410184181247332</v>
      </c>
      <c r="J112" s="61">
        <v>2.7457857823779959</v>
      </c>
      <c r="K112" s="61">
        <v>3.050472994824629</v>
      </c>
      <c r="L112" s="61">
        <v>6.0929258759082208</v>
      </c>
      <c r="M112" s="61">
        <v>12.153574039556126</v>
      </c>
      <c r="N112" s="61">
        <v>24.176482221387726</v>
      </c>
      <c r="O112" s="61">
        <v>47.818348007747588</v>
      </c>
      <c r="P112" s="61">
        <v>59.431767322753544</v>
      </c>
      <c r="Q112" s="61">
        <v>65.185492241153312</v>
      </c>
      <c r="R112" s="61">
        <v>70.903512902614708</v>
      </c>
      <c r="S112" s="61">
        <v>76.585564011222758</v>
      </c>
      <c r="T112" s="61">
        <v>82.23139735948736</v>
      </c>
      <c r="U112" s="61">
        <v>87.840782277764987</v>
      </c>
      <c r="V112" s="61">
        <v>93.413505996179325</v>
      </c>
      <c r="W112" s="61">
        <v>98.949373922440373</v>
      </c>
      <c r="X112" s="61">
        <v>104.44820983925108</v>
      </c>
      <c r="Y112" s="61">
        <v>109.90985602523368</v>
      </c>
      <c r="Z112" s="61">
        <v>115.33417330349691</v>
      </c>
      <c r="AA112" s="61">
        <v>120.72104102212123</v>
      </c>
      <c r="AB112" s="61">
        <v>126.07035697094076</v>
      </c>
      <c r="AC112" s="61">
        <v>131.38203723906835</v>
      </c>
      <c r="AD112" s="61">
        <v>136.6560160176322</v>
      </c>
      <c r="AE112" s="61">
        <v>141.89224535219131</v>
      </c>
      <c r="AF112" s="61">
        <v>147.09069484924211</v>
      </c>
      <c r="AG112" s="61">
        <v>152.25135134117579</v>
      </c>
      <c r="AH112" s="61">
        <v>157.37421851392955</v>
      </c>
      <c r="AI112" s="20">
        <v>162.45931650147224</v>
      </c>
      <c r="AJ112" s="13">
        <v>630</v>
      </c>
    </row>
    <row r="113" spans="1:36" ht="9.9499999999999993" customHeight="1" x14ac:dyDescent="0.2">
      <c r="A113" s="20">
        <v>5.4546193101138854E-2</v>
      </c>
      <c r="B113" s="61">
        <v>6.060672227622161E-2</v>
      </c>
      <c r="C113" s="61">
        <v>0.15151084479127014</v>
      </c>
      <c r="D113" s="61">
        <v>0.30300181677853272</v>
      </c>
      <c r="E113" s="61">
        <v>0.48476474277470699</v>
      </c>
      <c r="F113" s="61">
        <v>0.60592411879904262</v>
      </c>
      <c r="G113" s="61">
        <v>1.2115299903241621</v>
      </c>
      <c r="H113" s="61">
        <v>1.8168172383659316</v>
      </c>
      <c r="I113" s="61">
        <v>2.4217854871645352</v>
      </c>
      <c r="J113" s="61">
        <v>2.7241498695494437</v>
      </c>
      <c r="K113" s="61">
        <v>3.0264343614251774</v>
      </c>
      <c r="L113" s="61">
        <v>6.0448750138677516</v>
      </c>
      <c r="M113" s="61">
        <v>12.057588930825732</v>
      </c>
      <c r="N113" s="61">
        <v>23.985065878911861</v>
      </c>
      <c r="O113" s="61">
        <v>47.438415360979384</v>
      </c>
      <c r="P113" s="61">
        <v>58.959076723726405</v>
      </c>
      <c r="Q113" s="61">
        <v>64.666865301152725</v>
      </c>
      <c r="R113" s="61">
        <v>70.339268855689809</v>
      </c>
      <c r="S113" s="61">
        <v>75.976039358274676</v>
      </c>
      <c r="T113" s="61">
        <v>81.576945156816436</v>
      </c>
      <c r="U113" s="61">
        <v>87.141771398866538</v>
      </c>
      <c r="V113" s="61">
        <v>92.670320371311576</v>
      </c>
      <c r="W113" s="61">
        <v>98.162411760366027</v>
      </c>
      <c r="X113" s="61">
        <v>103.61788283540862</v>
      </c>
      <c r="Y113" s="61">
        <v>109.03658856041841</v>
      </c>
      <c r="Z113" s="61">
        <v>114.41840163694327</v>
      </c>
      <c r="AA113" s="61">
        <v>119.76321248266366</v>
      </c>
      <c r="AB113" s="61">
        <v>125.07092914970848</v>
      </c>
      <c r="AC113" s="61">
        <v>130.34147718693453</v>
      </c>
      <c r="AD113" s="61">
        <v>135.57479945040032</v>
      </c>
      <c r="AE113" s="61">
        <v>140.77085586624972</v>
      </c>
      <c r="AF113" s="61">
        <v>145.92962315018275</v>
      </c>
      <c r="AG113" s="61">
        <v>151.05109448761772</v>
      </c>
      <c r="AH113" s="61">
        <v>156.13527917855353</v>
      </c>
      <c r="AI113" s="20">
        <v>161.18220225103448</v>
      </c>
      <c r="AJ113" s="13">
        <v>635</v>
      </c>
    </row>
    <row r="114" spans="1:36" ht="9.9499999999999993" customHeight="1" x14ac:dyDescent="0.2">
      <c r="A114" s="20">
        <v>5.4120045085214299E-2</v>
      </c>
      <c r="B114" s="61">
        <v>6.0133224996614762E-2</v>
      </c>
      <c r="C114" s="61">
        <v>0.1503271209582448</v>
      </c>
      <c r="D114" s="61">
        <v>0.30063443384127692</v>
      </c>
      <c r="E114" s="61">
        <v>0.48097705481765218</v>
      </c>
      <c r="F114" s="61">
        <v>0.60118961315579456</v>
      </c>
      <c r="G114" s="61">
        <v>1.2020620304900158</v>
      </c>
      <c r="H114" s="61">
        <v>1.8026168968436425</v>
      </c>
      <c r="I114" s="61">
        <v>2.4028538575000598</v>
      </c>
      <c r="J114" s="61">
        <v>2.7028530124674566</v>
      </c>
      <c r="K114" s="61">
        <v>3.002772558199736</v>
      </c>
      <c r="L114" s="61">
        <v>5.997579797144577</v>
      </c>
      <c r="M114" s="61">
        <v>11.963122545326318</v>
      </c>
      <c r="N114" s="61">
        <v>23.796712639006834</v>
      </c>
      <c r="O114" s="61">
        <v>47.064679045679597</v>
      </c>
      <c r="P114" s="61">
        <v>58.494155411537768</v>
      </c>
      <c r="Q114" s="61">
        <v>64.156792367489118</v>
      </c>
      <c r="R114" s="61">
        <v>69.784361151198922</v>
      </c>
      <c r="S114" s="61">
        <v>75.376630127470364</v>
      </c>
      <c r="T114" s="61">
        <v>80.93338335777716</v>
      </c>
      <c r="U114" s="61">
        <v>86.454420998166739</v>
      </c>
      <c r="V114" s="61">
        <v>91.939559618427609</v>
      </c>
      <c r="W114" s="61">
        <v>97.3886324456832</v>
      </c>
      <c r="X114" s="61">
        <v>102.80148953581161</v>
      </c>
      <c r="Y114" s="61">
        <v>108.17799787628527</v>
      </c>
      <c r="Z114" s="61">
        <v>113.51804142417751</v>
      </c>
      <c r="AA114" s="61">
        <v>118.82152108320514</v>
      </c>
      <c r="AB114" s="61">
        <v>124.0883546237483</v>
      </c>
      <c r="AC114" s="61">
        <v>129.31847654984341</v>
      </c>
      <c r="AD114" s="61">
        <v>134.51183791715363</v>
      </c>
      <c r="AE114" s="61">
        <v>139.66840610590398</v>
      </c>
      <c r="AF114" s="61">
        <v>144.78816455272676</v>
      </c>
      <c r="AG114" s="61">
        <v>149.87111244529655</v>
      </c>
      <c r="AH114" s="61">
        <v>154.91726438353766</v>
      </c>
      <c r="AI114" s="20">
        <v>159.92665001108378</v>
      </c>
      <c r="AJ114" s="13">
        <v>640</v>
      </c>
    </row>
    <row r="115" spans="1:36" ht="9.9499999999999993" customHeight="1" x14ac:dyDescent="0.2">
      <c r="A115" s="20">
        <v>5.3700504396869859E-2</v>
      </c>
      <c r="B115" s="61">
        <v>5.9667069231199243E-2</v>
      </c>
      <c r="C115" s="61">
        <v>0.14916175237607099</v>
      </c>
      <c r="D115" s="61">
        <v>0.29830376628229605</v>
      </c>
      <c r="E115" s="61">
        <v>0.47724812080771606</v>
      </c>
      <c r="F115" s="61">
        <v>0.59652855771532609</v>
      </c>
      <c r="G115" s="61">
        <v>1.192741048365686</v>
      </c>
      <c r="H115" s="61">
        <v>1.7886371368805773</v>
      </c>
      <c r="I115" s="61">
        <v>2.3842164886238248</v>
      </c>
      <c r="J115" s="61">
        <v>2.6818872837544889</v>
      </c>
      <c r="K115" s="61">
        <v>2.9794787694075935</v>
      </c>
      <c r="L115" s="61">
        <v>5.9510224455426908</v>
      </c>
      <c r="M115" s="61">
        <v>11.870138751577358</v>
      </c>
      <c r="N115" s="61">
        <v>23.61134814868964</v>
      </c>
      <c r="O115" s="61">
        <v>46.69698359322539</v>
      </c>
      <c r="P115" s="61">
        <v>58.036805832491844</v>
      </c>
      <c r="Q115" s="61">
        <v>63.655054636497823</v>
      </c>
      <c r="R115" s="61">
        <v>69.238549661464333</v>
      </c>
      <c r="S115" s="61">
        <v>74.78707483974739</v>
      </c>
      <c r="T115" s="61">
        <v>80.300429149789906</v>
      </c>
      <c r="U115" s="61">
        <v>85.778426991078376</v>
      </c>
      <c r="V115" s="61">
        <v>91.220898484343422</v>
      </c>
      <c r="W115" s="61">
        <v>96.627689700057928</v>
      </c>
      <c r="X115" s="61">
        <v>101.99866281848971</v>
      </c>
      <c r="Y115" s="61">
        <v>107.33369622475227</v>
      </c>
      <c r="Z115" s="61">
        <v>112.63268454242476</v>
      </c>
      <c r="AA115" s="61">
        <v>117.89553860942009</v>
      </c>
      <c r="AB115" s="61">
        <v>123.12218539985236</v>
      </c>
      <c r="AC115" s="61">
        <v>128.31256789568687</v>
      </c>
      <c r="AD115" s="61">
        <v>133.46664491196788</v>
      </c>
      <c r="AE115" s="61">
        <v>138.58439087939968</v>
      </c>
      <c r="AF115" s="61">
        <v>143.66579558800942</v>
      </c>
      <c r="AG115" s="61">
        <v>148.7108638955595</v>
      </c>
      <c r="AH115" s="61">
        <v>153.71961540427981</v>
      </c>
      <c r="AI115" s="20">
        <v>158.69208410940197</v>
      </c>
      <c r="AJ115" s="13">
        <v>645</v>
      </c>
    </row>
    <row r="116" spans="1:36" ht="9.9499999999999993" customHeight="1" x14ac:dyDescent="0.2">
      <c r="A116" s="20">
        <v>5.3287418543144109E-2</v>
      </c>
      <c r="B116" s="61">
        <v>5.92080855404526E-2</v>
      </c>
      <c r="C116" s="61">
        <v>0.14801431533729567</v>
      </c>
      <c r="D116" s="61">
        <v>0.29600896632489515</v>
      </c>
      <c r="E116" s="61">
        <v>0.47357658360852167</v>
      </c>
      <c r="F116" s="61">
        <v>0.59193925547984871</v>
      </c>
      <c r="G116" s="61">
        <v>1.1835636442000961</v>
      </c>
      <c r="H116" s="61">
        <v>1.7748728502611615</v>
      </c>
      <c r="I116" s="61">
        <v>2.3658665581889911</v>
      </c>
      <c r="J116" s="61">
        <v>2.6612450018869476</v>
      </c>
      <c r="K116" s="61">
        <v>2.9565444529484273</v>
      </c>
      <c r="L116" s="61">
        <v>5.9051857354302797</v>
      </c>
      <c r="M116" s="61">
        <v>11.778602567203938</v>
      </c>
      <c r="N116" s="61">
        <v>23.428900487348812</v>
      </c>
      <c r="O116" s="61">
        <v>46.335178852190722</v>
      </c>
      <c r="P116" s="61">
        <v>57.586837306674468</v>
      </c>
      <c r="Q116" s="61">
        <v>63.161440975092844</v>
      </c>
      <c r="R116" s="61">
        <v>68.701602734737421</v>
      </c>
      <c r="S116" s="61">
        <v>74.207121303097651</v>
      </c>
      <c r="T116" s="61">
        <v>79.677809821519645</v>
      </c>
      <c r="U116" s="61">
        <v>85.113496208884712</v>
      </c>
      <c r="V116" s="61">
        <v>90.514023444274699</v>
      </c>
      <c r="W116" s="61">
        <v>95.879249781560432</v>
      </c>
      <c r="X116" s="61">
        <v>101.20904889904634</v>
      </c>
      <c r="Y116" s="61">
        <v>106.50330998746178</v>
      </c>
      <c r="Z116" s="61">
        <v>111.76193777970707</v>
      </c>
      <c r="AA116" s="61">
        <v>116.9848525258576</v>
      </c>
      <c r="AB116" s="61">
        <v>122.17198991699055</v>
      </c>
      <c r="AC116" s="61">
        <v>127.32330096142405</v>
      </c>
      <c r="AD116" s="61">
        <v>132.43875181696689</v>
      </c>
      <c r="AE116" s="61">
        <v>137.51832358275269</v>
      </c>
      <c r="AF116" s="61">
        <v>142.56201205418893</v>
      </c>
      <c r="AG116" s="61">
        <v>147.56982744448578</v>
      </c>
      <c r="AH116" s="61">
        <v>152.54179407614419</v>
      </c>
      <c r="AI116" s="20">
        <v>157.47795004568891</v>
      </c>
      <c r="AJ116" s="13">
        <v>650</v>
      </c>
    </row>
    <row r="117" spans="1:36" ht="9.9499999999999993" customHeight="1" x14ac:dyDescent="0.2">
      <c r="A117" s="20">
        <v>5.2880639688081786E-2</v>
      </c>
      <c r="B117" s="61">
        <v>5.8756109659483066E-2</v>
      </c>
      <c r="C117" s="61">
        <v>0.1468843990777508</v>
      </c>
      <c r="D117" s="61">
        <v>0.29374921210129129</v>
      </c>
      <c r="E117" s="61">
        <v>0.46996112758080694</v>
      </c>
      <c r="F117" s="61">
        <v>0.58742006135864333</v>
      </c>
      <c r="G117" s="61">
        <v>1.1745265224122545</v>
      </c>
      <c r="H117" s="61">
        <v>1.7613190855567722</v>
      </c>
      <c r="I117" s="61">
        <v>2.347797453604259</v>
      </c>
      <c r="J117" s="61">
        <v>2.6409187217123176</v>
      </c>
      <c r="K117" s="61">
        <v>2.9339613297956699</v>
      </c>
      <c r="L117" s="61">
        <v>5.8600529780091435</v>
      </c>
      <c r="M117" s="61">
        <v>11.688480113143264</v>
      </c>
      <c r="N117" s="61">
        <v>23.249300066335007</v>
      </c>
      <c r="O117" s="61">
        <v>45.979119756989817</v>
      </c>
      <c r="P117" s="61">
        <v>57.144065723011053</v>
      </c>
      <c r="Q117" s="61">
        <v>62.675747577648025</v>
      </c>
      <c r="R117" s="61">
        <v>68.173296813228873</v>
      </c>
      <c r="S117" s="61">
        <v>73.636526191259463</v>
      </c>
      <c r="T117" s="61">
        <v>79.065262301922843</v>
      </c>
      <c r="U117" s="61">
        <v>84.459345898016565</v>
      </c>
      <c r="V117" s="61">
        <v>89.818632161388408</v>
      </c>
      <c r="W117" s="61">
        <v>95.142990904704689</v>
      </c>
      <c r="X117" s="61">
        <v>100.43230671155686</v>
      </c>
      <c r="Y117" s="61">
        <v>105.68647901805379</v>
      </c>
      <c r="Z117" s="61">
        <v>110.90542213915521</v>
      </c>
      <c r="AA117" s="61">
        <v>116.08906524308176</v>
      </c>
      <c r="AB117" s="61">
        <v>121.23735227719079</v>
      </c>
      <c r="AC117" s="61">
        <v>126.35024184872603</v>
      </c>
      <c r="AD117" s="61">
        <v>131.42770706385477</v>
      </c>
      <c r="AE117" s="61">
        <v>136.46973532837964</v>
      </c>
      <c r="AF117" s="61">
        <v>141.47632811346386</v>
      </c>
      <c r="AG117" s="61">
        <v>146.44750068965357</v>
      </c>
      <c r="AH117" s="61">
        <v>151.38328183239088</v>
      </c>
      <c r="AI117" s="20">
        <v>156.28371350212373</v>
      </c>
      <c r="AJ117" s="13">
        <v>655</v>
      </c>
    </row>
    <row r="118" spans="1:36" ht="9.9499999999999993" customHeight="1" x14ac:dyDescent="0.2">
      <c r="A118" s="20">
        <v>5.2480024476295253E-2</v>
      </c>
      <c r="B118" s="61">
        <v>5.8310982301974554E-2</v>
      </c>
      <c r="C118" s="61">
        <v>0.1457716052859892</v>
      </c>
      <c r="D118" s="61">
        <v>0.29152370667006988</v>
      </c>
      <c r="E118" s="61">
        <v>0.46640047700762693</v>
      </c>
      <c r="F118" s="61">
        <v>0.58296938019729716</v>
      </c>
      <c r="G118" s="61">
        <v>1.1656264876270752</v>
      </c>
      <c r="H118" s="61">
        <v>1.7479710421455881</v>
      </c>
      <c r="I118" s="61">
        <v>2.3300027640153256</v>
      </c>
      <c r="J118" s="61">
        <v>2.6209012254030131</v>
      </c>
      <c r="K118" s="61">
        <v>2.911721373917195</v>
      </c>
      <c r="L118" s="61">
        <v>5.8156079985999938</v>
      </c>
      <c r="M118" s="61">
        <v>11.599738570045332</v>
      </c>
      <c r="N118" s="61">
        <v>23.072479533563808</v>
      </c>
      <c r="O118" s="61">
        <v>45.628666108757066</v>
      </c>
      <c r="P118" s="61">
        <v>56.708313250785309</v>
      </c>
      <c r="Q118" s="61">
        <v>62.197777641556584</v>
      </c>
      <c r="R118" s="61">
        <v>67.653416072088532</v>
      </c>
      <c r="S118" s="61">
        <v>73.07505464566745</v>
      </c>
      <c r="T118" s="61">
        <v>78.462532724890409</v>
      </c>
      <c r="U118" s="61">
        <v>83.81570324726988</v>
      </c>
      <c r="V118" s="61">
        <v>89.134432976641321</v>
      </c>
      <c r="W118" s="61">
        <v>94.418602693104546</v>
      </c>
      <c r="X118" s="61">
        <v>99.668107324384962</v>
      </c>
      <c r="Y118" s="61">
        <v>104.8828560216263</v>
      </c>
      <c r="Z118" s="61">
        <v>110.06277218272342</v>
      </c>
      <c r="AA118" s="61">
        <v>115.20779342637437</v>
      </c>
      <c r="AB118" s="61">
        <v>120.31787152007342</v>
      </c>
      <c r="AC118" s="61">
        <v>125.39297226528564</v>
      </c>
      <c r="AD118" s="61">
        <v>130.43307534304125</v>
      </c>
      <c r="AE118" s="61">
        <v>135.43817412315946</v>
      </c>
      <c r="AF118" s="61">
        <v>140.40827544026703</v>
      </c>
      <c r="AG118" s="61">
        <v>145.34339933972171</v>
      </c>
      <c r="AH118" s="61">
        <v>150.24357879645871</v>
      </c>
      <c r="AI118" s="20">
        <v>155.10885940970616</v>
      </c>
      <c r="AJ118" s="13">
        <v>660</v>
      </c>
    </row>
    <row r="119" spans="1:36" ht="9.9499999999999993" customHeight="1" x14ac:dyDescent="0.2">
      <c r="A119" s="20">
        <v>5.2085433864486899E-2</v>
      </c>
      <c r="B119" s="61">
        <v>5.7872548972979283E-2</v>
      </c>
      <c r="C119" s="61">
        <v>0.14467554763487009</v>
      </c>
      <c r="D119" s="61">
        <v>0.28933167707802721</v>
      </c>
      <c r="E119" s="61">
        <v>0.46289339459076934</v>
      </c>
      <c r="F119" s="61">
        <v>0.57858566489610852</v>
      </c>
      <c r="G119" s="61">
        <v>1.1568604408910848</v>
      </c>
      <c r="H119" s="61">
        <v>1.734824064504596</v>
      </c>
      <c r="I119" s="61">
        <v>2.3124762726522579</v>
      </c>
      <c r="J119" s="61">
        <v>2.6011855138236601</v>
      </c>
      <c r="K119" s="61">
        <v>2.8898168026572755</v>
      </c>
      <c r="L119" s="61">
        <v>5.7718351168885329</v>
      </c>
      <c r="M119" s="61">
        <v>11.512346136745384</v>
      </c>
      <c r="N119" s="61">
        <v>22.898373682837857</v>
      </c>
      <c r="O119" s="61">
        <v>45.283682367702809</v>
      </c>
      <c r="P119" s="61">
        <v>56.279408066570809</v>
      </c>
      <c r="Q119" s="61">
        <v>61.727341060271662</v>
      </c>
      <c r="R119" s="61">
        <v>67.141752077981693</v>
      </c>
      <c r="S119" s="61">
        <v>72.522479899153183</v>
      </c>
      <c r="T119" s="61">
        <v>77.869376017813437</v>
      </c>
      <c r="U119" s="61">
        <v>83.182304941134291</v>
      </c>
      <c r="V119" s="61">
        <v>88.461144426912583</v>
      </c>
      <c r="W119" s="61">
        <v>93.705785662594238</v>
      </c>
      <c r="X119" s="61">
        <v>98.916133388611541</v>
      </c>
      <c r="Y119" s="61">
        <v>104.09210596891886</v>
      </c>
      <c r="Z119" s="61">
        <v>109.23363541169432</v>
      </c>
      <c r="AA119" s="61">
        <v>114.34066734323828</v>
      </c>
      <c r="AB119" s="61">
        <v>119.41316093813592</v>
      </c>
      <c r="AC119" s="61">
        <v>124.45108880876204</v>
      </c>
      <c r="AD119" s="61">
        <v>129.45443685720525</v>
      </c>
      <c r="AE119" s="61">
        <v>134.42320409265474</v>
      </c>
      <c r="AF119" s="61">
        <v>139.35740241725014</v>
      </c>
      <c r="AG119" s="61">
        <v>144.25705638334253</v>
      </c>
      <c r="AH119" s="61">
        <v>149.12220292502468</v>
      </c>
      <c r="AI119" s="20">
        <v>153.9528910667174</v>
      </c>
      <c r="AJ119" s="13">
        <v>665</v>
      </c>
    </row>
    <row r="120" spans="1:36" ht="9.9499999999999993" customHeight="1" x14ac:dyDescent="0.2">
      <c r="A120" s="20">
        <v>5.169673296051798E-2</v>
      </c>
      <c r="B120" s="61">
        <v>5.7440659790095223E-2</v>
      </c>
      <c r="C120" s="61">
        <v>0.14359585133413114</v>
      </c>
      <c r="D120" s="61">
        <v>0.28717237346408625</v>
      </c>
      <c r="E120" s="61">
        <v>0.45943868001464699</v>
      </c>
      <c r="F120" s="61">
        <v>0.57426741461298181</v>
      </c>
      <c r="G120" s="61">
        <v>1.1482253760585464</v>
      </c>
      <c r="H120" s="61">
        <v>1.7218736367593526</v>
      </c>
      <c r="I120" s="61">
        <v>2.29521194952342</v>
      </c>
      <c r="J120" s="61">
        <v>2.5817647982897931</v>
      </c>
      <c r="K120" s="61">
        <v>2.8682400675552473</v>
      </c>
      <c r="L120" s="61">
        <v>5.7287191280802192</v>
      </c>
      <c r="M120" s="61">
        <v>11.426271990692701</v>
      </c>
      <c r="N120" s="61">
        <v>22.726919367613483</v>
      </c>
      <c r="O120" s="61">
        <v>44.944037456236622</v>
      </c>
      <c r="P120" s="61">
        <v>55.857184095609</v>
      </c>
      <c r="Q120" s="61">
        <v>61.264254132720176</v>
      </c>
      <c r="R120" s="61">
        <v>66.638103466013121</v>
      </c>
      <c r="S120" s="61">
        <v>71.978582919996796</v>
      </c>
      <c r="T120" s="61">
        <v>77.285555512527338</v>
      </c>
      <c r="U120" s="61">
        <v>82.558896737534184</v>
      </c>
      <c r="V120" s="61">
        <v>87.798494789584225</v>
      </c>
      <c r="W120" s="61">
        <v>93.004250732820708</v>
      </c>
      <c r="X120" s="61">
        <v>98.176078616935001</v>
      </c>
      <c r="Y120" s="61">
        <v>103.31390554293648</v>
      </c>
      <c r="Z120" s="61">
        <v>108.41767168155199</v>
      </c>
      <c r="AA120" s="61">
        <v>113.48733024715106</v>
      </c>
      <c r="AB120" s="61">
        <v>118.52284743011029</v>
      </c>
      <c r="AC120" s="61">
        <v>123.5242022905518</v>
      </c>
      <c r="AD120" s="61">
        <v>128.49138661637318</v>
      </c>
      <c r="AE120" s="61">
        <v>133.42440474845949</v>
      </c>
      <c r="AF120" s="61">
        <v>138.32327337592591</v>
      </c>
      <c r="AG120" s="61">
        <v>143.18802130418106</v>
      </c>
      <c r="AH120" s="61">
        <v>148.01868919852416</v>
      </c>
      <c r="AI120" s="20">
        <v>152.81532930591379</v>
      </c>
      <c r="AJ120" s="13">
        <v>670</v>
      </c>
    </row>
    <row r="121" spans="1:36" ht="9.9499999999999993" customHeight="1" x14ac:dyDescent="0.2">
      <c r="A121" s="20">
        <v>5.1313790869631268E-2</v>
      </c>
      <c r="B121" s="61">
        <v>5.7015169312593407E-2</v>
      </c>
      <c r="C121" s="61">
        <v>0.14253215270286224</v>
      </c>
      <c r="D121" s="61">
        <v>0.28504506820308867</v>
      </c>
      <c r="E121" s="61">
        <v>0.45603516857416337</v>
      </c>
      <c r="F121" s="61">
        <v>0.57001317304641985</v>
      </c>
      <c r="G121" s="61">
        <v>1.1397183763390957</v>
      </c>
      <c r="H121" s="61">
        <v>1.7091153774780183</v>
      </c>
      <c r="I121" s="61">
        <v>2.2782039444377196</v>
      </c>
      <c r="J121" s="61">
        <v>2.562632492697436</v>
      </c>
      <c r="K121" s="61">
        <v>2.8469838455779031</v>
      </c>
      <c r="L121" s="61">
        <v>5.68624528491529</v>
      </c>
      <c r="M121" s="61">
        <v>11.341486250228375</v>
      </c>
      <c r="N121" s="61">
        <v>22.558055418956972</v>
      </c>
      <c r="O121" s="61">
        <v>44.609604572201775</v>
      </c>
      <c r="P121" s="61">
        <v>55.44148076673131</v>
      </c>
      <c r="Q121" s="61">
        <v>60.808339288062697</v>
      </c>
      <c r="R121" s="61">
        <v>66.142275633835084</v>
      </c>
      <c r="S121" s="61">
        <v>71.44315207503476</v>
      </c>
      <c r="T121" s="61">
        <v>76.71084257720311</v>
      </c>
      <c r="U121" s="61">
        <v>81.945233068417181</v>
      </c>
      <c r="V121" s="61">
        <v>87.146221651866242</v>
      </c>
      <c r="W121" s="61">
        <v>92.313718765467058</v>
      </c>
      <c r="X121" s="61">
        <v>97.447647291070851</v>
      </c>
      <c r="Y121" s="61">
        <v>102.54794261590976</v>
      </c>
      <c r="Z121" s="61">
        <v>107.61455264899269</v>
      </c>
      <c r="AA121" s="61">
        <v>112.64743779520744</v>
      </c>
      <c r="AB121" s="61">
        <v>117.64657088991177</v>
      </c>
      <c r="AC121" s="61">
        <v>122.61193709679829</v>
      </c>
      <c r="AD121" s="61">
        <v>127.54353377181437</v>
      </c>
      <c r="AE121" s="61">
        <v>132.44137029587444</v>
      </c>
      <c r="AF121" s="61">
        <v>137.30546787907505</v>
      </c>
      <c r="AG121" s="61">
        <v>142.1358593390548</v>
      </c>
      <c r="AH121" s="61">
        <v>146.93258885607347</v>
      </c>
      <c r="AI121" s="20">
        <v>151.69571170731075</v>
      </c>
      <c r="AJ121" s="13">
        <v>675</v>
      </c>
    </row>
    <row r="122" spans="1:36" ht="9.9499999999999993" customHeight="1" x14ac:dyDescent="0.2">
      <c r="A122" s="20">
        <v>5.0936480547460312E-2</v>
      </c>
      <c r="B122" s="61">
        <v>5.6595936378085895E-2</v>
      </c>
      <c r="C122" s="61">
        <v>0.14148409876085263</v>
      </c>
      <c r="D122" s="61">
        <v>0.28294905508741947</v>
      </c>
      <c r="E122" s="61">
        <v>0.45268172986324712</v>
      </c>
      <c r="F122" s="61">
        <v>0.5658215267944805</v>
      </c>
      <c r="G122" s="61">
        <v>1.1313366109985372</v>
      </c>
      <c r="H122" s="61">
        <v>1.6965450346969488</v>
      </c>
      <c r="I122" s="61">
        <v>2.2614465803380503</v>
      </c>
      <c r="J122" s="61">
        <v>2.5437822060041366</v>
      </c>
      <c r="K122" s="61">
        <v>2.8260410307439177</v>
      </c>
      <c r="L122" s="61">
        <v>5.6443992804981269</v>
      </c>
      <c r="M122" s="61">
        <v>11.257959938610924</v>
      </c>
      <c r="N122" s="61">
        <v>22.391722567451176</v>
      </c>
      <c r="O122" s="61">
        <v>44.280261011609838</v>
      </c>
      <c r="P122" s="61">
        <v>55.032142779992753</v>
      </c>
      <c r="Q122" s="61">
        <v>60.359424824844027</v>
      </c>
      <c r="R122" s="61">
        <v>65.654080451867145</v>
      </c>
      <c r="S122" s="61">
        <v>70.915982810625067</v>
      </c>
      <c r="T122" s="61">
        <v>76.145016267858708</v>
      </c>
      <c r="U122" s="61">
        <v>81.341076661734519</v>
      </c>
      <c r="V122" s="61">
        <v>86.5040715032858</v>
      </c>
      <c r="W122" s="61">
        <v>91.633920127401538</v>
      </c>
      <c r="X122" s="61">
        <v>96.730553795816235</v>
      </c>
      <c r="Y122" s="61">
        <v>101.79391575463706</v>
      </c>
      <c r="Z122" s="61">
        <v>106.82396124899645</v>
      </c>
      <c r="AA122" s="61">
        <v>111.82065749746712</v>
      </c>
      <c r="AB122" s="61">
        <v>116.78398362888403</v>
      </c>
      <c r="AC122" s="61">
        <v>121.71393058423496</v>
      </c>
      <c r="AD122" s="61">
        <v>126.61050098625081</v>
      </c>
      <c r="AE122" s="61">
        <v>131.47370897931168</v>
      </c>
      <c r="AF122" s="61">
        <v>136.30358004223035</v>
      </c>
      <c r="AG122" s="61">
        <v>141.10015077642879</v>
      </c>
      <c r="AH122" s="61">
        <v>145.86346867194601</v>
      </c>
      <c r="AI122" s="20">
        <v>150.5935918536521</v>
      </c>
      <c r="AJ122" s="13">
        <v>680</v>
      </c>
    </row>
    <row r="123" spans="1:36" ht="9.9499999999999993" customHeight="1" x14ac:dyDescent="0.2">
      <c r="A123" s="20">
        <v>5.0564678659476885E-2</v>
      </c>
      <c r="B123" s="61">
        <v>5.618282394634877E-2</v>
      </c>
      <c r="C123" s="61">
        <v>0.14045134683784788</v>
      </c>
      <c r="D123" s="61">
        <v>0.28088364854451581</v>
      </c>
      <c r="E123" s="61">
        <v>0.44937726652094895</v>
      </c>
      <c r="F123" s="61">
        <v>0.56169110378579279</v>
      </c>
      <c r="G123" s="61">
        <v>1.1230773322049021</v>
      </c>
      <c r="H123" s="61">
        <v>1.6841584811659016</v>
      </c>
      <c r="I123" s="61">
        <v>2.2449343469298397</v>
      </c>
      <c r="J123" s="61">
        <v>2.525207735043268</v>
      </c>
      <c r="K123" s="61">
        <v>2.805404726119983</v>
      </c>
      <c r="L123" s="61">
        <v>5.6031672318981913</v>
      </c>
      <c r="M123" s="61">
        <v>11.175664949695294</v>
      </c>
      <c r="N123" s="61">
        <v>22.227863368829482</v>
      </c>
      <c r="O123" s="61">
        <v>43.955888000306032</v>
      </c>
      <c r="P123" s="61">
        <v>54.62901988623895</v>
      </c>
      <c r="Q123" s="61">
        <v>59.917344663650226</v>
      </c>
      <c r="R123" s="61">
        <v>65.173335988626974</v>
      </c>
      <c r="S123" s="61">
        <v>70.39687735035406</v>
      </c>
      <c r="T123" s="61">
        <v>75.587862998260761</v>
      </c>
      <c r="U123" s="61">
        <v>80.746198183467072</v>
      </c>
      <c r="V123" s="61">
        <v>85.871799349874721</v>
      </c>
      <c r="W123" s="61">
        <v>90.964594277168558</v>
      </c>
      <c r="X123" s="61">
        <v>96.024522178089086</v>
      </c>
      <c r="Y123" s="61">
        <v>101.0515337524029</v>
      </c>
      <c r="Z123" s="61">
        <v>106.04559120005035</v>
      </c>
      <c r="AA123" s="61">
        <v>111.0066681959825</v>
      </c>
      <c r="AB123" s="61">
        <v>115.93474982921744</v>
      </c>
      <c r="AC123" s="61">
        <v>120.82983250864125</v>
      </c>
      <c r="AD123" s="61">
        <v>125.69192383806646</v>
      </c>
      <c r="AE123" s="61">
        <v>130.52104246302753</v>
      </c>
      <c r="AF123" s="61">
        <v>135.31721789175333</v>
      </c>
      <c r="AG123" s="61">
        <v>140.08049029270205</v>
      </c>
      <c r="AH123" s="61">
        <v>144.81091027097517</v>
      </c>
      <c r="AI123" s="20">
        <v>149.50853862586308</v>
      </c>
      <c r="AJ123" s="13">
        <v>685</v>
      </c>
    </row>
    <row r="124" spans="1:36" ht="9.9499999999999993" customHeight="1" x14ac:dyDescent="0.2">
      <c r="A124" s="20">
        <v>5.0198265446551996E-2</v>
      </c>
      <c r="B124" s="61">
        <v>5.5775698949937461E-2</v>
      </c>
      <c r="C124" s="61">
        <v>0.13943356419980707</v>
      </c>
      <c r="D124" s="61">
        <v>0.27884818288844787</v>
      </c>
      <c r="E124" s="61">
        <v>0.44612071303217188</v>
      </c>
      <c r="F124" s="61">
        <v>0.55762057177897772</v>
      </c>
      <c r="G124" s="61">
        <v>1.1149378720123746</v>
      </c>
      <c r="H124" s="61">
        <v>1.6719517098016232</v>
      </c>
      <c r="I124" s="61">
        <v>2.2286618945895076</v>
      </c>
      <c r="J124" s="61">
        <v>2.5069030576544407</v>
      </c>
      <c r="K124" s="61">
        <v>2.7850682361694776</v>
      </c>
      <c r="L124" s="61">
        <v>5.562535664482116</v>
      </c>
      <c r="M124" s="61">
        <v>11.094574015176446</v>
      </c>
      <c r="N124" s="61">
        <v>22.066422133128494</v>
      </c>
      <c r="O124" s="61">
        <v>43.636370534036267</v>
      </c>
      <c r="P124" s="61">
        <v>54.231966677887257</v>
      </c>
      <c r="Q124" s="61">
        <v>59.481938112448397</v>
      </c>
      <c r="R124" s="61">
        <v>64.699866250245947</v>
      </c>
      <c r="S124" s="61">
        <v>69.885644408453857</v>
      </c>
      <c r="T124" s="61">
        <v>75.039176227075316</v>
      </c>
      <c r="U124" s="61">
        <v>80.160375898447185</v>
      </c>
      <c r="V124" s="61">
        <v>85.249168348700138</v>
      </c>
      <c r="W124" s="61">
        <v>90.30548937336178</v>
      </c>
      <c r="X124" s="61">
        <v>95.329285729366021</v>
      </c>
      <c r="Y124" s="61">
        <v>100.3205151857963</v>
      </c>
      <c r="Z124" s="61">
        <v>105.27914653573808</v>
      </c>
      <c r="AA124" s="61">
        <v>110.20515957163509</v>
      </c>
      <c r="AB124" s="61">
        <v>115.09854502656665</v>
      </c>
      <c r="AC124" s="61">
        <v>119.95930448385096</v>
      </c>
      <c r="AD124" s="61">
        <v>124.78745025736664</v>
      </c>
      <c r="AE124" s="61">
        <v>129.58300524495107</v>
      </c>
      <c r="AF124" s="61">
        <v>134.34600275719706</v>
      </c>
      <c r="AG124" s="61">
        <v>139.07648632391093</v>
      </c>
      <c r="AH124" s="61">
        <v>143.77450948043699</v>
      </c>
      <c r="AI124" s="20">
        <v>148.44013553598458</v>
      </c>
      <c r="AJ124" s="13">
        <v>690</v>
      </c>
    </row>
    <row r="125" spans="1:36" ht="9.9499999999999993" customHeight="1" x14ac:dyDescent="0.2">
      <c r="A125" s="20">
        <v>4.9837124596320399E-2</v>
      </c>
      <c r="B125" s="61">
        <v>5.5374432151251832E-2</v>
      </c>
      <c r="C125" s="61">
        <v>0.1384304276913032</v>
      </c>
      <c r="D125" s="61">
        <v>0.27684201160384336</v>
      </c>
      <c r="E125" s="61">
        <v>0.44291103458027536</v>
      </c>
      <c r="F125" s="61">
        <v>0.5536086369270089</v>
      </c>
      <c r="G125" s="61">
        <v>1.106915639476072</v>
      </c>
      <c r="H125" s="61">
        <v>1.6599208293391912</v>
      </c>
      <c r="I125" s="61">
        <v>2.2126240285385932</v>
      </c>
      <c r="J125" s="61">
        <v>2.4888623261138374</v>
      </c>
      <c r="K125" s="61">
        <v>2.765025059435648</v>
      </c>
      <c r="L125" s="61">
        <v>5.5224914969389793</v>
      </c>
      <c r="M125" s="61">
        <v>11.014660673314113</v>
      </c>
      <c r="N125" s="61">
        <v>21.90734485716397</v>
      </c>
      <c r="O125" s="61">
        <v>43.321597226422732</v>
      </c>
      <c r="P125" s="61">
        <v>53.840842390248682</v>
      </c>
      <c r="Q125" s="61">
        <v>59.053049643843821</v>
      </c>
      <c r="R125" s="61">
        <v>64.233500933306317</v>
      </c>
      <c r="S125" s="61">
        <v>69.382098917967284</v>
      </c>
      <c r="T125" s="61">
        <v>74.498756161207993</v>
      </c>
      <c r="U125" s="61">
        <v>79.583395348814861</v>
      </c>
      <c r="V125" s="61">
        <v>84.635949461474397</v>
      </c>
      <c r="W125" s="61">
        <v>89.65636190351394</v>
      </c>
      <c r="X125" s="61">
        <v>94.64458659006344</v>
      </c>
      <c r="Y125" s="61">
        <v>99.600587994872996</v>
      </c>
      <c r="Z125" s="61">
        <v>104.52434116105292</v>
      </c>
      <c r="AA125" s="61">
        <v>109.41583167703293</v>
      </c>
      <c r="AB125" s="61">
        <v>114.27505562004046</v>
      </c>
      <c r="AC125" s="61">
        <v>119.10201946939482</v>
      </c>
      <c r="AD125" s="61">
        <v>123.89673999189404</v>
      </c>
      <c r="AE125" s="61">
        <v>128.65924410154085</v>
      </c>
      <c r="AF125" s="61">
        <v>133.38956869581327</v>
      </c>
      <c r="AG125" s="61">
        <v>138.08776047063577</v>
      </c>
      <c r="AH125" s="61">
        <v>142.75387571614255</v>
      </c>
      <c r="AI125" s="20">
        <v>147.38798009526454</v>
      </c>
      <c r="AJ125" s="13">
        <v>695</v>
      </c>
    </row>
    <row r="126" spans="1:36" ht="9.9499999999999993" customHeight="1" x14ac:dyDescent="0.2">
      <c r="A126" s="20">
        <v>4.9481143120060175E-2</v>
      </c>
      <c r="B126" s="61">
        <v>5.497889800572895E-2</v>
      </c>
      <c r="C126" s="61">
        <v>0.13744162339325938</v>
      </c>
      <c r="D126" s="61">
        <v>0.27486450666054513</v>
      </c>
      <c r="E126" s="61">
        <v>0.43974722594895949</v>
      </c>
      <c r="F126" s="61">
        <v>0.54965404240325688</v>
      </c>
      <c r="G126" s="61">
        <v>1.0990081178911164</v>
      </c>
      <c r="H126" s="61">
        <v>1.6480620601711555</v>
      </c>
      <c r="I126" s="61">
        <v>2.1968157032700861</v>
      </c>
      <c r="J126" s="61">
        <v>2.4710798608493527</v>
      </c>
      <c r="K126" s="61">
        <v>2.7452688815423061</v>
      </c>
      <c r="L126" s="61">
        <v>5.4830220269631686</v>
      </c>
      <c r="M126" s="61">
        <v>10.935899239060721</v>
      </c>
      <c r="N126" s="61">
        <v>21.750579160147254</v>
      </c>
      <c r="O126" s="61">
        <v>43.011460164387287</v>
      </c>
      <c r="P126" s="61">
        <v>53.455510712766603</v>
      </c>
      <c r="Q126" s="61">
        <v>58.630528683542252</v>
      </c>
      <c r="R126" s="61">
        <v>63.774075190199987</v>
      </c>
      <c r="S126" s="61">
        <v>68.886061772769011</v>
      </c>
      <c r="T126" s="61">
        <v>73.966409474345966</v>
      </c>
      <c r="U126" s="61">
        <v>79.015049049032683</v>
      </c>
      <c r="V126" s="61">
        <v>84.031921126076156</v>
      </c>
      <c r="W126" s="61">
        <v>89.016976332241612</v>
      </c>
      <c r="X126" s="61">
        <v>93.970175374506141</v>
      </c>
      <c r="Y126" s="61">
        <v>98.891489085219334</v>
      </c>
      <c r="Z126" s="61">
        <v>103.78089843189971</v>
      </c>
      <c r="AA126" s="61">
        <v>108.63839449386079</v>
      </c>
      <c r="AB126" s="61">
        <v>113.46397840786757</v>
      </c>
      <c r="AC126" s="61">
        <v>118.25766128500771</v>
      </c>
      <c r="AD126" s="61">
        <v>123.01946410095277</v>
      </c>
      <c r="AE126" s="61">
        <v>127.7494175617464</v>
      </c>
      <c r="AF126" s="61">
        <v>132.44756194721643</v>
      </c>
      <c r="AG126" s="61">
        <v>137.11394693406683</v>
      </c>
      <c r="AH126" s="61">
        <v>141.74863140063349</v>
      </c>
      <c r="AI126" s="20">
        <v>146.35168321523929</v>
      </c>
      <c r="AJ126" s="13">
        <v>700</v>
      </c>
    </row>
    <row r="127" spans="1:36" ht="9.9499999999999993" customHeight="1" x14ac:dyDescent="0.2">
      <c r="A127" s="20">
        <v>4.9130211234812017E-2</v>
      </c>
      <c r="B127" s="61">
        <v>5.4588974530858397E-2</v>
      </c>
      <c r="C127" s="61">
        <v>0.13646684629525857</v>
      </c>
      <c r="D127" s="61">
        <v>0.27291505785746467</v>
      </c>
      <c r="E127" s="61">
        <v>0.43662831047096473</v>
      </c>
      <c r="F127" s="61">
        <v>0.54575556708615047</v>
      </c>
      <c r="G127" s="61">
        <v>1.0912128621497825</v>
      </c>
      <c r="H127" s="61">
        <v>1.6363717303650624</v>
      </c>
      <c r="I127" s="61">
        <v>2.1812320172142772</v>
      </c>
      <c r="J127" s="61">
        <v>2.4535501444260981</v>
      </c>
      <c r="K127" s="61">
        <v>2.7257935684960377</v>
      </c>
      <c r="L127" s="61">
        <v>5.4441149175610821</v>
      </c>
      <c r="M127" s="61">
        <v>10.858264775518734</v>
      </c>
      <c r="N127" s="61">
        <v>21.596074222270875</v>
      </c>
      <c r="O127" s="61">
        <v>42.705854770593213</v>
      </c>
      <c r="P127" s="61">
        <v>53.075839609589231</v>
      </c>
      <c r="Q127" s="61">
        <v>58.214229409353592</v>
      </c>
      <c r="R127" s="61">
        <v>63.32142940625976</v>
      </c>
      <c r="S127" s="61">
        <v>68.397359582610093</v>
      </c>
      <c r="T127" s="61">
        <v>73.441949039787744</v>
      </c>
      <c r="U127" s="61">
        <v>78.455136196452571</v>
      </c>
      <c r="V127" s="61">
        <v>83.436868944891074</v>
      </c>
      <c r="W127" s="61">
        <v>88.387104767472692</v>
      </c>
      <c r="X127" s="61">
        <v>93.305810815224234</v>
      </c>
      <c r="Y127" s="61">
        <v>98.192963950576555</v>
      </c>
      <c r="Z127" s="61">
        <v>103.04855075636443</v>
      </c>
      <c r="AA127" s="61">
        <v>107.87256751317712</v>
      </c>
      <c r="AB127" s="61">
        <v>112.66502014715812</v>
      </c>
      <c r="AC127" s="61">
        <v>117.42592415034524</v>
      </c>
      <c r="AD127" s="61">
        <v>122.15530447561736</v>
      </c>
      <c r="AE127" s="61">
        <v>126.85319540829057</v>
      </c>
      <c r="AF127" s="61">
        <v>131.51964041635603</v>
      </c>
      <c r="AG127" s="61">
        <v>136.15469198131785</v>
      </c>
      <c r="AH127" s="61">
        <v>140.75841141152031</v>
      </c>
      <c r="AI127" s="20">
        <v>145.33086863980159</v>
      </c>
      <c r="AJ127" s="13">
        <v>705</v>
      </c>
    </row>
    <row r="128" spans="1:36" ht="9.9499999999999993" customHeight="1" x14ac:dyDescent="0.2">
      <c r="A128" s="20">
        <v>4.8784222250480791E-2</v>
      </c>
      <c r="B128" s="61">
        <v>5.4204543180733963E-2</v>
      </c>
      <c r="C128" s="61">
        <v>0.13550579998170773</v>
      </c>
      <c r="D128" s="61">
        <v>0.27099307219419627</v>
      </c>
      <c r="E128" s="61">
        <v>0.43355333902128784</v>
      </c>
      <c r="F128" s="61">
        <v>0.54191202429955165</v>
      </c>
      <c r="G128" s="61">
        <v>1.0835274962108623</v>
      </c>
      <c r="H128" s="61">
        <v>1.6248462718504919</v>
      </c>
      <c r="I128" s="61">
        <v>2.1658682076322093</v>
      </c>
      <c r="J128" s="61">
        <v>2.4362678157888653</v>
      </c>
      <c r="K128" s="61">
        <v>2.7065931602748754</v>
      </c>
      <c r="L128" s="61">
        <v>5.4057581839501658</v>
      </c>
      <c r="M128" s="61">
        <v>10.781733066658433</v>
      </c>
      <c r="N128" s="61">
        <v>21.443780726102709</v>
      </c>
      <c r="O128" s="61">
        <v>42.404679672505139</v>
      </c>
      <c r="P128" s="61">
        <v>52.701701148932379</v>
      </c>
      <c r="Q128" s="61">
        <v>57.804010560118414</v>
      </c>
      <c r="R128" s="61">
        <v>62.875408987970104</v>
      </c>
      <c r="S128" s="61">
        <v>67.915824440414411</v>
      </c>
      <c r="T128" s="61">
        <v>72.925193676705703</v>
      </c>
      <c r="U128" s="61">
        <v>77.903462396505546</v>
      </c>
      <c r="V128" s="61">
        <v>82.850585388961278</v>
      </c>
      <c r="W128" s="61">
        <v>87.766526643662132</v>
      </c>
      <c r="X128" s="61">
        <v>92.651259425409862</v>
      </c>
      <c r="Y128" s="61">
        <v>97.504766314774898</v>
      </c>
      <c r="Z128" s="61">
        <v>102.32703921642874</v>
      </c>
      <c r="AA128" s="61">
        <v>107.1180793372628</v>
      </c>
      <c r="AB128" s="61">
        <v>111.87789713629826</v>
      </c>
      <c r="AC128" s="61">
        <v>116.60651224837973</v>
      </c>
      <c r="AD128" s="61">
        <v>121.30395338363097</v>
      </c>
      <c r="AE128" s="61">
        <v>125.97025820461101</v>
      </c>
      <c r="AF128" s="61">
        <v>130.60547318307792</v>
      </c>
      <c r="AG128" s="61">
        <v>135.20965343821655</v>
      </c>
      <c r="AH128" s="61">
        <v>139.78286255813529</v>
      </c>
      <c r="AI128" s="20">
        <v>144.32517240637816</v>
      </c>
      <c r="AJ128" s="13">
        <v>710</v>
      </c>
    </row>
    <row r="129" spans="1:36" ht="9.9499999999999993" customHeight="1" x14ac:dyDescent="0.2">
      <c r="A129" s="20">
        <v>4.844307246167523E-2</v>
      </c>
      <c r="B129" s="61">
        <v>5.3825488725870195E-2</v>
      </c>
      <c r="C129" s="61">
        <v>0.13455819633117833</v>
      </c>
      <c r="D129" s="61">
        <v>0.26909797326903162</v>
      </c>
      <c r="E129" s="61">
        <v>0.43052138905271686</v>
      </c>
      <c r="F129" s="61">
        <v>0.53812226060610779</v>
      </c>
      <c r="G129" s="61">
        <v>1.0759497106757219</v>
      </c>
      <c r="H129" s="61">
        <v>1.6134822167672196</v>
      </c>
      <c r="I129" s="61">
        <v>2.1507196457254203</v>
      </c>
      <c r="J129" s="61">
        <v>2.4192276647487234</v>
      </c>
      <c r="K129" s="61">
        <v>2.6876618646891326</v>
      </c>
      <c r="L129" s="61">
        <v>5.3679401810203551</v>
      </c>
      <c r="M129" s="61">
        <v>10.706280591231137</v>
      </c>
      <c r="N129" s="61">
        <v>21.293650800637977</v>
      </c>
      <c r="O129" s="61">
        <v>42.107836577691728</v>
      </c>
      <c r="P129" s="61">
        <v>52.332971340725713</v>
      </c>
      <c r="Q129" s="61">
        <v>57.399735253981198</v>
      </c>
      <c r="R129" s="61">
        <v>62.435864161607931</v>
      </c>
      <c r="S129" s="61">
        <v>67.441293701103575</v>
      </c>
      <c r="T129" s="61">
        <v>72.415967909047282</v>
      </c>
      <c r="U129" s="61">
        <v>77.359839401642546</v>
      </c>
      <c r="V129" s="61">
        <v>82.272869517000089</v>
      </c>
      <c r="W129" s="61">
        <v>87.155028420979193</v>
      </c>
      <c r="X129" s="61">
        <v>92.006295178442699</v>
      </c>
      <c r="Y129" s="61">
        <v>96.826657791821788</v>
      </c>
      <c r="Z129" s="61">
        <v>101.61611320889818</v>
      </c>
      <c r="AA129" s="61">
        <v>106.37466730172598</v>
      </c>
      <c r="AB129" s="61">
        <v>111.10233481860936</v>
      </c>
      <c r="AC129" s="61">
        <v>115.79913931104385</v>
      </c>
      <c r="AD129" s="61">
        <v>120.46511303750087</v>
      </c>
      <c r="AE129" s="61">
        <v>125.10029684591386</v>
      </c>
      <c r="AF129" s="61">
        <v>129.70474003667493</v>
      </c>
      <c r="AG129" s="61">
        <v>134.27850020791911</v>
      </c>
      <c r="AH129" s="61">
        <v>138.82164308480736</v>
      </c>
      <c r="AI129" s="20">
        <v>143.33424233447758</v>
      </c>
      <c r="AJ129" s="13">
        <v>715</v>
      </c>
    </row>
    <row r="130" spans="1:36" ht="9.9499999999999993" customHeight="1" x14ac:dyDescent="0.2">
      <c r="A130" s="20">
        <v>4.8106661044054991E-2</v>
      </c>
      <c r="B130" s="61">
        <v>5.3451699138027289E-2</v>
      </c>
      <c r="C130" s="61">
        <v>0.13362375522828157</v>
      </c>
      <c r="D130" s="61">
        <v>0.26722920070208184</v>
      </c>
      <c r="E130" s="61">
        <v>0.42753156367163286</v>
      </c>
      <c r="F130" s="61">
        <v>0.53438515465100456</v>
      </c>
      <c r="G130" s="61">
        <v>1.0684772604658361</v>
      </c>
      <c r="H130" s="61">
        <v>1.6022761939666343</v>
      </c>
      <c r="I130" s="61">
        <v>2.1357818319513675</v>
      </c>
      <c r="J130" s="61">
        <v>2.4024246267017793</v>
      </c>
      <c r="K130" s="61">
        <v>2.6689940515010733</v>
      </c>
      <c r="L130" s="61">
        <v>5.3306495913299514</v>
      </c>
      <c r="M130" s="61">
        <v>10.63188449781665</v>
      </c>
      <c r="N130" s="61">
        <v>21.145637967868083</v>
      </c>
      <c r="O130" s="61">
        <v>41.81523015502114</v>
      </c>
      <c r="P130" s="61">
        <v>51.969529982068899</v>
      </c>
      <c r="Q130" s="61">
        <v>57.001270815471905</v>
      </c>
      <c r="R130" s="61">
        <v>62.002649781708556</v>
      </c>
      <c r="S130" s="61">
        <v>66.973609771278902</v>
      </c>
      <c r="T130" s="61">
        <v>71.914101736334885</v>
      </c>
      <c r="U130" s="61">
        <v>76.82408486321826</v>
      </c>
      <c r="V130" s="61">
        <v>81.703526708393554</v>
      </c>
      <c r="W130" s="61">
        <v>86.552403299522609</v>
      </c>
      <c r="X130" s="61">
        <v>91.370699203469883</v>
      </c>
      <c r="Y130" s="61">
        <v>96.158407563057793</v>
      </c>
      <c r="Z130" s="61">
        <v>100.91553010439904</v>
      </c>
      <c r="AA130" s="61">
        <v>105.64207711664812</v>
      </c>
      <c r="AB130" s="61">
        <v>110.33806740600583</v>
      </c>
      <c r="AC130" s="61">
        <v>115.00352822579542</v>
      </c>
      <c r="AD130" s="61">
        <v>119.63849518441042</v>
      </c>
      <c r="AE130" s="61">
        <v>124.24301213290246</v>
      </c>
      <c r="AF130" s="61">
        <v>128.81713103393798</v>
      </c>
      <c r="AG130" s="61">
        <v>133.36091181381465</v>
      </c>
      <c r="AH130" s="61">
        <v>137.87442219917222</v>
      </c>
      <c r="AI130" s="20">
        <v>142.35773753998296</v>
      </c>
      <c r="AJ130" s="13">
        <v>720</v>
      </c>
    </row>
    <row r="131" spans="1:36" ht="9.9499999999999993" customHeight="1" x14ac:dyDescent="0.2">
      <c r="A131" s="20">
        <v>4.7774889954968085E-2</v>
      </c>
      <c r="B131" s="61">
        <v>5.3083065479803467E-2</v>
      </c>
      <c r="C131" s="61">
        <v>0.13270220428747298</v>
      </c>
      <c r="D131" s="61">
        <v>0.26538620958230319</v>
      </c>
      <c r="E131" s="61">
        <v>0.42458299075212336</v>
      </c>
      <c r="F131" s="61">
        <v>0.53069961605367444</v>
      </c>
      <c r="G131" s="61">
        <v>1.0611079625968727</v>
      </c>
      <c r="H131" s="61">
        <v>1.5912249256589115</v>
      </c>
      <c r="I131" s="61">
        <v>2.1210503915344923</v>
      </c>
      <c r="J131" s="61">
        <v>2.3858537775687338</v>
      </c>
      <c r="K131" s="61">
        <v>2.6505842467906584</v>
      </c>
      <c r="L131" s="61">
        <v>5.2938754136092232</v>
      </c>
      <c r="M131" s="61">
        <v>10.558522580947409</v>
      </c>
      <c r="N131" s="61">
        <v>20.999697091732706</v>
      </c>
      <c r="O131" s="61">
        <v>41.526767921421396</v>
      </c>
      <c r="P131" s="61">
        <v>51.611260510056475</v>
      </c>
      <c r="Q131" s="61">
        <v>56.608488610892636</v>
      </c>
      <c r="R131" s="61">
        <v>61.575625148793428</v>
      </c>
      <c r="S131" s="61">
        <v>66.51261990913487</v>
      </c>
      <c r="T131" s="61">
        <v>71.419430415670888</v>
      </c>
      <c r="U131" s="61">
        <v>76.29602209556343</v>
      </c>
      <c r="V131" s="61">
        <v>81.142368409369965</v>
      </c>
      <c r="W131" s="61">
        <v>85.958450947677093</v>
      </c>
      <c r="X131" s="61">
        <v>90.744259496097769</v>
      </c>
      <c r="Y131" s="61">
        <v>95.499792070378959</v>
      </c>
      <c r="Z131" s="61">
        <v>100.22505492337575</v>
      </c>
      <c r="AA131" s="61">
        <v>104.92006252565187</v>
      </c>
      <c r="AB131" s="61">
        <v>109.58483752146363</v>
      </c>
      <c r="AC131" s="61">
        <v>114.21941066186444</v>
      </c>
      <c r="AD131" s="61">
        <v>118.82382071665153</v>
      </c>
      <c r="AE131" s="61">
        <v>123.39811436683981</v>
      </c>
      <c r="AF131" s="61">
        <v>127.94234607931541</v>
      </c>
      <c r="AG131" s="61">
        <v>132.45657796528002</v>
      </c>
      <c r="AH131" s="61">
        <v>136.94087962404316</v>
      </c>
      <c r="AI131" s="20">
        <v>141.3953279736786</v>
      </c>
      <c r="AJ131" s="13">
        <v>725</v>
      </c>
    </row>
    <row r="132" spans="1:36" ht="9.9499999999999993" customHeight="1" x14ac:dyDescent="0.2">
      <c r="A132" s="20">
        <v>4.7447663838172081E-2</v>
      </c>
      <c r="B132" s="61">
        <v>5.2719481798765698E-2</v>
      </c>
      <c r="C132" s="61">
        <v>0.13179327858821432</v>
      </c>
      <c r="D132" s="61">
        <v>0.26356846993727034</v>
      </c>
      <c r="E132" s="61">
        <v>0.42167482208656942</v>
      </c>
      <c r="F132" s="61">
        <v>0.52706458434515246</v>
      </c>
      <c r="G132" s="61">
        <v>1.0538396940446717</v>
      </c>
      <c r="H132" s="61">
        <v>1.5803252241989225</v>
      </c>
      <c r="I132" s="61">
        <v>2.1065210701634105</v>
      </c>
      <c r="J132" s="61">
        <v>2.3695103289445014</v>
      </c>
      <c r="K132" s="61">
        <v>2.6324271275554665</v>
      </c>
      <c r="L132" s="61">
        <v>5.257606951746979</v>
      </c>
      <c r="M132" s="61">
        <v>10.486173258255043</v>
      </c>
      <c r="N132" s="61">
        <v>20.855784329331751</v>
      </c>
      <c r="O132" s="61">
        <v>41.242360133899716</v>
      </c>
      <c r="P132" s="61">
        <v>51.258049861555925</v>
      </c>
      <c r="Q132" s="61">
        <v>56.221263891540787</v>
      </c>
      <c r="R132" s="61">
        <v>61.154653835831645</v>
      </c>
      <c r="S132" s="61">
        <v>66.058176034014366</v>
      </c>
      <c r="T132" s="61">
        <v>70.93179425430715</v>
      </c>
      <c r="U132" s="61">
        <v>75.775479851539345</v>
      </c>
      <c r="V132" s="61">
        <v>80.589211891573314</v>
      </c>
      <c r="W132" s="61">
        <v>85.372977243791752</v>
      </c>
      <c r="X132" s="61">
        <v>90.126770643309115</v>
      </c>
      <c r="Y132" s="61">
        <v>94.850594724580091</v>
      </c>
      <c r="Z132" s="61">
        <v>99.54446002809344</v>
      </c>
      <c r="AA132" s="61">
        <v>104.20838498183456</v>
      </c>
      <c r="AB132" s="61">
        <v>108.84239585920007</v>
      </c>
      <c r="AC132" s="61">
        <v>113.44652671502655</v>
      </c>
      <c r="AD132" s="61">
        <v>118.02081930137628</v>
      </c>
      <c r="AE132" s="61">
        <v>122.56532296469121</v>
      </c>
      <c r="AF132" s="61">
        <v>127.08009452589124</v>
      </c>
      <c r="AG132" s="61">
        <v>131.56519814495482</v>
      </c>
      <c r="AH132" s="61">
        <v>136.02070517146964</v>
      </c>
      <c r="AI132" s="20">
        <v>140.44669398259319</v>
      </c>
      <c r="AJ132" s="13">
        <v>730</v>
      </c>
    </row>
    <row r="133" spans="1:36" ht="9.9499999999999993" customHeight="1" x14ac:dyDescent="0.2">
      <c r="A133" s="20">
        <v>4.7124889932445499E-2</v>
      </c>
      <c r="B133" s="61">
        <v>5.2360845025902228E-2</v>
      </c>
      <c r="C133" s="61">
        <v>0.13089672042095085</v>
      </c>
      <c r="D133" s="61">
        <v>0.2617754662246195</v>
      </c>
      <c r="E133" s="61">
        <v>0.41880623257096711</v>
      </c>
      <c r="F133" s="61">
        <v>0.52347902794890833</v>
      </c>
      <c r="G133" s="61">
        <v>1.0466703896987115</v>
      </c>
      <c r="H133" s="61">
        <v>1.5695739890042164</v>
      </c>
      <c r="I133" s="61">
        <v>2.0921897298653187</v>
      </c>
      <c r="J133" s="61">
        <v>2.3533896234477889</v>
      </c>
      <c r="K133" s="61">
        <v>2.614517516533438</v>
      </c>
      <c r="L133" s="61">
        <v>5.2218338042362982</v>
      </c>
      <c r="M133" s="61">
        <v>10.414815548588182</v>
      </c>
      <c r="N133" s="61">
        <v>20.713857084278398</v>
      </c>
      <c r="O133" s="61">
        <v>40.961919686532177</v>
      </c>
      <c r="P133" s="61">
        <v>50.909788339553657</v>
      </c>
      <c r="Q133" s="61">
        <v>55.83947564432853</v>
      </c>
      <c r="R133" s="61">
        <v>60.739603522942836</v>
      </c>
      <c r="S133" s="61">
        <v>65.610134545063346</v>
      </c>
      <c r="T133" s="61">
        <v>70.451038412171698</v>
      </c>
      <c r="U133" s="61">
        <v>75.262292108919112</v>
      </c>
      <c r="V133" s="61">
        <v>80.043880022328011</v>
      </c>
      <c r="W133" s="61">
        <v>84.79579403040934</v>
      </c>
      <c r="X133" s="61">
        <v>89.518033561788414</v>
      </c>
      <c r="Y133" s="61">
        <v>94.210605627949633</v>
      </c>
      <c r="Z133" s="61">
        <v>98.873524829717638</v>
      </c>
      <c r="AA133" s="61">
        <v>103.50681333958988</v>
      </c>
      <c r="AB133" s="61">
        <v>108.1105008615322</v>
      </c>
      <c r="AC133" s="61">
        <v>112.68462456982739</v>
      </c>
      <c r="AD133" s="61">
        <v>117.22922902854665</v>
      </c>
      <c r="AE133" s="61">
        <v>121.74436609318541</v>
      </c>
      <c r="AF133" s="61">
        <v>126.23009479596729</v>
      </c>
      <c r="AG133" s="61">
        <v>130.68648121628416</v>
      </c>
      <c r="AH133" s="61">
        <v>135.11359833769336</v>
      </c>
      <c r="AI133" s="20">
        <v>139.51152589284524</v>
      </c>
      <c r="AJ133" s="13">
        <v>735</v>
      </c>
    </row>
    <row r="134" spans="1:36" ht="9.9499999999999993" customHeight="1" x14ac:dyDescent="0.2">
      <c r="A134" s="20">
        <v>4.6806477983904554E-2</v>
      </c>
      <c r="B134" s="61">
        <v>5.2007054878193043E-2</v>
      </c>
      <c r="C134" s="61">
        <v>0.13001227904339313</v>
      </c>
      <c r="D134" s="61">
        <v>0.26000669684412758</v>
      </c>
      <c r="E134" s="61">
        <v>0.41597641942333319</v>
      </c>
      <c r="F134" s="61">
        <v>0.51994194320308185</v>
      </c>
      <c r="G134" s="61">
        <v>1.039598040398922</v>
      </c>
      <c r="H134" s="61">
        <v>1.5589682035987542</v>
      </c>
      <c r="I134" s="61">
        <v>2.0780523450490769</v>
      </c>
      <c r="J134" s="61">
        <v>2.3374871302610551</v>
      </c>
      <c r="K134" s="61">
        <v>2.5968503772378346</v>
      </c>
      <c r="L134" s="61">
        <v>5.1865458540572593</v>
      </c>
      <c r="M134" s="61">
        <v>10.34442905105341</v>
      </c>
      <c r="N134" s="61">
        <v>20.573873962084505</v>
      </c>
      <c r="O134" s="61">
        <v>40.685362012155622</v>
      </c>
      <c r="P134" s="61">
        <v>50.5663694857069</v>
      </c>
      <c r="Q134" s="61">
        <v>55.463006449388402</v>
      </c>
      <c r="R134" s="61">
        <v>60.330345839880621</v>
      </c>
      <c r="S134" s="61">
        <v>65.168356148468717</v>
      </c>
      <c r="T134" s="61">
        <v>69.977012713794736</v>
      </c>
      <c r="U134" s="61">
        <v>74.75629786697985</v>
      </c>
      <c r="V134" s="61">
        <v>79.506201045929444</v>
      </c>
      <c r="W134" s="61">
        <v>84.226718880331774</v>
      </c>
      <c r="X134" s="61">
        <v>88.917855248883669</v>
      </c>
      <c r="Y134" s="61">
        <v>93.579621310292254</v>
      </c>
      <c r="Z134" s="61">
        <v>98.21203550960287</v>
      </c>
      <c r="AA134" s="61">
        <v>102.81512356140504</v>
      </c>
      <c r="AB134" s="61">
        <v>107.38891841145661</v>
      </c>
      <c r="AC134" s="61">
        <v>111.93346017825118</v>
      </c>
      <c r="AD134" s="61">
        <v>116.44879607602786</v>
      </c>
      <c r="AE134" s="61">
        <v>120.93498032069844</v>
      </c>
      <c r="AF134" s="61">
        <v>125.39207402012667</v>
      </c>
      <c r="AG134" s="61">
        <v>129.82014505016642</v>
      </c>
      <c r="AH134" s="61">
        <v>134.21926791780874</v>
      </c>
      <c r="AI134" s="20">
        <v>138.58952361275539</v>
      </c>
      <c r="AJ134" s="13">
        <v>740</v>
      </c>
    </row>
    <row r="135" spans="1:36" ht="9.9499999999999993" customHeight="1" x14ac:dyDescent="0.2">
      <c r="A135" s="20">
        <v>4.6492340161851574E-2</v>
      </c>
      <c r="B135" s="61">
        <v>5.1658013765104593E-2</v>
      </c>
      <c r="C135" s="61">
        <v>0.12913971044661757</v>
      </c>
      <c r="D135" s="61">
        <v>0.25826167366946368</v>
      </c>
      <c r="E135" s="61">
        <v>0.41318460143363844</v>
      </c>
      <c r="F135" s="61">
        <v>0.51645235342218454</v>
      </c>
      <c r="G135" s="61">
        <v>1.0326206910518794</v>
      </c>
      <c r="H135" s="61">
        <v>1.5485049327764751</v>
      </c>
      <c r="I135" s="61">
        <v>2.0641049987090296</v>
      </c>
      <c r="J135" s="61">
        <v>2.3217984408517927</v>
      </c>
      <c r="K135" s="61">
        <v>2.5794208091942106</v>
      </c>
      <c r="L135" s="61">
        <v>5.1517332589755576</v>
      </c>
      <c r="M135" s="61">
        <v>10.274993924933906</v>
      </c>
      <c r="N135" s="61">
        <v>20.435794727473283</v>
      </c>
      <c r="O135" s="61">
        <v>40.412604988508633</v>
      </c>
      <c r="P135" s="61">
        <v>50.227689958760791</v>
      </c>
      <c r="Q135" s="61">
        <v>55.091742344280732</v>
      </c>
      <c r="R135" s="61">
        <v>59.926756215865595</v>
      </c>
      <c r="S135" s="61">
        <v>64.732705692805595</v>
      </c>
      <c r="T135" s="61">
        <v>69.509571469103719</v>
      </c>
      <c r="U135" s="61">
        <v>74.257340952731496</v>
      </c>
      <c r="V135" s="61">
        <v>78.976008375335496</v>
      </c>
      <c r="W135" s="61">
        <v>83.665574873849266</v>
      </c>
      <c r="X135" s="61">
        <v>88.326048545488504</v>
      </c>
      <c r="Y135" s="61">
        <v>92.957444477618523</v>
      </c>
      <c r="Z135" s="61">
        <v>97.559784753981816</v>
      </c>
      <c r="AA135" s="61">
        <v>102.13309843877462</v>
      </c>
      <c r="AB135" s="61">
        <v>106.67742154004806</v>
      </c>
      <c r="AC135" s="61">
        <v>111.19279695389474</v>
      </c>
      <c r="AD135" s="61">
        <v>115.67927439085425</v>
      </c>
      <c r="AE135" s="61">
        <v>120.13691028594857</v>
      </c>
      <c r="AF135" s="61">
        <v>124.56576769372059</v>
      </c>
      <c r="AG135" s="61">
        <v>128.96591616961575</v>
      </c>
      <c r="AH135" s="61">
        <v>133.33743163900127</v>
      </c>
      <c r="AI135" s="20">
        <v>137.68039625507825</v>
      </c>
      <c r="AJ135" s="13">
        <v>745</v>
      </c>
    </row>
    <row r="136" spans="1:36" ht="9.9499999999999993" customHeight="1" x14ac:dyDescent="0.2">
      <c r="A136" s="20">
        <v>4.6182390977990283E-2</v>
      </c>
      <c r="B136" s="61">
        <v>5.1313626698825388E-2</v>
      </c>
      <c r="C136" s="61">
        <v>0.12827877713052901</v>
      </c>
      <c r="D136" s="61">
        <v>0.2565399215986891</v>
      </c>
      <c r="E136" s="61">
        <v>0.41043001824379843</v>
      </c>
      <c r="F136" s="61">
        <v>0.51300930799640565</v>
      </c>
      <c r="G136" s="61">
        <v>1.0257364388226817</v>
      </c>
      <c r="H136" s="61">
        <v>1.538181319879028</v>
      </c>
      <c r="I136" s="61">
        <v>2.0503438787819417</v>
      </c>
      <c r="J136" s="61">
        <v>2.3063192648665707</v>
      </c>
      <c r="K136" s="61">
        <v>2.5622240433699384</v>
      </c>
      <c r="L136" s="61">
        <v>5.117386442237124</v>
      </c>
      <c r="M136" s="61">
        <v>10.206490870442712</v>
      </c>
      <c r="N136" s="61">
        <v>20.299580263522611</v>
      </c>
      <c r="O136" s="61">
        <v>40.143568848584984</v>
      </c>
      <c r="P136" s="61">
        <v>49.893649418514656</v>
      </c>
      <c r="Q136" s="61">
        <v>54.725572694441134</v>
      </c>
      <c r="R136" s="61">
        <v>59.52871373636377</v>
      </c>
      <c r="S136" s="61">
        <v>64.303052012041633</v>
      </c>
      <c r="T136" s="61">
        <v>69.048573302597106</v>
      </c>
      <c r="U136" s="61">
        <v>73.765269836246119</v>
      </c>
      <c r="V136" s="61">
        <v>78.45314039368067</v>
      </c>
      <c r="W136" s="61">
        <v>83.112190386508559</v>
      </c>
      <c r="X136" s="61">
        <v>87.742431910173735</v>
      </c>
      <c r="Y136" s="61">
        <v>92.343883772786612</v>
      </c>
      <c r="Z136" s="61">
        <v>96.916571501297611</v>
      </c>
      <c r="AA136" s="61">
        <v>101.4605273264375</v>
      </c>
      <c r="AB136" s="61">
        <v>105.97579014784398</v>
      </c>
      <c r="AC136" s="61">
        <v>110.46240548076908</v>
      </c>
      <c r="AD136" s="61">
        <v>114.920425385744</v>
      </c>
      <c r="AE136" s="61">
        <v>119.3499083825477</v>
      </c>
      <c r="AF136" s="61">
        <v>123.75091934979486</v>
      </c>
      <c r="AG136" s="61">
        <v>128.12352941142325</v>
      </c>
      <c r="AH136" s="61">
        <v>132.46781581131805</v>
      </c>
      <c r="AI136" s="20">
        <v>136.783861777271</v>
      </c>
      <c r="AJ136" s="13">
        <v>750</v>
      </c>
    </row>
    <row r="137" spans="1:36" ht="9.9499999999999993" customHeight="1" x14ac:dyDescent="0.2">
      <c r="A137" s="20">
        <v>4.587654720885135E-2</v>
      </c>
      <c r="B137" s="61">
        <v>5.0973801208069228E-2</v>
      </c>
      <c r="C137" s="61">
        <v>0.12742924788824894</v>
      </c>
      <c r="D137" s="61">
        <v>0.25484097812263851</v>
      </c>
      <c r="E137" s="61">
        <v>0.40771192965631781</v>
      </c>
      <c r="F137" s="61">
        <v>0.50961188152678538</v>
      </c>
      <c r="G137" s="61">
        <v>1.0189434313989694</v>
      </c>
      <c r="H137" s="61">
        <v>1.5279945841823457</v>
      </c>
      <c r="I137" s="61">
        <v>2.0367652746498806</v>
      </c>
      <c r="J137" s="61">
        <v>2.2910454261897608</v>
      </c>
      <c r="K137" s="61">
        <v>2.5452554377872065</v>
      </c>
      <c r="L137" s="61">
        <v>5.0834960836399814</v>
      </c>
      <c r="M137" s="61">
        <v>10.138901110270346</v>
      </c>
      <c r="N137" s="61">
        <v>20.165192532546467</v>
      </c>
      <c r="O137" s="61">
        <v>39.878176094976766</v>
      </c>
      <c r="P137" s="61">
        <v>49.564150415038242</v>
      </c>
      <c r="Q137" s="61">
        <v>54.364390069531915</v>
      </c>
      <c r="R137" s="61">
        <v>59.136101006432959</v>
      </c>
      <c r="S137" s="61">
        <v>63.879267775782182</v>
      </c>
      <c r="T137" s="61">
        <v>68.593880990435323</v>
      </c>
      <c r="U137" s="61">
        <v>73.279937454583006</v>
      </c>
      <c r="V137" s="61">
        <v>77.937440265064254</v>
      </c>
      <c r="W137" s="61">
        <v>82.566398886832047</v>
      </c>
      <c r="X137" s="61">
        <v>87.166829203940381</v>
      </c>
      <c r="Y137" s="61">
        <v>91.738753547426995</v>
      </c>
      <c r="Z137" s="61">
        <v>96.282200701470231</v>
      </c>
      <c r="AA137" s="61">
        <v>100.79720588918597</v>
      </c>
      <c r="AB137" s="61">
        <v>105.28381073942502</v>
      </c>
      <c r="AC137" s="61">
        <v>109.74206323590714</v>
      </c>
      <c r="AD137" s="61">
        <v>114.17201765001336</v>
      </c>
      <c r="AE137" s="61">
        <v>118.57373445851925</v>
      </c>
      <c r="AF137" s="61">
        <v>122.94728024753383</v>
      </c>
      <c r="AG137" s="61">
        <v>127.29272760386397</v>
      </c>
      <c r="AH137" s="61">
        <v>131.61015499498995</v>
      </c>
      <c r="AI137" s="20">
        <v>135.89964663879826</v>
      </c>
      <c r="AJ137" s="13">
        <v>755</v>
      </c>
    </row>
    <row r="138" spans="1:36" ht="9.9499999999999993" customHeight="1" x14ac:dyDescent="0.2">
      <c r="A138" s="20">
        <v>4.5574727821280983E-2</v>
      </c>
      <c r="B138" s="61">
        <v>5.0638447255281577E-2</v>
      </c>
      <c r="C138" s="61">
        <v>0.12659089759901945</v>
      </c>
      <c r="D138" s="61">
        <v>0.25316439291035336</v>
      </c>
      <c r="E138" s="61">
        <v>0.40502961497027146</v>
      </c>
      <c r="F138" s="61">
        <v>0.50625917299459977</v>
      </c>
      <c r="G138" s="61">
        <v>1.0122398653237532</v>
      </c>
      <c r="H138" s="61">
        <v>1.5179420183870287</v>
      </c>
      <c r="I138" s="61">
        <v>2.02336557378228</v>
      </c>
      <c r="J138" s="61">
        <v>2.2759728591592499</v>
      </c>
      <c r="K138" s="61">
        <v>2.5285104733109409</v>
      </c>
      <c r="L138" s="61">
        <v>5.0500531109654174</v>
      </c>
      <c r="M138" s="61">
        <v>10.072206371888287</v>
      </c>
      <c r="N138" s="61">
        <v>20.032594538627862</v>
      </c>
      <c r="O138" s="61">
        <v>39.616351417998935</v>
      </c>
      <c r="P138" s="61">
        <v>49.239098282858301</v>
      </c>
      <c r="Q138" s="61">
        <v>54.008090125380214</v>
      </c>
      <c r="R138" s="61">
        <v>58.748804020281653</v>
      </c>
      <c r="S138" s="61">
        <v>63.461229346362089</v>
      </c>
      <c r="T138" s="61">
        <v>68.14536130501709</v>
      </c>
      <c r="U138" s="61">
        <v>72.801201043840123</v>
      </c>
      <c r="V138" s="61">
        <v>77.428755754104984</v>
      </c>
      <c r="W138" s="61">
        <v>82.028038743439367</v>
      </c>
      <c r="X138" s="61">
        <v>86.599069485007149</v>
      </c>
      <c r="Y138" s="61">
        <v>91.141873644525489</v>
      </c>
      <c r="Z138" s="61">
        <v>95.656483086437092</v>
      </c>
      <c r="AA138" s="61">
        <v>100.14293586055149</v>
      </c>
      <c r="AB138" s="61">
        <v>104.60127617046105</v>
      </c>
      <c r="AC138" s="61">
        <v>109.03155432501001</v>
      </c>
      <c r="AD138" s="61">
        <v>113.4338266740845</v>
      </c>
      <c r="AE138" s="61">
        <v>117.80815552995166</v>
      </c>
      <c r="AF138" s="61">
        <v>122.15460907535855</v>
      </c>
      <c r="AG138" s="61">
        <v>126.47326125955641</v>
      </c>
      <c r="AH138" s="61">
        <v>130.76419168338657</v>
      </c>
      <c r="AI138" s="20">
        <v>135.02748547452191</v>
      </c>
      <c r="AJ138" s="13">
        <v>760</v>
      </c>
    </row>
    <row r="139" spans="1:36" ht="9.9499999999999993" customHeight="1" x14ac:dyDescent="0.2">
      <c r="A139" s="20">
        <v>4.5276853900851899E-2</v>
      </c>
      <c r="B139" s="61">
        <v>5.0307477157093404E-2</v>
      </c>
      <c r="C139" s="61">
        <v>0.12576350702923381</v>
      </c>
      <c r="D139" s="61">
        <v>0.25150972741079369</v>
      </c>
      <c r="E139" s="61">
        <v>0.40238237234337076</v>
      </c>
      <c r="F139" s="61">
        <v>0.50295030496337789</v>
      </c>
      <c r="G139" s="61">
        <v>1.0056239843938795</v>
      </c>
      <c r="H139" s="61">
        <v>1.5080209862077136</v>
      </c>
      <c r="I139" s="61">
        <v>2.010141258510731</v>
      </c>
      <c r="J139" s="61">
        <v>2.2610976049318765</v>
      </c>
      <c r="K139" s="61">
        <v>2.511984749603529</v>
      </c>
      <c r="L139" s="61">
        <v>5.0170486917518309</v>
      </c>
      <c r="M139" s="61">
        <v>10.006388870572335</v>
      </c>
      <c r="N139" s="61">
        <v>19.901750291721495</v>
      </c>
      <c r="O139" s="61">
        <v>39.358021617398002</v>
      </c>
      <c r="P139" s="61">
        <v>48.91840103985372</v>
      </c>
      <c r="Q139" s="61">
        <v>53.656571491204971</v>
      </c>
      <c r="R139" s="61">
        <v>58.366712036708208</v>
      </c>
      <c r="S139" s="61">
        <v>63.048816642415154</v>
      </c>
      <c r="T139" s="61">
        <v>67.702884866634875</v>
      </c>
      <c r="U139" s="61">
        <v>72.328921978889213</v>
      </c>
      <c r="V139" s="61">
        <v>76.926939053784039</v>
      </c>
      <c r="W139" s="61">
        <v>81.496953041058291</v>
      </c>
      <c r="X139" s="61">
        <v>86.038986813082445</v>
      </c>
      <c r="Y139" s="61">
        <v>90.553069191079899</v>
      </c>
      <c r="Z139" s="61">
        <v>95.039234951343843</v>
      </c>
      <c r="AA139" s="61">
        <v>99.497524812709727</v>
      </c>
      <c r="AB139" s="61">
        <v>103.92798540653419</v>
      </c>
      <c r="AC139" s="61">
        <v>108.3306692304121</v>
      </c>
      <c r="AD139" s="61">
        <v>112.70563458683954</v>
      </c>
      <c r="AE139" s="61">
        <v>117.05294550800664</v>
      </c>
      <c r="AF139" s="61">
        <v>121.37267166787257</v>
      </c>
      <c r="AG139" s="61">
        <v>125.66488828264391</v>
      </c>
      <c r="AH139" s="61">
        <v>129.92967600074158</v>
      </c>
      <c r="AI139" s="20">
        <v>134.16712078330079</v>
      </c>
      <c r="AJ139" s="13">
        <v>765</v>
      </c>
    </row>
    <row r="140" spans="1:36" ht="9.9499999999999993" customHeight="1" x14ac:dyDescent="0.2">
      <c r="A140" s="20">
        <v>4.4982848583063922E-2</v>
      </c>
      <c r="B140" s="61">
        <v>4.998080550787494E-2</v>
      </c>
      <c r="C140" s="61">
        <v>0.12494686264122055</v>
      </c>
      <c r="D140" s="61">
        <v>0.24987655447007781</v>
      </c>
      <c r="E140" s="61">
        <v>0.39976951817891992</v>
      </c>
      <c r="F140" s="61">
        <v>0.49968442281207842</v>
      </c>
      <c r="G140" s="61">
        <v>0.99909407812114903</v>
      </c>
      <c r="H140" s="61">
        <v>1.4982289200569381</v>
      </c>
      <c r="I140" s="61">
        <v>1.9970889029304193</v>
      </c>
      <c r="J140" s="61">
        <v>2.2464158079917427</v>
      </c>
      <c r="K140" s="61">
        <v>2.4956739812387276</v>
      </c>
      <c r="L140" s="61">
        <v>4.9844742253951058</v>
      </c>
      <c r="M140" s="61">
        <v>9.9414312931115969</v>
      </c>
      <c r="N140" s="61">
        <v>19.772624773249589</v>
      </c>
      <c r="O140" s="61">
        <v>39.103115527461007</v>
      </c>
      <c r="P140" s="61">
        <v>48.601969290612097</v>
      </c>
      <c r="Q140" s="61">
        <v>53.309735661854937</v>
      </c>
      <c r="R140" s="61">
        <v>57.989717460108352</v>
      </c>
      <c r="S140" s="61">
        <v>62.641913008576779</v>
      </c>
      <c r="T140" s="61">
        <v>67.266326001833008</v>
      </c>
      <c r="U140" s="61">
        <v>71.86296562038261</v>
      </c>
      <c r="V140" s="61">
        <v>76.431846621126681</v>
      </c>
      <c r="W140" s="61">
        <v>80.972989404942012</v>
      </c>
      <c r="X140" s="61">
        <v>85.486420062603884</v>
      </c>
      <c r="Y140" s="61">
        <v>89.972170400278969</v>
      </c>
      <c r="Z140" s="61">
        <v>94.430277945808228</v>
      </c>
      <c r="AA140" s="61">
        <v>98.860785936994759</v>
      </c>
      <c r="AB140" s="61">
        <v>103.26374329309412</v>
      </c>
      <c r="AC140" s="61">
        <v>107.63920457069072</v>
      </c>
      <c r="AD140" s="61">
        <v>111.98722990511713</v>
      </c>
      <c r="AE140" s="61">
        <v>116.30788493855157</v>
      </c>
      <c r="AF140" s="61">
        <v>120.6012407358962</v>
      </c>
      <c r="AG140" s="61">
        <v>124.86737368951229</v>
      </c>
      <c r="AH140" s="61">
        <v>129.10636541384778</v>
      </c>
      <c r="AI140" s="20">
        <v>133.31830263096131</v>
      </c>
      <c r="AJ140" s="13">
        <v>770</v>
      </c>
    </row>
    <row r="141" spans="1:36" ht="9.9499999999999993" customHeight="1" x14ac:dyDescent="0.2">
      <c r="A141" s="20">
        <v>4.4692636987208469E-2</v>
      </c>
      <c r="B141" s="61">
        <v>4.9658349106249243E-2</v>
      </c>
      <c r="C141" s="61">
        <v>0.12414075640943606</v>
      </c>
      <c r="D141" s="61">
        <v>0.24826445796355801</v>
      </c>
      <c r="E141" s="61">
        <v>0.39719038653654065</v>
      </c>
      <c r="F141" s="61">
        <v>0.49646069399800108</v>
      </c>
      <c r="G141" s="61">
        <v>0.9926484802532316</v>
      </c>
      <c r="H141" s="61">
        <v>1.4885633188191778</v>
      </c>
      <c r="I141" s="61">
        <v>1.9842051699224272</v>
      </c>
      <c r="J141" s="61">
        <v>2.2319237127948495</v>
      </c>
      <c r="K141" s="61">
        <v>2.4795739939674091</v>
      </c>
      <c r="L141" s="61">
        <v>4.9523213355605975</v>
      </c>
      <c r="M141" s="61">
        <v>9.8773167821708068</v>
      </c>
      <c r="N141" s="61">
        <v>19.645183903117015</v>
      </c>
      <c r="O141" s="61">
        <v>38.851563945351145</v>
      </c>
      <c r="P141" s="61">
        <v>48.289716134015499</v>
      </c>
      <c r="Q141" s="61">
        <v>52.967486894794654</v>
      </c>
      <c r="R141" s="61">
        <v>57.617715726758107</v>
      </c>
      <c r="S141" s="61">
        <v>62.240405090992944</v>
      </c>
      <c r="T141" s="61">
        <v>66.835562608107708</v>
      </c>
      <c r="U141" s="61">
        <v>71.403201168641075</v>
      </c>
      <c r="V141" s="61">
        <v>75.943339020304805</v>
      </c>
      <c r="W141" s="61">
        <v>80.455999833240199</v>
      </c>
      <c r="X141" s="61">
        <v>84.941212744464423</v>
      </c>
      <c r="Y141" s="61">
        <v>89.399012382692874</v>
      </c>
      <c r="Z141" s="61">
        <v>93.829438874708345</v>
      </c>
      <c r="AA141" s="61">
        <v>98.232537834445665</v>
      </c>
      <c r="AB141" s="61">
        <v>102.60836033594268</v>
      </c>
      <c r="AC141" s="61">
        <v>106.95696287128969</v>
      </c>
      <c r="AD141" s="61">
        <v>111.2784072946925</v>
      </c>
      <c r="AE141" s="61">
        <v>115.57276075373242</v>
      </c>
      <c r="AF141" s="61">
        <v>119.84009560888258</v>
      </c>
      <c r="AG141" s="61">
        <v>124.08048934231073</v>
      </c>
      <c r="AH141" s="61">
        <v>128.2940244569609</v>
      </c>
      <c r="AI141" s="20">
        <v>132.48078836687415</v>
      </c>
      <c r="AJ141" s="13">
        <v>775</v>
      </c>
    </row>
    <row r="142" spans="1:36" ht="9.9499999999999993" customHeight="1" x14ac:dyDescent="0.2">
      <c r="A142" s="20">
        <v>4.4406146152777069E-2</v>
      </c>
      <c r="B142" s="61">
        <v>4.9340026884432335E-2</v>
      </c>
      <c r="C142" s="61">
        <v>0.12334498564372733</v>
      </c>
      <c r="D142" s="61">
        <v>0.24667303244205807</v>
      </c>
      <c r="E142" s="61">
        <v>0.39464432856559989</v>
      </c>
      <c r="F142" s="61">
        <v>0.49327830734810751</v>
      </c>
      <c r="G142" s="61">
        <v>0.98628556735168327</v>
      </c>
      <c r="H142" s="61">
        <v>1.4790217457109791</v>
      </c>
      <c r="I142" s="61">
        <v>1.9714868082914476</v>
      </c>
      <c r="J142" s="61">
        <v>2.2176176605438731</v>
      </c>
      <c r="K142" s="61">
        <v>2.4636807211283118</v>
      </c>
      <c r="L142" s="61">
        <v>4.9205818628923028</v>
      </c>
      <c r="M142" s="61">
        <v>9.8140289212753391</v>
      </c>
      <c r="N142" s="61">
        <v>19.519394508078413</v>
      </c>
      <c r="O142" s="61">
        <v>38.603299562505462</v>
      </c>
      <c r="P142" s="61">
        <v>47.98155707483847</v>
      </c>
      <c r="Q142" s="61">
        <v>52.629732111592602</v>
      </c>
      <c r="R142" s="61">
        <v>57.250605196095975</v>
      </c>
      <c r="S142" s="61">
        <v>61.844182718334416</v>
      </c>
      <c r="T142" s="61">
        <v>66.410476024619129</v>
      </c>
      <c r="U142" s="61">
        <v>70.949501524059542</v>
      </c>
      <c r="V142" s="61">
        <v>75.461280772764098</v>
      </c>
      <c r="W142" s="61">
        <v>79.945840536902324</v>
      </c>
      <c r="X142" s="61">
        <v>84.403212835769523</v>
      </c>
      <c r="Y142" s="61">
        <v>88.833434965989525</v>
      </c>
      <c r="Z142" s="61">
        <v>93.236549507986538</v>
      </c>
      <c r="AA142" s="61">
        <v>97.61260431584806</v>
      </c>
      <c r="AB142" s="61">
        <v>101.96165249168254</v>
      </c>
      <c r="AC142" s="61">
        <v>106.28375234556346</v>
      </c>
      <c r="AD142" s="61">
        <v>110.5789673421236</v>
      </c>
      <c r="AE142" s="61">
        <v>114.84736603484312</v>
      </c>
      <c r="AF142" s="61">
        <v>119.08902198904595</v>
      </c>
      <c r="AG142" s="61">
        <v>123.30401369459021</v>
      </c>
      <c r="AH142" s="61">
        <v>127.49242446920545</v>
      </c>
      <c r="AI142" s="20">
        <v>131.65434235339549</v>
      </c>
      <c r="AJ142" s="13">
        <v>780</v>
      </c>
    </row>
    <row r="143" spans="1:36" ht="9.9499999999999993" customHeight="1" x14ac:dyDescent="0.2">
      <c r="A143" s="20">
        <v>4.4123304978300346E-2</v>
      </c>
      <c r="B143" s="61">
        <v>4.9025759840274977E-2</v>
      </c>
      <c r="C143" s="61">
        <v>0.12255935281935429</v>
      </c>
      <c r="D143" s="61">
        <v>0.24510188279164288</v>
      </c>
      <c r="E143" s="61">
        <v>0.3921307119603184</v>
      </c>
      <c r="F143" s="61">
        <v>0.49013647237747204</v>
      </c>
      <c r="G143" s="61">
        <v>0.98000375742452051</v>
      </c>
      <c r="H143" s="61">
        <v>1.4696018262233415</v>
      </c>
      <c r="I143" s="61">
        <v>1.9589306500136776</v>
      </c>
      <c r="J143" s="61">
        <v>2.2034940860872489</v>
      </c>
      <c r="K143" s="61">
        <v>2.4479902001972298</v>
      </c>
      <c r="L143" s="61">
        <v>4.8892478580057572</v>
      </c>
      <c r="M143" s="61">
        <v>9.7515517203901112</v>
      </c>
      <c r="N143" s="61">
        <v>19.395224291391177</v>
      </c>
      <c r="O143" s="61">
        <v>38.358256898941761</v>
      </c>
      <c r="P143" s="61">
        <v>47.677409939152994</v>
      </c>
      <c r="Q143" s="61">
        <v>52.296380803679661</v>
      </c>
      <c r="R143" s="61">
        <v>56.888287046746576</v>
      </c>
      <c r="S143" s="61">
        <v>61.453138788025733</v>
      </c>
      <c r="T143" s="61">
        <v>65.990950908596687</v>
      </c>
      <c r="U143" s="61">
        <v>70.501743153689986</v>
      </c>
      <c r="V143" s="61">
        <v>74.985540214006704</v>
      </c>
      <c r="W143" s="61">
        <v>79.442371786712059</v>
      </c>
      <c r="X143" s="61">
        <v>83.872272617200011</v>
      </c>
      <c r="Y143" s="61">
        <v>88.275282522725007</v>
      </c>
      <c r="Z143" s="61">
        <v>92.651446398989279</v>
      </c>
      <c r="AA143" s="61">
        <v>97.000814210762528</v>
      </c>
      <c r="AB143" s="61">
        <v>101.32344096759712</v>
      </c>
      <c r="AC143" s="61">
        <v>105.61938668568567</v>
      </c>
      <c r="AD143" s="61">
        <v>109.88871633688242</v>
      </c>
      <c r="AE143" s="61">
        <v>114.13149978588932</v>
      </c>
      <c r="AF143" s="61">
        <v>118.34781171658089</v>
      </c>
      <c r="AG143" s="61">
        <v>122.53773154841122</v>
      </c>
      <c r="AH143" s="61">
        <v>126.7013433438172</v>
      </c>
      <c r="AI143" s="20">
        <v>130.83873570750009</v>
      </c>
      <c r="AJ143" s="13">
        <v>785</v>
      </c>
    </row>
    <row r="144" spans="1:36" ht="9.9499999999999993" customHeight="1" x14ac:dyDescent="0.2">
      <c r="A144" s="20">
        <v>4.3844044162510191E-2</v>
      </c>
      <c r="B144" s="61">
        <v>4.871547097188459E-2</v>
      </c>
      <c r="C144" s="61">
        <v>0.12178366541346856</v>
      </c>
      <c r="D144" s="61">
        <v>0.24355062390632284</v>
      </c>
      <c r="E144" s="61">
        <v>0.38964892043560312</v>
      </c>
      <c r="F144" s="61">
        <v>0.48703441863366659</v>
      </c>
      <c r="G144" s="61">
        <v>0.97380150861090375</v>
      </c>
      <c r="H144" s="61">
        <v>1.4603012461426559</v>
      </c>
      <c r="I144" s="61">
        <v>1.9465336075900064</v>
      </c>
      <c r="J144" s="61">
        <v>2.1895495149369686</v>
      </c>
      <c r="K144" s="61">
        <v>2.4324985694684247</v>
      </c>
      <c r="L144" s="61">
        <v>4.8583115747517711</v>
      </c>
      <c r="M144" s="61">
        <v>9.6898696020647375</v>
      </c>
      <c r="N144" s="61">
        <v>19.272641803693837</v>
      </c>
      <c r="O144" s="61">
        <v>38.116372240329483</v>
      </c>
      <c r="P144" s="61">
        <v>47.377194793346824</v>
      </c>
      <c r="Q144" s="61">
        <v>51.967344942159812</v>
      </c>
      <c r="R144" s="61">
        <v>56.530665177041278</v>
      </c>
      <c r="S144" s="61">
        <v>61.067169157422121</v>
      </c>
      <c r="T144" s="61">
        <v>65.576875117146457</v>
      </c>
      <c r="U144" s="61">
        <v>70.059805963675871</v>
      </c>
      <c r="V144" s="61">
        <v>74.51598935668153</v>
      </c>
      <c r="W144" s="61">
        <v>78.945457767081123</v>
      </c>
      <c r="X144" s="61">
        <v>83.348248517582093</v>
      </c>
      <c r="Y144" s="61">
        <v>87.724403805784007</v>
      </c>
      <c r="Z144" s="61">
        <v>92.073970710891416</v>
      </c>
      <c r="AA144" s="61">
        <v>96.397001185068675</v>
      </c>
      <c r="AB144" s="61">
        <v>100.69355203046355</v>
      </c>
      <c r="AC144" s="61">
        <v>104.96368486290096</v>
      </c>
      <c r="AD144" s="61">
        <v>109.20746606322921</v>
      </c>
      <c r="AE144" s="61">
        <v>113.42496671728205</v>
      </c>
      <c r="AF144" s="61">
        <v>117.6162625453846</v>
      </c>
      <c r="AG144" s="61">
        <v>121.78143382231529</v>
      </c>
      <c r="AH144" s="61">
        <v>125.92056528859524</v>
      </c>
      <c r="AI144" s="20">
        <v>130.03374605395342</v>
      </c>
      <c r="AJ144" s="13">
        <v>790</v>
      </c>
    </row>
    <row r="145" spans="1:36" ht="9.9499999999999993" customHeight="1" x14ac:dyDescent="0.2">
      <c r="A145" s="20">
        <v>4.3568296147722639E-2</v>
      </c>
      <c r="B145" s="61">
        <v>4.8409085214715965E-2</v>
      </c>
      <c r="C145" s="61">
        <v>0.12101773574776695</v>
      </c>
      <c r="D145" s="61">
        <v>0.24201888037311708</v>
      </c>
      <c r="E145" s="61">
        <v>0.38719835322269092</v>
      </c>
      <c r="F145" s="61">
        <v>0.4839713950659269</v>
      </c>
      <c r="G145" s="61">
        <v>0.96767731791564382</v>
      </c>
      <c r="H145" s="61">
        <v>1.4511177496467444</v>
      </c>
      <c r="I145" s="61">
        <v>1.9342926714997883</v>
      </c>
      <c r="J145" s="61">
        <v>2.1757805603998177</v>
      </c>
      <c r="K145" s="61">
        <v>2.4172020648624075</v>
      </c>
      <c r="L145" s="61">
        <v>4.8277654637387952</v>
      </c>
      <c r="M145" s="61">
        <v>9.6289673881192819</v>
      </c>
      <c r="N145" s="61">
        <v>19.151616415051691</v>
      </c>
      <c r="O145" s="61">
        <v>37.877583577687361</v>
      </c>
      <c r="P145" s="61">
        <v>47.080833866574217</v>
      </c>
      <c r="Q145" s="61">
        <v>51.64253889146822</v>
      </c>
      <c r="R145" s="61">
        <v>56.177646109807867</v>
      </c>
      <c r="S145" s="61">
        <v>60.686172539681195</v>
      </c>
      <c r="T145" s="61">
        <v>65.168139594179095</v>
      </c>
      <c r="U145" s="61">
        <v>69.623573177240004</v>
      </c>
      <c r="V145" s="61">
        <v>74.052503759653803</v>
      </c>
      <c r="W145" s="61">
        <v>78.454966436249677</v>
      </c>
      <c r="X145" s="61">
        <v>82.831000965286961</v>
      </c>
      <c r="Y145" s="61">
        <v>87.180651791068129</v>
      </c>
      <c r="Z145" s="61">
        <v>91.503968050782234</v>
      </c>
      <c r="AA145" s="61">
        <v>95.801003566575119</v>
      </c>
      <c r="AB145" s="61">
        <v>100.07181682383141</v>
      </c>
      <c r="AC145" s="61">
        <v>104.31647093662932</v>
      </c>
      <c r="AD145" s="61">
        <v>108.53503360131683</v>
      </c>
      <c r="AE145" s="61">
        <v>112.72757703912687</v>
      </c>
      <c r="AF145" s="61">
        <v>116.89417792872966</v>
      </c>
      <c r="AG145" s="61">
        <v>121.03491732959164</v>
      </c>
      <c r="AH145" s="61">
        <v>125.14988059698003</v>
      </c>
      <c r="AI145" s="20">
        <v>129.23915728942595</v>
      </c>
      <c r="AJ145" s="13">
        <v>795</v>
      </c>
    </row>
    <row r="146" spans="1:36" ht="9.9499999999999993" customHeight="1" x14ac:dyDescent="0.2">
      <c r="A146" s="20">
        <v>4.3295995065343887E-2</v>
      </c>
      <c r="B146" s="61">
        <v>4.8106529381020127E-2</v>
      </c>
      <c r="C146" s="61">
        <v>0.12026138083704671</v>
      </c>
      <c r="D146" s="61">
        <v>0.24050628616893913</v>
      </c>
      <c r="E146" s="61">
        <v>0.38477842458373007</v>
      </c>
      <c r="F146" s="61">
        <v>0.48094666941802</v>
      </c>
      <c r="G146" s="61">
        <v>0.96162971999133062</v>
      </c>
      <c r="H146" s="61">
        <v>1.4420491374726665</v>
      </c>
      <c r="I146" s="61">
        <v>1.9222049077507941</v>
      </c>
      <c r="J146" s="61">
        <v>2.162183920817069</v>
      </c>
      <c r="K146" s="61">
        <v>2.4020970168544813</v>
      </c>
      <c r="L146" s="61">
        <v>4.7976021661024362</v>
      </c>
      <c r="M146" s="61">
        <v>9.568830286845655</v>
      </c>
      <c r="N146" s="61">
        <v>19.032118288114514</v>
      </c>
      <c r="O146" s="61">
        <v>37.641830549578877</v>
      </c>
      <c r="P146" s="61">
        <v>46.788251476467323</v>
      </c>
      <c r="Q146" s="61">
        <v>51.32187932668387</v>
      </c>
      <c r="R146" s="61">
        <v>55.829138901212538</v>
      </c>
      <c r="S146" s="61">
        <v>60.310050404088614</v>
      </c>
      <c r="T146" s="61">
        <v>64.764638262200009</v>
      </c>
      <c r="U146" s="61">
        <v>69.192931217938437</v>
      </c>
      <c r="V146" s="61">
        <v>73.594962402748862</v>
      </c>
      <c r="W146" s="61">
        <v>77.970769392564165</v>
      </c>
      <c r="X146" s="61">
        <v>82.320394246109103</v>
      </c>
      <c r="Y146" s="61">
        <v>86.643883527058421</v>
      </c>
      <c r="Z146" s="61">
        <v>90.94128831101591</v>
      </c>
      <c r="AA146" s="61">
        <v>95.212664178277663</v>
      </c>
      <c r="AB146" s="61">
        <v>99.458071193323178</v>
      </c>
      <c r="AC146" s="61">
        <v>103.67757387196194</v>
      </c>
      <c r="AD146" s="61">
        <v>107.87124113704283</v>
      </c>
      <c r="AE146" s="61">
        <v>112.03914626361055</v>
      </c>
      <c r="AF146" s="61">
        <v>116.18136681437163</v>
      </c>
      <c r="AG146" s="61">
        <v>120.29798456630105</v>
      </c>
      <c r="AH146" s="61">
        <v>124.38908542919954</v>
      </c>
      <c r="AI146" s="20">
        <v>128.45475935697752</v>
      </c>
      <c r="AJ146" s="13">
        <v>800</v>
      </c>
    </row>
    <row r="147" spans="1:36" ht="9.9499999999999993" customHeight="1" x14ac:dyDescent="0.2">
      <c r="A147" s="20">
        <v>4.3027076683407953E-2</v>
      </c>
      <c r="B147" s="61">
        <v>4.7807732101551523E-2</v>
      </c>
      <c r="C147" s="61">
        <v>0.11951442224340793</v>
      </c>
      <c r="D147" s="61">
        <v>0.2390124843687893</v>
      </c>
      <c r="E147" s="61">
        <v>0.38238856334447879</v>
      </c>
      <c r="F147" s="61">
        <v>0.47795952764377631</v>
      </c>
      <c r="G147" s="61">
        <v>0.95565728596600474</v>
      </c>
      <c r="H147" s="61">
        <v>1.433093265153166</v>
      </c>
      <c r="I147" s="61">
        <v>1.9102674555210795</v>
      </c>
      <c r="J147" s="61">
        <v>2.1487563769078206</v>
      </c>
      <c r="K147" s="61">
        <v>2.3871798475187291</v>
      </c>
      <c r="L147" s="61">
        <v>4.7678145075110834</v>
      </c>
      <c r="M147" s="61">
        <v>9.5094438807016779</v>
      </c>
      <c r="N147" s="61">
        <v>18.914118352334992</v>
      </c>
      <c r="O147" s="61">
        <v>37.409054386684211</v>
      </c>
      <c r="P147" s="61">
        <v>46.499373957947526</v>
      </c>
      <c r="Q147" s="61">
        <v>51.005285154312958</v>
      </c>
      <c r="R147" s="61">
        <v>55.485055053451873</v>
      </c>
      <c r="S147" s="61">
        <v>59.938706880616813</v>
      </c>
      <c r="T147" s="61">
        <v>64.366267918713234</v>
      </c>
      <c r="U147" s="61">
        <v>68.767769597914466</v>
      </c>
      <c r="V147" s="61">
        <v>73.143247566878699</v>
      </c>
      <c r="W147" s="61">
        <v>77.492741746520252</v>
      </c>
      <c r="X147" s="61">
        <v>81.816296367288274</v>
      </c>
      <c r="Y147" s="61">
        <v>86.113959990898636</v>
      </c>
      <c r="Z147" s="61">
        <v>90.385785517452902</v>
      </c>
      <c r="AA147" s="61">
        <v>94.63183017887178</v>
      </c>
      <c r="AB147" s="61">
        <v>98.85215551954812</v>
      </c>
      <c r="AC147" s="61">
        <v>103.04682736511539</v>
      </c>
      <c r="AD147" s="61">
        <v>107.21591578020104</v>
      </c>
      <c r="AE147" s="61">
        <v>111.35949501601533</v>
      </c>
      <c r="AF147" s="61">
        <v>115.47764344860236</v>
      </c>
      <c r="AG147" s="61">
        <v>119.57044350855558</v>
      </c>
      <c r="AH147" s="61">
        <v>123.63798160297019</v>
      </c>
      <c r="AI147" s="20">
        <v>127.68034803037945</v>
      </c>
      <c r="AJ147" s="13">
        <v>805</v>
      </c>
    </row>
    <row r="148" spans="1:36" ht="9.9499999999999993" customHeight="1" x14ac:dyDescent="0.2">
      <c r="A148" s="20">
        <v>4.2761478356057286E-2</v>
      </c>
      <c r="B148" s="61">
        <v>4.7512623769433396E-2</v>
      </c>
      <c r="C148" s="61">
        <v>0.11877668593585876</v>
      </c>
      <c r="D148" s="61">
        <v>0.23753712686476255</v>
      </c>
      <c r="E148" s="61">
        <v>0.38002821244433371</v>
      </c>
      <c r="F148" s="61">
        <v>0.47500927334430748</v>
      </c>
      <c r="G148" s="61">
        <v>0.94975862231440422</v>
      </c>
      <c r="H148" s="61">
        <v>1.4242480413187848</v>
      </c>
      <c r="I148" s="61">
        <v>1.8984775248888155</v>
      </c>
      <c r="J148" s="61">
        <v>2.1354947892115117</v>
      </c>
      <c r="K148" s="61">
        <v>2.3724470676824345</v>
      </c>
      <c r="L148" s="61">
        <v>4.7383954923972444</v>
      </c>
      <c r="M148" s="61">
        <v>9.4507941144754444</v>
      </c>
      <c r="N148" s="61">
        <v>18.797588279198443</v>
      </c>
      <c r="O148" s="61">
        <v>37.179197858633671</v>
      </c>
      <c r="P148" s="61">
        <v>46.214129594983483</v>
      </c>
      <c r="Q148" s="61">
        <v>50.692677436374005</v>
      </c>
      <c r="R148" s="61">
        <v>55.14530843110316</v>
      </c>
      <c r="S148" s="61">
        <v>59.572048668501616</v>
      </c>
      <c r="T148" s="61">
        <v>63.972928137009106</v>
      </c>
      <c r="U148" s="61">
        <v>68.347980810899713</v>
      </c>
      <c r="V148" s="61">
        <v>72.697244719279411</v>
      </c>
      <c r="W148" s="61">
        <v>77.02076199827971</v>
      </c>
      <c r="X148" s="61">
        <v>81.318578927364882</v>
      </c>
      <c r="Y148" s="61">
        <v>85.590745950665053</v>
      </c>
      <c r="Z148" s="61">
        <v>89.837317684238116</v>
      </c>
      <c r="AA148" s="61">
        <v>94.058352910147477</v>
      </c>
      <c r="AB148" s="61">
        <v>98.25391455823349</v>
      </c>
      <c r="AC148" s="61">
        <v>102.42406967643623</v>
      </c>
      <c r="AD148" s="61">
        <v>106.56888939050529</v>
      </c>
      <c r="AE148" s="61">
        <v>110.68844885391744</v>
      </c>
      <c r="AF148" s="61">
        <v>114.78282718879198</v>
      </c>
      <c r="AG148" s="61">
        <v>118.85210741857938</v>
      </c>
      <c r="AH148" s="61">
        <v>122.89637639325876</v>
      </c>
      <c r="AI148" s="20">
        <v>126.91572470776987</v>
      </c>
      <c r="AJ148" s="13">
        <v>810</v>
      </c>
    </row>
    <row r="149" spans="1:36" ht="9.9499999999999993" customHeight="1" x14ac:dyDescent="0.2">
      <c r="A149" s="20">
        <v>4.2499138974883367E-2</v>
      </c>
      <c r="B149" s="61">
        <v>4.722113648609063E-2</v>
      </c>
      <c r="C149" s="61">
        <v>0.11804800215508929</v>
      </c>
      <c r="D149" s="61">
        <v>0.23607987409541031</v>
      </c>
      <c r="E149" s="61">
        <v>0.3776968285029465</v>
      </c>
      <c r="F149" s="61">
        <v>0.47209522722597375</v>
      </c>
      <c r="G149" s="61">
        <v>0.94393236977089756</v>
      </c>
      <c r="H149" s="61">
        <v>1.4155114260627721</v>
      </c>
      <c r="I149" s="61">
        <v>1.8868323946462287</v>
      </c>
      <c r="J149" s="61">
        <v>2.1223960956252705</v>
      </c>
      <c r="K149" s="61">
        <v>2.3578952741861086</v>
      </c>
      <c r="L149" s="61">
        <v>4.7093382984047549</v>
      </c>
      <c r="M149" s="61">
        <v>9.3928672838991201</v>
      </c>
      <c r="N149" s="61">
        <v>18.682500458417586</v>
      </c>
      <c r="O149" s="61">
        <v>36.952205222993918</v>
      </c>
      <c r="P149" s="61">
        <v>45.932448555153066</v>
      </c>
      <c r="Q149" s="61">
        <v>50.383979317620124</v>
      </c>
      <c r="R149" s="61">
        <v>54.809815180951922</v>
      </c>
      <c r="S149" s="61">
        <v>59.209984948640155</v>
      </c>
      <c r="T149" s="61">
        <v>63.584521171116783</v>
      </c>
      <c r="U149" s="61">
        <v>67.933460229724801</v>
      </c>
      <c r="V149" s="61">
        <v>72.256842403603912</v>
      </c>
      <c r="W149" s="61">
        <v>76.554711920384349</v>
      </c>
      <c r="X149" s="61">
        <v>80.82711699157305</v>
      </c>
      <c r="Y149" s="61">
        <v>85.074109833513191</v>
      </c>
      <c r="Z149" s="61">
        <v>89.295746674787097</v>
      </c>
      <c r="AA149" s="61">
        <v>93.49208775091752</v>
      </c>
      <c r="AB149" s="61">
        <v>97.663197287211389</v>
      </c>
      <c r="AC149" s="61">
        <v>101.8091434705721</v>
      </c>
      <c r="AD149" s="61">
        <v>105.9299984110833</v>
      </c>
      <c r="AE149" s="61">
        <v>110.02583809415462</v>
      </c>
      <c r="AF149" s="61">
        <v>114.0967423239869</v>
      </c>
      <c r="AG149" s="61">
        <v>118.14279465910225</v>
      </c>
      <c r="AH149" s="61">
        <v>122.16408234064893</v>
      </c>
      <c r="AI149" s="20">
        <v>126.16069621417114</v>
      </c>
      <c r="AJ149" s="13">
        <v>815</v>
      </c>
    </row>
    <row r="150" spans="1:36" ht="9.9499999999999993" customHeight="1" x14ac:dyDescent="0.2">
      <c r="A150" s="20">
        <v>4.2239998922048091E-2</v>
      </c>
      <c r="B150" s="61">
        <v>4.6933204009160685E-2</v>
      </c>
      <c r="C150" s="61">
        <v>0.11732820528319639</v>
      </c>
      <c r="D150" s="61">
        <v>0.23464039478500937</v>
      </c>
      <c r="E150" s="61">
        <v>0.37539388140271635</v>
      </c>
      <c r="F150" s="61">
        <v>0.46921672657821728</v>
      </c>
      <c r="G150" s="61">
        <v>0.93817720228232315</v>
      </c>
      <c r="H150" s="61">
        <v>1.4068814293661294</v>
      </c>
      <c r="I150" s="61">
        <v>1.8753294101940583</v>
      </c>
      <c r="J150" s="61">
        <v>2.1094573090320474</v>
      </c>
      <c r="K150" s="61">
        <v>2.3435211472445987</v>
      </c>
      <c r="L150" s="61">
        <v>4.6806362710423688</v>
      </c>
      <c r="M150" s="61">
        <v>9.3356500246922405</v>
      </c>
      <c r="N150" s="61">
        <v>18.568827975048041</v>
      </c>
      <c r="O150" s="61">
        <v>36.728022176304357</v>
      </c>
      <c r="P150" s="61">
        <v>45.654262826873506</v>
      </c>
      <c r="Q150" s="61">
        <v>50.079115955748435</v>
      </c>
      <c r="R150" s="61">
        <v>54.478493655127451</v>
      </c>
      <c r="S150" s="61">
        <v>58.852427299620942</v>
      </c>
      <c r="T150" s="61">
        <v>63.200951864715023</v>
      </c>
      <c r="U150" s="61">
        <v>67.524106008116391</v>
      </c>
      <c r="V150" s="61">
        <v>71.821932134626763</v>
      </c>
      <c r="W150" s="61">
        <v>76.094476445408247</v>
      </c>
      <c r="X150" s="61">
        <v>80.341788972495081</v>
      </c>
      <c r="Y150" s="61">
        <v>84.563923599402074</v>
      </c>
      <c r="Z150" s="61">
        <v>88.760938068666675</v>
      </c>
      <c r="AA150" s="61">
        <v>92.932893977150513</v>
      </c>
      <c r="AB150" s="61">
        <v>97.079856759913028</v>
      </c>
      <c r="AC150" s="61">
        <v>101.20189566344877</v>
      </c>
      <c r="AD150" s="61">
        <v>105.2990837090679</v>
      </c>
      <c r="AE150" s="61">
        <v>109.37149764717132</v>
      </c>
      <c r="AF150" s="61">
        <v>113.41921790315766</v>
      </c>
      <c r="AG150" s="61">
        <v>117.44232851567064</v>
      </c>
      <c r="AH150" s="61">
        <v>121.44091706787508</v>
      </c>
      <c r="AI150" s="20">
        <v>125.41507461242099</v>
      </c>
      <c r="AJ150" s="13">
        <v>820</v>
      </c>
    </row>
    <row r="151" spans="1:36" ht="9.9499999999999993" customHeight="1" x14ac:dyDescent="0.2">
      <c r="A151" s="20">
        <v>4.1984000025109505E-2</v>
      </c>
      <c r="B151" s="61">
        <v>4.6648761702298869E-2</v>
      </c>
      <c r="C151" s="61">
        <v>0.1166171337181464</v>
      </c>
      <c r="D151" s="61">
        <v>0.23321836569232324</v>
      </c>
      <c r="E151" s="61">
        <v>0.37311885388648386</v>
      </c>
      <c r="F151" s="61">
        <v>0.4663731247704111</v>
      </c>
      <c r="G151" s="61">
        <v>0.93249182599902958</v>
      </c>
      <c r="H151" s="61">
        <v>1.3983561095801957</v>
      </c>
      <c r="I151" s="61">
        <v>1.8639659815130616</v>
      </c>
      <c r="J151" s="61">
        <v>2.0966755150156007</v>
      </c>
      <c r="K151" s="61">
        <v>2.3293214479049351</v>
      </c>
      <c r="L151" s="61">
        <v>4.652282918534894</v>
      </c>
      <c r="M151" s="61">
        <v>9.2791293020155816</v>
      </c>
      <c r="N151" s="61">
        <v>18.456544587483144</v>
      </c>
      <c r="O151" s="61">
        <v>36.506595807067463</v>
      </c>
      <c r="P151" s="61">
        <v>45.379506159171626</v>
      </c>
      <c r="Q151" s="61">
        <v>49.778014454449547</v>
      </c>
      <c r="R151" s="61">
        <v>54.151264337385619</v>
      </c>
      <c r="S151" s="61">
        <v>58.499289617208746</v>
      </c>
      <c r="T151" s="61">
        <v>62.822127563807548</v>
      </c>
      <c r="U151" s="61">
        <v>67.119818986569129</v>
      </c>
      <c r="V151" s="61">
        <v>71.39240829733447</v>
      </c>
      <c r="W151" s="61">
        <v>75.639943558303116</v>
      </c>
      <c r="X151" s="61">
        <v>79.86247651571415</v>
      </c>
      <c r="Y151" s="61">
        <v>84.060062620122054</v>
      </c>
      <c r="Z151" s="61">
        <v>88.232761034075821</v>
      </c>
      <c r="AA151" s="61">
        <v>92.380634627998361</v>
      </c>
      <c r="AB151" s="61">
        <v>96.5037499650455</v>
      </c>
      <c r="AC151" s="61">
        <v>100.60217727571167</v>
      </c>
      <c r="AD151" s="61">
        <v>104.67599042292601</v>
      </c>
      <c r="AE151" s="61">
        <v>108.72526685836958</v>
      </c>
      <c r="AF151" s="61">
        <v>112.75008757071471</v>
      </c>
      <c r="AG151" s="61">
        <v>116.75053702647469</v>
      </c>
      <c r="AH151" s="61">
        <v>120.72670310411986</v>
      </c>
      <c r="AI151" s="20">
        <v>124.67867702209836</v>
      </c>
      <c r="AJ151" s="13">
        <v>825</v>
      </c>
    </row>
    <row r="152" spans="1:36" ht="9.9499999999999993" customHeight="1" x14ac:dyDescent="0.2">
      <c r="A152" s="20">
        <v>4.17310855134813E-2</v>
      </c>
      <c r="B152" s="61">
        <v>4.636774648679852E-2</v>
      </c>
      <c r="C152" s="61">
        <v>0.11591462975277815</v>
      </c>
      <c r="D152" s="61">
        <v>0.23181347136844865</v>
      </c>
      <c r="E152" s="61">
        <v>0.3708712411697857</v>
      </c>
      <c r="F152" s="61">
        <v>0.463563790766929</v>
      </c>
      <c r="G152" s="61">
        <v>0.92687497830250254</v>
      </c>
      <c r="H152" s="61">
        <v>1.3899335719643549</v>
      </c>
      <c r="I152" s="61">
        <v>1.8527395812093432</v>
      </c>
      <c r="J152" s="61">
        <v>2.0840478696587095</v>
      </c>
      <c r="K152" s="61">
        <v>2.3152930155967808</v>
      </c>
      <c r="L152" s="61">
        <v>4.6242719068633305</v>
      </c>
      <c r="M152" s="61">
        <v>9.2232924003177548</v>
      </c>
      <c r="N152" s="61">
        <v>18.345624706288323</v>
      </c>
      <c r="O152" s="61">
        <v>36.287874550600407</v>
      </c>
      <c r="P152" s="61">
        <v>45.108114003872544</v>
      </c>
      <c r="Q152" s="61">
        <v>49.480603799163333</v>
      </c>
      <c r="R152" s="61">
        <v>53.828049772385299</v>
      </c>
      <c r="S152" s="61">
        <v>58.150488037116794</v>
      </c>
      <c r="T152" s="61">
        <v>62.447958032981425</v>
      </c>
      <c r="U152" s="61">
        <v>66.720502602094257</v>
      </c>
      <c r="V152" s="61">
        <v>70.968168050185341</v>
      </c>
      <c r="W152" s="61">
        <v>75.191004193206751</v>
      </c>
      <c r="X152" s="61">
        <v>79.389064390221066</v>
      </c>
      <c r="Y152" s="61">
        <v>83.562405563362688</v>
      </c>
      <c r="Z152" s="61">
        <v>87.711088205651635</v>
      </c>
      <c r="AA152" s="61">
        <v>91.83517637742581</v>
      </c>
      <c r="AB152" s="61">
        <v>95.934737692146129</v>
      </c>
      <c r="AC152" s="61">
        <v>100.00984329231032</v>
      </c>
      <c r="AD152" s="61">
        <v>104.06056781619432</v>
      </c>
      <c r="AE152" s="61">
        <v>108.08698935612028</v>
      </c>
      <c r="AF152" s="61">
        <v>112.08918940892981</v>
      </c>
      <c r="AG152" s="61">
        <v>116.06725281932147</v>
      </c>
      <c r="AH152" s="61">
        <v>120.02126771668499</v>
      </c>
      <c r="AI152" s="20">
        <v>123.95132544604706</v>
      </c>
      <c r="AJ152" s="13">
        <v>830</v>
      </c>
    </row>
    <row r="153" spans="1:36" ht="9.9499999999999993" customHeight="1" x14ac:dyDescent="0.2">
      <c r="A153" s="20">
        <v>4.1481199976456204E-2</v>
      </c>
      <c r="B153" s="61">
        <v>4.6090096794949284E-2</v>
      </c>
      <c r="C153" s="61">
        <v>0.11522053945815458</v>
      </c>
      <c r="D153" s="61">
        <v>0.23042540392337074</v>
      </c>
      <c r="E153" s="61">
        <v>0.36865055056705787</v>
      </c>
      <c r="F153" s="61">
        <v>0.46078810865966086</v>
      </c>
      <c r="G153" s="61">
        <v>0.92132542686804353</v>
      </c>
      <c r="H153" s="61">
        <v>1.3816119672765212</v>
      </c>
      <c r="I153" s="61">
        <v>1.8416477426303095</v>
      </c>
      <c r="J153" s="61">
        <v>2.0715715974210069</v>
      </c>
      <c r="K153" s="61">
        <v>2.3014327657715934</v>
      </c>
      <c r="L153" s="61">
        <v>4.5965970549859323</v>
      </c>
      <c r="M153" s="61">
        <v>9.1681269135572361</v>
      </c>
      <c r="N153" s="61">
        <v>18.23604337383755</v>
      </c>
      <c r="O153" s="61">
        <v>36.071808145661969</v>
      </c>
      <c r="P153" s="61">
        <v>44.840023460094045</v>
      </c>
      <c r="Q153" s="61">
        <v>49.186814795410875</v>
      </c>
      <c r="R153" s="61">
        <v>53.508774497818948</v>
      </c>
      <c r="S153" s="61">
        <v>57.805940860909132</v>
      </c>
      <c r="T153" s="61">
        <v>62.078355375071574</v>
      </c>
      <c r="U153" s="61">
        <v>66.32606280165426</v>
      </c>
      <c r="V153" s="61">
        <v>70.549111232336159</v>
      </c>
      <c r="W153" s="61">
        <v>74.747552134494939</v>
      </c>
      <c r="X153" s="61">
        <v>78.921440383339743</v>
      </c>
      <c r="Y153" s="61">
        <v>83.070834281573511</v>
      </c>
      <c r="Z153" s="61">
        <v>87.195795567336035</v>
      </c>
      <c r="AA153" s="61">
        <v>91.296389411167809</v>
      </c>
      <c r="AB153" s="61">
        <v>95.37268440272085</v>
      </c>
      <c r="AC153" s="61">
        <v>99.424752527925165</v>
      </c>
      <c r="AD153" s="61">
        <v>103.45266913730308</v>
      </c>
      <c r="AE153" s="61">
        <v>107.45651290610571</v>
      </c>
      <c r="AF153" s="61">
        <v>111.43636578692271</v>
      </c>
      <c r="AG153" s="61">
        <v>115.39231295540021</v>
      </c>
      <c r="AH153" s="61">
        <v>119.32444274967658</v>
      </c>
      <c r="AI153" s="20">
        <v>123.23284660412344</v>
      </c>
      <c r="AJ153" s="13">
        <v>835</v>
      </c>
    </row>
    <row r="154" spans="1:36" ht="9.9499999999999993" customHeight="1" x14ac:dyDescent="0.2">
      <c r="A154" s="20">
        <v>4.1234289322729135E-2</v>
      </c>
      <c r="B154" s="61">
        <v>4.5815752525061634E-2</v>
      </c>
      <c r="C154" s="61">
        <v>0.11453471257108153</v>
      </c>
      <c r="D154" s="61">
        <v>0.22905386280086221</v>
      </c>
      <c r="E154" s="61">
        <v>0.36645630113120597</v>
      </c>
      <c r="F154" s="61">
        <v>0.45804547721725142</v>
      </c>
      <c r="G154" s="61">
        <v>0.9158419687610172</v>
      </c>
      <c r="H154" s="61">
        <v>1.3733894904141997</v>
      </c>
      <c r="I154" s="61">
        <v>1.830688058048364</v>
      </c>
      <c r="J154" s="61">
        <v>2.0592439890931677</v>
      </c>
      <c r="K154" s="61">
        <v>2.2877376876267643</v>
      </c>
      <c r="L154" s="61">
        <v>4.5692523302325583</v>
      </c>
      <c r="M154" s="61">
        <v>9.1136207357839147</v>
      </c>
      <c r="N154" s="61">
        <v>18.127776244716223</v>
      </c>
      <c r="O154" s="61">
        <v>35.858347592772787</v>
      </c>
      <c r="P154" s="61">
        <v>44.575173220936655</v>
      </c>
      <c r="Q154" s="61">
        <v>48.896580009581577</v>
      </c>
      <c r="R154" s="61">
        <v>53.193364979257275</v>
      </c>
      <c r="S154" s="61">
        <v>57.46556848488251</v>
      </c>
      <c r="T154" s="61">
        <v>61.713233954072749</v>
      </c>
      <c r="U154" s="61">
        <v>65.936407959110639</v>
      </c>
      <c r="V154" s="61">
        <v>70.135140274645053</v>
      </c>
      <c r="W154" s="61">
        <v>74.309483921874161</v>
      </c>
      <c r="X154" s="61">
        <v>78.459495199955825</v>
      </c>
      <c r="Y154" s="61">
        <v>82.585233705384084</v>
      </c>
      <c r="Z154" s="61">
        <v>86.68676234005784</v>
      </c>
      <c r="AA154" s="61">
        <v>90.764147308752896</v>
      </c>
      <c r="AB154" s="61">
        <v>94.817458106699647</v>
      </c>
      <c r="AC154" s="61">
        <v>98.846767497948946</v>
      </c>
      <c r="AD154" s="61">
        <v>102.85215148519184</v>
      </c>
      <c r="AE154" s="61">
        <v>106.83368927168254</v>
      </c>
      <c r="AF154" s="61">
        <v>110.79146321589319</v>
      </c>
      <c r="AG154" s="61">
        <v>114.72555877951046</v>
      </c>
      <c r="AH154" s="61">
        <v>118.6360644693581</v>
      </c>
      <c r="AI154" s="20">
        <v>122.52307177381665</v>
      </c>
      <c r="AJ154" s="13">
        <v>840</v>
      </c>
    </row>
    <row r="155" spans="1:36" ht="9.9499999999999993" customHeight="1" x14ac:dyDescent="0.2">
      <c r="A155" s="20">
        <v>4.0990300741357587E-2</v>
      </c>
      <c r="B155" s="61">
        <v>4.5544654998088539E-2</v>
      </c>
      <c r="C155" s="61">
        <v>0.11385700238562274</v>
      </c>
      <c r="D155" s="61">
        <v>0.22769855456137936</v>
      </c>
      <c r="E155" s="61">
        <v>0.36428802330598731</v>
      </c>
      <c r="F155" s="61">
        <v>0.45533530945037087</v>
      </c>
      <c r="G155" s="61">
        <v>0.91042342956529854</v>
      </c>
      <c r="H155" s="61">
        <v>1.3652643791040211</v>
      </c>
      <c r="I155" s="61">
        <v>1.8198581769094591</v>
      </c>
      <c r="J155" s="61">
        <v>2.0470623998242106</v>
      </c>
      <c r="K155" s="61">
        <v>2.2742048419111396</v>
      </c>
      <c r="L155" s="61">
        <v>4.5422318438649443</v>
      </c>
      <c r="M155" s="61">
        <v>9.0597620520645759</v>
      </c>
      <c r="N155" s="61">
        <v>18.020799566856873</v>
      </c>
      <c r="O155" s="61">
        <v>35.647445114150386</v>
      </c>
      <c r="P155" s="61">
        <v>44.313503522268554</v>
      </c>
      <c r="Q155" s="61">
        <v>48.609833712060265</v>
      </c>
      <c r="R155" s="61">
        <v>52.881749547584377</v>
      </c>
      <c r="S155" s="61">
        <v>57.129293331787586</v>
      </c>
      <c r="T155" s="61">
        <v>61.352510321140414</v>
      </c>
      <c r="U155" s="61">
        <v>65.551448795512101</v>
      </c>
      <c r="V155" s="61">
        <v>69.726160114268026</v>
      </c>
      <c r="W155" s="61">
        <v>73.876698759318245</v>
      </c>
      <c r="X155" s="61">
        <v>78.003122365836688</v>
      </c>
      <c r="Y155" s="61">
        <v>82.105491741364659</v>
      </c>
      <c r="Z155" s="61">
        <v>86.183870873998302</v>
      </c>
      <c r="AA155" s="61">
        <v>90.23832693034781</v>
      </c>
      <c r="AB155" s="61">
        <v>94.268930243944808</v>
      </c>
      <c r="AC155" s="61">
        <v>98.275754294754094</v>
      </c>
      <c r="AD155" s="61">
        <v>102.25887568043474</v>
      </c>
      <c r="AE155" s="61">
        <v>106.21837407997313</v>
      </c>
      <c r="AF155" s="61">
        <v>110.15433221029353</v>
      </c>
      <c r="AG155" s="61">
        <v>114.06683577643405</v>
      </c>
      <c r="AH155" s="61">
        <v>117.95597341585221</v>
      </c>
      <c r="AI155" s="20">
        <v>121.82183663740487</v>
      </c>
      <c r="AJ155" s="13">
        <v>845</v>
      </c>
    </row>
    <row r="156" spans="1:36" ht="9.9499999999999993" customHeight="1" x14ac:dyDescent="0.2">
      <c r="A156" s="20">
        <v>4.0749182664099826E-2</v>
      </c>
      <c r="B156" s="61">
        <v>4.5276746915778029E-2</v>
      </c>
      <c r="C156" s="61">
        <v>0.1131872656484437</v>
      </c>
      <c r="D156" s="61">
        <v>0.22635919267262747</v>
      </c>
      <c r="E156" s="61">
        <v>0.36214525859067653</v>
      </c>
      <c r="F156" s="61">
        <v>0.45265703219234493</v>
      </c>
      <c r="G156" s="61">
        <v>0.9050686625425608</v>
      </c>
      <c r="H156" s="61">
        <v>1.3572349126377357</v>
      </c>
      <c r="I156" s="61">
        <v>1.8091558041438469</v>
      </c>
      <c r="J156" s="61">
        <v>2.0350242472188937</v>
      </c>
      <c r="K156" s="61">
        <v>2.2608313588086006</v>
      </c>
      <c r="L156" s="61">
        <v>4.5155298467960003</v>
      </c>
      <c r="M156" s="61">
        <v>9.0065393297375937</v>
      </c>
      <c r="N156" s="61">
        <v>17.915090163375403</v>
      </c>
      <c r="O156" s="61">
        <v>35.439054115186359</v>
      </c>
      <c r="P156" s="61">
        <v>44.054956093507826</v>
      </c>
      <c r="Q156" s="61">
        <v>48.326511822584685</v>
      </c>
      <c r="R156" s="61">
        <v>52.573858338898802</v>
      </c>
      <c r="S156" s="61">
        <v>56.797039785256118</v>
      </c>
      <c r="T156" s="61">
        <v>60.996103143537965</v>
      </c>
      <c r="U156" s="61">
        <v>65.171098302569092</v>
      </c>
      <c r="V156" s="61">
        <v>69.322078112679549</v>
      </c>
      <c r="W156" s="61">
        <v>73.44909842766657</v>
      </c>
      <c r="X156" s="61">
        <v>77.55221813485069</v>
      </c>
      <c r="Y156" s="61">
        <v>81.631499173917632</v>
      </c>
      <c r="Z156" s="61">
        <v>85.687006545218253</v>
      </c>
      <c r="AA156" s="61">
        <v>89.718808308193388</v>
      </c>
      <c r="AB156" s="61">
        <v>93.726975570574155</v>
      </c>
      <c r="AC156" s="61">
        <v>97.711582468990756</v>
      </c>
      <c r="AD156" s="61">
        <v>101.67270614161139</v>
      </c>
      <c r="AE156" s="61">
        <v>105.61042669341131</v>
      </c>
      <c r="AF156" s="61">
        <v>109.52482715465584</v>
      </c>
      <c r="AG156" s="61">
        <v>113.41599343316157</v>
      </c>
      <c r="AH156" s="61">
        <v>117.28401426088139</v>
      </c>
      <c r="AI156" s="20">
        <v>121.12898113533657</v>
      </c>
      <c r="AJ156" s="13">
        <v>850</v>
      </c>
    </row>
    <row r="157" spans="1:36" ht="9.9499999999999993" customHeight="1" x14ac:dyDescent="0.2">
      <c r="A157" s="20">
        <v>4.0510884729075013E-2</v>
      </c>
      <c r="B157" s="61">
        <v>4.5011972320294517E-2</v>
      </c>
      <c r="C157" s="61">
        <v>0.1125253624578299</v>
      </c>
      <c r="D157" s="61">
        <v>0.22503549730747971</v>
      </c>
      <c r="E157" s="61">
        <v>0.36002755921651075</v>
      </c>
      <c r="F157" s="61">
        <v>0.45001008569452988</v>
      </c>
      <c r="G157" s="61">
        <v>0.89977654782115801</v>
      </c>
      <c r="H157" s="61">
        <v>1.3492994106527467</v>
      </c>
      <c r="I157" s="61">
        <v>1.7985786985364476</v>
      </c>
      <c r="J157" s="61">
        <v>2.0231270095023151</v>
      </c>
      <c r="K157" s="61">
        <v>2.2476144358964438</v>
      </c>
      <c r="L157" s="61">
        <v>4.4891407254614357</v>
      </c>
      <c r="M157" s="61">
        <v>8.9539413099831719</v>
      </c>
      <c r="N157" s="61">
        <v>17.810625415077407</v>
      </c>
      <c r="O157" s="61">
        <v>35.23312914739536</v>
      </c>
      <c r="P157" s="61">
        <v>43.799474110310186</v>
      </c>
      <c r="Q157" s="61">
        <v>48.046551857732453</v>
      </c>
      <c r="R157" s="61">
        <v>52.269623236768453</v>
      </c>
      <c r="S157" s="61">
        <v>56.468734126806233</v>
      </c>
      <c r="T157" s="61">
        <v>60.64393313638957</v>
      </c>
      <c r="U157" s="61">
        <v>64.795271669161792</v>
      </c>
      <c r="V157" s="61">
        <v>68.92280397695545</v>
      </c>
      <c r="W157" s="61">
        <v>73.026587200711305</v>
      </c>
      <c r="X157" s="61">
        <v>77.106681399898932</v>
      </c>
      <c r="Y157" s="61">
        <v>81.163149571104768</v>
      </c>
      <c r="Z157" s="61">
        <v>85.196057656439962</v>
      </c>
      <c r="AA157" s="61">
        <v>89.205474542408609</v>
      </c>
      <c r="AB157" s="61">
        <v>93.191472049865979</v>
      </c>
      <c r="AC157" s="61">
        <v>97.154124915676277</v>
      </c>
      <c r="AD157" s="61">
        <v>101.09351076666999</v>
      </c>
      <c r="AE157" s="61">
        <v>105.00971008647743</v>
      </c>
      <c r="AF157" s="61">
        <v>108.90280617580375</v>
      </c>
      <c r="AG157" s="61">
        <v>112.77288510668592</v>
      </c>
      <c r="AH157" s="61">
        <v>116.62003567125963</v>
      </c>
      <c r="AI157" s="20">
        <v>120.44434932553824</v>
      </c>
      <c r="AJ157" s="13">
        <v>855</v>
      </c>
    </row>
    <row r="158" spans="1:36" ht="9.9499999999999993" customHeight="1" x14ac:dyDescent="0.2">
      <c r="A158" s="20">
        <v>4.0275357745690979E-2</v>
      </c>
      <c r="B158" s="61">
        <v>4.4750276555248963E-2</v>
      </c>
      <c r="C158" s="61">
        <v>0.11187115616622917</v>
      </c>
      <c r="D158" s="61">
        <v>0.22372719514895087</v>
      </c>
      <c r="E158" s="61">
        <v>0.35793448783443854</v>
      </c>
      <c r="F158" s="61">
        <v>0.44739392323581512</v>
      </c>
      <c r="G158" s="61">
        <v>0.89454599161337933</v>
      </c>
      <c r="H158" s="61">
        <v>1.3414562319553842</v>
      </c>
      <c r="I158" s="61">
        <v>1.7881246711543917</v>
      </c>
      <c r="J158" s="61">
        <v>2.0113682237489541</v>
      </c>
      <c r="K158" s="61">
        <v>2.2345513361754823</v>
      </c>
      <c r="L158" s="61">
        <v>4.4630589978374893</v>
      </c>
      <c r="M158" s="61">
        <v>8.9019569996955035</v>
      </c>
      <c r="N158" s="61">
        <v>17.707383243605893</v>
      </c>
      <c r="O158" s="61">
        <v>35.029625872770062</v>
      </c>
      <c r="P158" s="61">
        <v>43.547002149076391</v>
      </c>
      <c r="Q158" s="61">
        <v>47.769892880436856</v>
      </c>
      <c r="R158" s="61">
        <v>51.968977816729243</v>
      </c>
      <c r="S158" s="61">
        <v>56.144304475309021</v>
      </c>
      <c r="T158" s="61">
        <v>60.295922997110246</v>
      </c>
      <c r="U158" s="61">
        <v>64.423886210741657</v>
      </c>
      <c r="V158" s="61">
        <v>68.528249684164237</v>
      </c>
      <c r="W158" s="61">
        <v>72.609071764608728</v>
      </c>
      <c r="X158" s="61">
        <v>76.666413607384627</v>
      </c>
      <c r="Y158" s="61">
        <v>80.70033919422346</v>
      </c>
      <c r="Z158" s="61">
        <v>84.710915341787398</v>
      </c>
      <c r="AA158" s="61">
        <v>88.698211700960286</v>
      </c>
      <c r="AB158" s="61">
        <v>92.662300747529642</v>
      </c>
      <c r="AC158" s="61">
        <v>96.603257764847697</v>
      </c>
      <c r="AD158" s="61">
        <v>100.5211608190487</v>
      </c>
      <c r="AE158" s="61">
        <v>104.41609072738071</v>
      </c>
      <c r="AF158" s="61">
        <v>108.28813102019302</v>
      </c>
      <c r="AG158" s="61">
        <v>112.13736789710634</v>
      </c>
      <c r="AH158" s="61">
        <v>115.96389017786498</v>
      </c>
      <c r="AI158" s="20">
        <v>119.76778924836547</v>
      </c>
      <c r="AJ158" s="13">
        <v>860</v>
      </c>
    </row>
    <row r="159" spans="1:36" ht="9.9499999999999993" customHeight="1" x14ac:dyDescent="0.2">
      <c r="A159" s="20">
        <v>4.0042553660788759E-2</v>
      </c>
      <c r="B159" s="61">
        <v>4.4491606228080398E-2</v>
      </c>
      <c r="C159" s="61">
        <v>0.11122451328617454</v>
      </c>
      <c r="D159" s="61">
        <v>0.22243401920193973</v>
      </c>
      <c r="E159" s="61">
        <v>0.35586561721370513</v>
      </c>
      <c r="F159" s="61">
        <v>0.44480801074569615</v>
      </c>
      <c r="G159" s="61">
        <v>0.88937592545993416</v>
      </c>
      <c r="H159" s="61">
        <v>1.333703773385154</v>
      </c>
      <c r="I159" s="61">
        <v>1.7777915838294165</v>
      </c>
      <c r="J159" s="61">
        <v>1.9997454841735338</v>
      </c>
      <c r="K159" s="61">
        <v>2.2216393861689738</v>
      </c>
      <c r="L159" s="61">
        <v>4.4372793095986474</v>
      </c>
      <c r="M159" s="61">
        <v>8.8505756636445572</v>
      </c>
      <c r="N159" s="61">
        <v>17.605342095202534</v>
      </c>
      <c r="O159" s="61">
        <v>34.828501029478971</v>
      </c>
      <c r="P159" s="61">
        <v>43.297486143195279</v>
      </c>
      <c r="Q159" s="61">
        <v>47.496475451441782</v>
      </c>
      <c r="R159" s="61">
        <v>51.671857292925424</v>
      </c>
      <c r="S159" s="61">
        <v>55.823680728801236</v>
      </c>
      <c r="T159" s="61">
        <v>59.951997342387948</v>
      </c>
      <c r="U159" s="61">
        <v>64.056861301491239</v>
      </c>
      <c r="V159" s="61">
        <v>68.138329408723536</v>
      </c>
      <c r="W159" s="61">
        <v>72.196461140459448</v>
      </c>
      <c r="X159" s="61">
        <v>76.231318675055746</v>
      </c>
      <c r="Y159" s="61">
        <v>80.242966910957108</v>
      </c>
      <c r="Z159" s="61">
        <v>84.231473475298614</v>
      </c>
      <c r="AA159" s="61">
        <v>88.196908723599577</v>
      </c>
      <c r="AB159" s="61">
        <v>92.139345731136473</v>
      </c>
      <c r="AC159" s="61">
        <v>96.058860276561973</v>
      </c>
      <c r="AD159" s="61">
        <v>99.955530818328441</v>
      </c>
      <c r="AE159" s="61">
        <v>103.82943846445148</v>
      </c>
      <c r="AF159" s="61">
        <v>107.68066693613845</v>
      </c>
      <c r="AG159" s="61">
        <v>111.50930252578547</v>
      </c>
      <c r="AH159" s="61">
        <v>115.31543404983137</v>
      </c>
      <c r="AI159" s="20">
        <v>119.09915279693605</v>
      </c>
      <c r="AJ159" s="13">
        <v>865</v>
      </c>
    </row>
    <row r="160" spans="1:36" ht="9.9499999999999993" customHeight="1" x14ac:dyDescent="0.2">
      <c r="A160" s="20">
        <v>3.9812425525954223E-2</v>
      </c>
      <c r="B160" s="61">
        <v>4.4235909173735564E-2</v>
      </c>
      <c r="C160" s="61">
        <v>0.11058530339945277</v>
      </c>
      <c r="D160" s="61">
        <v>0.22115570861146749</v>
      </c>
      <c r="E160" s="61">
        <v>0.35382052995084773</v>
      </c>
      <c r="F160" s="61">
        <v>0.44225182644035615</v>
      </c>
      <c r="G160" s="61">
        <v>0.88426530550056204</v>
      </c>
      <c r="H160" s="61">
        <v>1.3260404687183223</v>
      </c>
      <c r="I160" s="61">
        <v>1.7675773476928864</v>
      </c>
      <c r="J160" s="61">
        <v>1.9882564404811827</v>
      </c>
      <c r="K160" s="61">
        <v>2.2088759740875505</v>
      </c>
      <c r="L160" s="61">
        <v>4.4117964304097423</v>
      </c>
      <c r="M160" s="61">
        <v>8.7997868169152049</v>
      </c>
      <c r="N160" s="61">
        <v>17.504480925056313</v>
      </c>
      <c r="O160" s="61">
        <v>34.629712398848334</v>
      </c>
      <c r="P160" s="61">
        <v>43.050873340946346</v>
      </c>
      <c r="Q160" s="61">
        <v>47.226241582607081</v>
      </c>
      <c r="R160" s="61">
        <v>51.378198466795013</v>
      </c>
      <c r="S160" s="61">
        <v>55.506794508537283</v>
      </c>
      <c r="T160" s="61">
        <v>59.61208264760181</v>
      </c>
      <c r="U160" s="61">
        <v>63.694118309116469</v>
      </c>
      <c r="V160" s="61">
        <v>67.752959452584136</v>
      </c>
      <c r="W160" s="61">
        <v>71.788666609911857</v>
      </c>
      <c r="X160" s="61">
        <v>75.80130291306277</v>
      </c>
      <c r="Y160" s="61">
        <v>79.790934111931918</v>
      </c>
      <c r="Z160" s="61">
        <v>83.757628583034048</v>
      </c>
      <c r="AA160" s="61">
        <v>87.701457329581558</v>
      </c>
      <c r="AB160" s="61">
        <v>91.622493973515574</v>
      </c>
      <c r="AC160" s="61">
        <v>95.520814740041743</v>
      </c>
      <c r="AD160" s="61">
        <v>99.396498435205913</v>
      </c>
      <c r="AE160" s="61">
        <v>103.24962641702747</v>
      </c>
      <c r="AF160" s="61">
        <v>107.08028256069787</v>
      </c>
      <c r="AG160" s="61">
        <v>110.88855321832833</v>
      </c>
      <c r="AH160" s="61">
        <v>114.67452717371692</v>
      </c>
      <c r="AI160" s="20">
        <v>118.43829559258801</v>
      </c>
      <c r="AJ160" s="13">
        <v>870</v>
      </c>
    </row>
    <row r="161" spans="1:36" ht="9.9499999999999993" customHeight="1" x14ac:dyDescent="0.2">
      <c r="A161" s="20">
        <v>3.9584927465951332E-2</v>
      </c>
      <c r="B161" s="61">
        <v>4.398313441959309E-2</v>
      </c>
      <c r="C161" s="61">
        <v>0.10995339906938825</v>
      </c>
      <c r="D161" s="61">
        <v>0.21989200848715296</v>
      </c>
      <c r="E161" s="61">
        <v>0.35179881818867792</v>
      </c>
      <c r="F161" s="61">
        <v>0.43972486047124959</v>
      </c>
      <c r="G161" s="61">
        <v>0.87921311176971484</v>
      </c>
      <c r="H161" s="61">
        <v>1.3184647876092459</v>
      </c>
      <c r="I161" s="61">
        <v>1.7574799217613268</v>
      </c>
      <c r="J161" s="61">
        <v>1.9768987962745188</v>
      </c>
      <c r="K161" s="61">
        <v>2.1962585480575005</v>
      </c>
      <c r="L161" s="61">
        <v>4.3866052503468316</v>
      </c>
      <c r="M161" s="61">
        <v>8.7495802176123956</v>
      </c>
      <c r="N161" s="61">
        <v>17.404779182215197</v>
      </c>
      <c r="O161" s="61">
        <v>34.433218773570808</v>
      </c>
      <c r="P161" s="61">
        <v>42.807112264986642</v>
      </c>
      <c r="Q161" s="61">
        <v>46.959134691980807</v>
      </c>
      <c r="R161" s="61">
        <v>51.087939677706252</v>
      </c>
      <c r="S161" s="61">
        <v>55.193579105180035</v>
      </c>
      <c r="T161" s="61">
        <v>59.276107188564865</v>
      </c>
      <c r="U161" s="61">
        <v>63.335580532150225</v>
      </c>
      <c r="V161" s="61">
        <v>67.372058178111885</v>
      </c>
      <c r="W161" s="61">
        <v>71.385601643648428</v>
      </c>
      <c r="X161" s="61">
        <v>75.376274948085154</v>
      </c>
      <c r="Y161" s="61">
        <v>79.344144630525236</v>
      </c>
      <c r="Z161" s="61">
        <v>83.289279758616061</v>
      </c>
      <c r="AA161" s="61">
        <v>87.211751928991731</v>
      </c>
      <c r="AB161" s="61">
        <v>91.1116352599321</v>
      </c>
      <c r="AC161" s="61">
        <v>94.989006376773816</v>
      </c>
      <c r="AD161" s="61">
        <v>98.843944390586699</v>
      </c>
      <c r="AE161" s="61">
        <v>102.67653087061979</v>
      </c>
      <c r="AF161" s="61">
        <v>106.48684981099974</v>
      </c>
      <c r="AG161" s="61">
        <v>110.27498759215534</v>
      </c>
      <c r="AH161" s="61">
        <v>114.04103293741696</v>
      </c>
      <c r="AI161" s="20">
        <v>117.78507686522896</v>
      </c>
      <c r="AJ161" s="13">
        <v>875</v>
      </c>
    </row>
    <row r="162" spans="1:36" ht="9.9499999999999993" customHeight="1" x14ac:dyDescent="0.2">
      <c r="A162" s="20">
        <v>3.9360014648230954E-2</v>
      </c>
      <c r="B162" s="61">
        <v>4.3733232151584256E-2</v>
      </c>
      <c r="C162" s="61">
        <v>0.10932867575611792</v>
      </c>
      <c r="D162" s="61">
        <v>0.21864266973367547</v>
      </c>
      <c r="E162" s="61">
        <v>0.34980008334485269</v>
      </c>
      <c r="F162" s="61">
        <v>0.43722661458567602</v>
      </c>
      <c r="G162" s="61">
        <v>0.87421834751632321</v>
      </c>
      <c r="H162" s="61">
        <v>1.3109752345679393</v>
      </c>
      <c r="I162" s="61">
        <v>1.7474973115704142</v>
      </c>
      <c r="J162" s="61">
        <v>1.9656703075153739</v>
      </c>
      <c r="K162" s="61">
        <v>2.1837846144098623</v>
      </c>
      <c r="L162" s="61">
        <v>4.3617007764417774</v>
      </c>
      <c r="M162" s="61">
        <v>8.6999458598213977</v>
      </c>
      <c r="N162" s="61">
        <v>17.306216795036274</v>
      </c>
      <c r="O162" s="61">
        <v>34.238979927088003</v>
      </c>
      <c r="P162" s="61">
        <v>42.566152673352128</v>
      </c>
      <c r="Q162" s="61">
        <v>46.695099560560827</v>
      </c>
      <c r="R162" s="61">
        <v>50.801020755459909</v>
      </c>
      <c r="S162" s="61">
        <v>54.883969427033044</v>
      </c>
      <c r="T162" s="61">
        <v>58.944000985486696</v>
      </c>
      <c r="U162" s="61">
        <v>62.981173139653905</v>
      </c>
      <c r="V162" s="61">
        <v>66.995545943545025</v>
      </c>
      <c r="W162" s="61">
        <v>70.987181832624572</v>
      </c>
      <c r="X162" s="61">
        <v>74.956145650384045</v>
      </c>
      <c r="Y162" s="61">
        <v>78.902504665773165</v>
      </c>
      <c r="Z162" s="61">
        <v>82.826328582039665</v>
      </c>
      <c r="AA162" s="61">
        <v>86.727689537514749</v>
      </c>
      <c r="AB162" s="61">
        <v>90.606662098872732</v>
      </c>
      <c r="AC162" s="61">
        <v>94.463323247376479</v>
      </c>
      <c r="AD162" s="61">
        <v>98.297752358607838</v>
      </c>
      <c r="AE162" s="61">
        <v>102.11003117616619</v>
      </c>
      <c r="AF162" s="61">
        <v>105.90024377980514</v>
      </c>
      <c r="AG162" s="61">
        <v>109.66847654846094</v>
      </c>
      <c r="AH162" s="61">
        <v>113.41481811860557</v>
      </c>
      <c r="AI162" s="20">
        <v>117.13935933835126</v>
      </c>
      <c r="AJ162" s="13">
        <v>880</v>
      </c>
    </row>
    <row r="163" spans="1:36" ht="9.9499999999999993" customHeight="1" x14ac:dyDescent="0.2">
      <c r="A163" s="20">
        <v>3.9137643253473853E-2</v>
      </c>
      <c r="B163" s="61">
        <v>4.3486153681462192E-2</v>
      </c>
      <c r="C163" s="61">
        <v>0.1087110117347397</v>
      </c>
      <c r="D163" s="61">
        <v>0.21740744888698854</v>
      </c>
      <c r="E163" s="61">
        <v>0.34782393584966065</v>
      </c>
      <c r="F163" s="61">
        <v>0.43475660179888043</v>
      </c>
      <c r="G163" s="61">
        <v>0.86928003854668134</v>
      </c>
      <c r="H163" s="61">
        <v>1.3035703479724585</v>
      </c>
      <c r="I163" s="61">
        <v>1.7376275678555599</v>
      </c>
      <c r="J163" s="61">
        <v>1.9545687810389689</v>
      </c>
      <c r="K163" s="61">
        <v>2.1714517360279064</v>
      </c>
      <c r="L163" s="61">
        <v>4.3370781293454694</v>
      </c>
      <c r="M163" s="61">
        <v>8.6508739668126768</v>
      </c>
      <c r="N163" s="61">
        <v>17.208774157152654</v>
      </c>
      <c r="O163" s="61">
        <v>34.046956584095369</v>
      </c>
      <c r="P163" s="61">
        <v>42.327945521906841</v>
      </c>
      <c r="Q163" s="61">
        <v>46.434082290670126</v>
      </c>
      <c r="R163" s="61">
        <v>50.517382974572463</v>
      </c>
      <c r="S163" s="61">
        <v>54.577901950223882</v>
      </c>
      <c r="T163" s="61">
        <v>58.615695749056059</v>
      </c>
      <c r="U163" s="61">
        <v>62.630823113207825</v>
      </c>
      <c r="V163" s="61">
        <v>66.623345040910522</v>
      </c>
      <c r="W163" s="61">
        <v>70.593324821934829</v>
      </c>
      <c r="X163" s="61">
        <v>74.540828063649954</v>
      </c>
      <c r="Y163" s="61">
        <v>78.465922708239901</v>
      </c>
      <c r="Z163" s="61">
        <v>82.36867904160728</v>
      </c>
      <c r="AA163" s="61">
        <v>86.249169694486511</v>
      </c>
      <c r="AB163" s="61">
        <v>90.107469636273166</v>
      </c>
      <c r="AC163" s="61">
        <v>93.943656162067228</v>
      </c>
      <c r="AD163" s="61">
        <v>97.757808873409871</v>
      </c>
      <c r="AE163" s="61">
        <v>101.55000965318146</v>
      </c>
      <c r="AF163" s="61">
        <v>105.32034263511376</v>
      </c>
      <c r="AG163" s="61">
        <v>109.06889416835251</v>
      </c>
      <c r="AH163" s="61">
        <v>112.79575277749332</v>
      </c>
      <c r="AI163" s="20">
        <v>116.50100911849447</v>
      </c>
      <c r="AJ163" s="13">
        <v>885</v>
      </c>
    </row>
    <row r="164" spans="1:36" ht="9.9499999999999993" customHeight="1" x14ac:dyDescent="0.2">
      <c r="A164" s="20">
        <v>3.8917770447126465E-2</v>
      </c>
      <c r="B164" s="61">
        <v>4.3241851415174372E-2</v>
      </c>
      <c r="C164" s="61">
        <v>0.10810028801622013</v>
      </c>
      <c r="D164" s="61">
        <v>0.21618610795605783</v>
      </c>
      <c r="E164" s="61">
        <v>0.34586999489265297</v>
      </c>
      <c r="F164" s="61">
        <v>0.43231434607721791</v>
      </c>
      <c r="G164" s="61">
        <v>0.86439723258953904</v>
      </c>
      <c r="H164" s="61">
        <v>1.2962486991146727</v>
      </c>
      <c r="I164" s="61">
        <v>1.7278687852771801</v>
      </c>
      <c r="J164" s="61">
        <v>1.9435920731184784</v>
      </c>
      <c r="K164" s="61">
        <v>2.1592575307506792</v>
      </c>
      <c r="L164" s="61">
        <v>4.312732540104971</v>
      </c>
      <c r="M164" s="61">
        <v>8.6023549844816145</v>
      </c>
      <c r="N164" s="61">
        <v>17.112432113935117</v>
      </c>
      <c r="O164" s="61">
        <v>33.857110392121676</v>
      </c>
      <c r="P164" s="61">
        <v>42.092442928176858</v>
      </c>
      <c r="Q164" s="61">
        <v>46.17603026587544</v>
      </c>
      <c r="R164" s="61">
        <v>50.236969010262968</v>
      </c>
      <c r="S164" s="61">
        <v>54.275314670750959</v>
      </c>
      <c r="T164" s="61">
        <v>58.291124828549592</v>
      </c>
      <c r="U164" s="61">
        <v>62.284459191090555</v>
      </c>
      <c r="V164" s="61">
        <v>66.255379636288907</v>
      </c>
      <c r="W164" s="61">
        <v>70.203950247187706</v>
      </c>
      <c r="X164" s="61">
        <v>74.130237337519475</v>
      </c>
      <c r="Y164" s="61">
        <v>78.034309468711115</v>
      </c>
      <c r="Z164" s="61">
        <v>81.916237458845487</v>
      </c>
      <c r="AA164" s="61">
        <v>85.776094384082242</v>
      </c>
      <c r="AB164" s="61">
        <v>89.613955573032541</v>
      </c>
      <c r="AC164" s="61">
        <v>93.429898594561706</v>
      </c>
      <c r="AD164" s="61">
        <v>97.224003239488184</v>
      </c>
      <c r="AE164" s="61">
        <v>100.99635149662902</v>
      </c>
      <c r="AF164" s="61">
        <v>104.74702752362704</v>
      </c>
      <c r="AG164" s="61">
        <v>108.47611761298505</v>
      </c>
      <c r="AH164" s="61">
        <v>112.18371015370988</v>
      </c>
      <c r="AI164" s="20">
        <v>115.8698955889604</v>
      </c>
      <c r="AJ164" s="13">
        <v>890</v>
      </c>
    </row>
    <row r="165" spans="1:36" ht="9.9499999999999993" customHeight="1" x14ac:dyDescent="0.2">
      <c r="A165" s="20">
        <v>3.8700354351891245E-2</v>
      </c>
      <c r="B165" s="61">
        <v>4.3000278822295512E-2</v>
      </c>
      <c r="C165" s="61">
        <v>0.10749638827095513</v>
      </c>
      <c r="D165" s="61">
        <v>0.2149784142699086</v>
      </c>
      <c r="E165" s="61">
        <v>0.34393788817777632</v>
      </c>
      <c r="F165" s="61">
        <v>0.42989938203195349</v>
      </c>
      <c r="G165" s="61">
        <v>0.85956899868253123</v>
      </c>
      <c r="H165" s="61">
        <v>1.2890088912781823</v>
      </c>
      <c r="I165" s="61">
        <v>1.7182191011889083</v>
      </c>
      <c r="J165" s="61">
        <v>1.9327380880779896</v>
      </c>
      <c r="K165" s="61">
        <v>2.1471996698304086</v>
      </c>
      <c r="L165" s="61">
        <v>4.2886593470500811</v>
      </c>
      <c r="M165" s="61">
        <v>8.5543795750134031</v>
      </c>
      <c r="N165" s="61">
        <v>17.017171949428494</v>
      </c>
      <c r="O165" s="61">
        <v>33.669403894136707</v>
      </c>
      <c r="P165" s="61">
        <v>41.859598136508836</v>
      </c>
      <c r="Q165" s="61">
        <v>45.920892112381061</v>
      </c>
      <c r="R165" s="61">
        <v>49.959722896068371</v>
      </c>
      <c r="S165" s="61">
        <v>53.976147058313209</v>
      </c>
      <c r="T165" s="61">
        <v>57.970223161875978</v>
      </c>
      <c r="U165" s="61">
        <v>61.942011814546767</v>
      </c>
      <c r="V165" s="61">
        <v>65.891575712322705</v>
      </c>
      <c r="W165" s="61">
        <v>69.818979673277383</v>
      </c>
      <c r="X165" s="61">
        <v>73.72429066263939</v>
      </c>
      <c r="Y165" s="61">
        <v>77.607577809588733</v>
      </c>
      <c r="Z165" s="61">
        <v>81.468912416268509</v>
      </c>
      <c r="AA165" s="61">
        <v>85.308367959498511</v>
      </c>
      <c r="AB165" s="61">
        <v>89.126020085665814</v>
      </c>
      <c r="AC165" s="61">
        <v>92.921946599254298</v>
      </c>
      <c r="AD165" s="61">
        <v>96.696227445461915</v>
      </c>
      <c r="AE165" s="61">
        <v>100.44894468734331</v>
      </c>
      <c r="AF165" s="61">
        <v>104.18018247789693</v>
      </c>
      <c r="AG165" s="61">
        <v>107.8900270275056</v>
      </c>
      <c r="AH165" s="61">
        <v>111.57856656712241</v>
      </c>
      <c r="AI165" s="20">
        <v>115.24589130758181</v>
      </c>
      <c r="AJ165" s="13">
        <v>895</v>
      </c>
    </row>
    <row r="166" spans="1:36" ht="9.9499999999999993" customHeight="1" x14ac:dyDescent="0.2">
      <c r="A166" s="20">
        <v>3.8485354021133622E-2</v>
      </c>
      <c r="B166" s="61">
        <v>4.2761390406479645E-2</v>
      </c>
      <c r="C166" s="61">
        <v>0.10689919875487824</v>
      </c>
      <c r="D166" s="61">
        <v>0.21378414032977336</v>
      </c>
      <c r="E166" s="61">
        <v>0.34202725168667986</v>
      </c>
      <c r="F166" s="61">
        <v>0.42751125462328238</v>
      </c>
      <c r="G166" s="61">
        <v>0.85479442657911797</v>
      </c>
      <c r="H166" s="61">
        <v>1.2818495588470702</v>
      </c>
      <c r="I166" s="61">
        <v>1.7086766944471055</v>
      </c>
      <c r="J166" s="61">
        <v>1.9220047769519517</v>
      </c>
      <c r="K166" s="61">
        <v>2.1352758764416611</v>
      </c>
      <c r="L166" s="61">
        <v>4.2648539927849747</v>
      </c>
      <c r="M166" s="61">
        <v>8.5069386107643314</v>
      </c>
      <c r="N166" s="61">
        <v>16.922975373742926</v>
      </c>
      <c r="O166" s="61">
        <v>33.483800502143183</v>
      </c>
      <c r="P166" s="61">
        <v>41.629365484495764</v>
      </c>
      <c r="Q166" s="61">
        <v>45.668617661835725</v>
      </c>
      <c r="R166" s="61">
        <v>49.685589983015724</v>
      </c>
      <c r="S166" s="61">
        <v>53.680340011842908</v>
      </c>
      <c r="T166" s="61">
        <v>57.652927227471665</v>
      </c>
      <c r="U166" s="61">
        <v>61.603413076054238</v>
      </c>
      <c r="V166" s="61">
        <v>65.531861012870365</v>
      </c>
      <c r="W166" s="61">
        <v>69.43833653544732</v>
      </c>
      <c r="X166" s="61">
        <v>73.322907208167777</v>
      </c>
      <c r="Y166" s="61">
        <v>77.185642678862337</v>
      </c>
      <c r="Z166" s="61">
        <v>81.026614687863528</v>
      </c>
      <c r="AA166" s="61">
        <v>84.845897069994848</v>
      </c>
      <c r="AB166" s="61">
        <v>88.64356574995314</v>
      </c>
      <c r="AC166" s="61">
        <v>92.419698731529593</v>
      </c>
      <c r="AD166" s="61">
        <v>96.174376081106871</v>
      </c>
      <c r="AE166" s="61">
        <v>99.90767990584871</v>
      </c>
      <c r="AF166" s="61">
        <v>103.61969432699263</v>
      </c>
      <c r="AG166" s="61">
        <v>107.31050544863933</v>
      </c>
      <c r="AH166" s="61">
        <v>110.98020132241395</v>
      </c>
      <c r="AI166" s="20">
        <v>114.62887190836904</v>
      </c>
      <c r="AJ166" s="13">
        <v>900</v>
      </c>
    </row>
    <row r="167" spans="1:36" ht="9.9499999999999993" customHeight="1" x14ac:dyDescent="0.2">
      <c r="A167" s="20">
        <v>3.8272729413170982E-2</v>
      </c>
      <c r="B167" s="61">
        <v>4.2525141676891302E-2</v>
      </c>
      <c r="C167" s="61">
        <v>0.10630860823802019</v>
      </c>
      <c r="D167" s="61">
        <v>0.21260306366614504</v>
      </c>
      <c r="E167" s="61">
        <v>0.34013772944987064</v>
      </c>
      <c r="F167" s="61">
        <v>0.42514951887417396</v>
      </c>
      <c r="G167" s="61">
        <v>0.85007262617522439</v>
      </c>
      <c r="H167" s="61">
        <v>1.2747693664443192</v>
      </c>
      <c r="I167" s="61">
        <v>1.699239784260006</v>
      </c>
      <c r="J167" s="61">
        <v>1.9113901361893335</v>
      </c>
      <c r="K167" s="61">
        <v>2.1234839242402237</v>
      </c>
      <c r="L167" s="61">
        <v>4.2413120212808124</v>
      </c>
      <c r="M167" s="61">
        <v>8.4600231683506451</v>
      </c>
      <c r="N167" s="61">
        <v>16.82982451088159</v>
      </c>
      <c r="O167" s="61">
        <v>33.300264471712048</v>
      </c>
      <c r="P167" s="61">
        <v>41.401700370616339</v>
      </c>
      <c r="Q167" s="61">
        <v>45.41915791548881</v>
      </c>
      <c r="R167" s="61">
        <v>49.414516900285101</v>
      </c>
      <c r="S167" s="61">
        <v>53.38783581666938</v>
      </c>
      <c r="T167" s="61">
        <v>57.339174997966936</v>
      </c>
      <c r="U167" s="61">
        <v>61.268596669501044</v>
      </c>
      <c r="V167" s="61">
        <v>65.176164989710173</v>
      </c>
      <c r="W167" s="61">
        <v>69.061946082541382</v>
      </c>
      <c r="X167" s="61">
        <v>72.926008061601721</v>
      </c>
      <c r="Y167" s="61">
        <v>76.768421046547545</v>
      </c>
      <c r="Z167" s="61">
        <v>80.589257172175408</v>
      </c>
      <c r="AA167" s="61">
        <v>84.388590590670375</v>
      </c>
      <c r="AB167" s="61">
        <v>88.16649746745405</v>
      </c>
      <c r="AC167" s="61">
        <v>91.923055971068237</v>
      </c>
      <c r="AD167" s="61">
        <v>95.658346257508128</v>
      </c>
      <c r="AE167" s="61">
        <v>99.372450449416561</v>
      </c>
      <c r="AF167" s="61">
        <v>103.06545261052996</v>
      </c>
      <c r="AG167" s="61">
        <v>106.73743871575661</v>
      </c>
      <c r="AH167" s="61">
        <v>110.38849661725386</v>
      </c>
      <c r="AI167" s="20">
        <v>114.01871600685629</v>
      </c>
      <c r="AJ167" s="13">
        <v>905</v>
      </c>
    </row>
    <row r="168" spans="1:36" ht="9.9499999999999993" customHeight="1" x14ac:dyDescent="0.2">
      <c r="A168" s="20">
        <v>3.8062441366409232E-2</v>
      </c>
      <c r="B168" s="61">
        <v>4.2291489120579284E-2</v>
      </c>
      <c r="C168" s="61">
        <v>0.10572450793542391</v>
      </c>
      <c r="D168" s="61">
        <v>0.21143496670054537</v>
      </c>
      <c r="E168" s="61">
        <v>0.33826897332542732</v>
      </c>
      <c r="F168" s="61">
        <v>0.42281373959366059</v>
      </c>
      <c r="G168" s="61">
        <v>0.84540272695484142</v>
      </c>
      <c r="H168" s="61">
        <v>1.2677670080987311</v>
      </c>
      <c r="I168" s="61">
        <v>1.6899066290750084</v>
      </c>
      <c r="J168" s="61">
        <v>1.9008922064007316</v>
      </c>
      <c r="K168" s="61">
        <v>2.1118216359698021</v>
      </c>
      <c r="L168" s="61">
        <v>4.2180290750653233</v>
      </c>
      <c r="M168" s="61">
        <v>8.4136245229368836</v>
      </c>
      <c r="N168" s="61">
        <v>16.737701886987502</v>
      </c>
      <c r="O168" s="61">
        <v>33.118760877421167</v>
      </c>
      <c r="P168" s="61">
        <v>41.176559223035717</v>
      </c>
      <c r="Q168" s="61">
        <v>45.172465009641961</v>
      </c>
      <c r="R168" s="61">
        <v>49.146451517298772</v>
      </c>
      <c r="S168" s="61">
        <v>53.098578103241557</v>
      </c>
      <c r="T168" s="61">
        <v>57.028905895544767</v>
      </c>
      <c r="U168" s="61">
        <v>60.937497842190162</v>
      </c>
      <c r="V168" s="61">
        <v>64.824418751205357</v>
      </c>
      <c r="W168" s="61">
        <v>68.689735322351609</v>
      </c>
      <c r="X168" s="61">
        <v>72.533516170831831</v>
      </c>
      <c r="Y168" s="61">
        <v>76.355831843479166</v>
      </c>
      <c r="Z168" s="61">
        <v>80.156754827877009</v>
      </c>
      <c r="AA168" s="61">
        <v>83.936359554850711</v>
      </c>
      <c r="AB168" s="61">
        <v>87.694722394760163</v>
      </c>
      <c r="AC168" s="61">
        <v>91.431921648011624</v>
      </c>
      <c r="AD168" s="61">
        <v>95.148037530192454</v>
      </c>
      <c r="AE168" s="61">
        <v>98.843152152224832</v>
      </c>
      <c r="AF168" s="61">
        <v>102.51734949591355</v>
      </c>
      <c r="AG168" s="61">
        <v>106.17071538526207</v>
      </c>
      <c r="AH168" s="61">
        <v>109.80333745390293</v>
      </c>
      <c r="AI168" s="20">
        <v>113.41530510898949</v>
      </c>
      <c r="AJ168" s="13">
        <v>910</v>
      </c>
    </row>
    <row r="169" spans="1:36" ht="9.9499999999999993" customHeight="1" x14ac:dyDescent="0.2">
      <c r="A169" s="20">
        <v>3.7854451575294698E-2</v>
      </c>
      <c r="B169" s="61">
        <v>4.2060390175756003E-2</v>
      </c>
      <c r="C169" s="61">
        <v>0.10514679144032536</v>
      </c>
      <c r="D169" s="61">
        <v>0.21027963661182789</v>
      </c>
      <c r="E169" s="61">
        <v>0.33642064278497097</v>
      </c>
      <c r="F169" s="61">
        <v>0.42050349110921142</v>
      </c>
      <c r="G169" s="61">
        <v>0.84078387745383842</v>
      </c>
      <c r="H169" s="61">
        <v>1.2608412064392687</v>
      </c>
      <c r="I169" s="61">
        <v>1.6806755255026242</v>
      </c>
      <c r="J169" s="61">
        <v>1.8905090711467691</v>
      </c>
      <c r="K169" s="61">
        <v>2.1002868821146556</v>
      </c>
      <c r="L169" s="61">
        <v>4.1950008925056759</v>
      </c>
      <c r="M169" s="61">
        <v>8.3677341427158058</v>
      </c>
      <c r="N169" s="61">
        <v>16.646590418991991</v>
      </c>
      <c r="O169" s="61">
        <v>32.939255589159195</v>
      </c>
      <c r="P169" s="61">
        <v>40.953899469519044</v>
      </c>
      <c r="Q169" s="61">
        <v>44.92849218233696</v>
      </c>
      <c r="R169" s="61">
        <v>48.881342907174954</v>
      </c>
      <c r="S169" s="61">
        <v>52.81251180734359</v>
      </c>
      <c r="T169" s="61">
        <v>56.72206074892096</v>
      </c>
      <c r="U169" s="61">
        <v>60.610053348592814</v>
      </c>
      <c r="V169" s="61">
        <v>64.476555012844614</v>
      </c>
      <c r="W169" s="61">
        <v>68.321632968965986</v>
      </c>
      <c r="X169" s="61">
        <v>72.145356288325075</v>
      </c>
      <c r="Y169" s="61">
        <v>75.947795902358763</v>
      </c>
      <c r="Z169" s="61">
        <v>79.729024611715673</v>
      </c>
      <c r="AA169" s="61">
        <v>83.489117088975519</v>
      </c>
      <c r="AB169" s="61">
        <v>87.228149875364181</v>
      </c>
      <c r="AC169" s="61">
        <v>90.946201371863467</v>
      </c>
      <c r="AD169" s="61">
        <v>94.643351825112447</v>
      </c>
      <c r="AE169" s="61">
        <v>98.319683308476286</v>
      </c>
      <c r="AF169" s="61">
        <v>101.97527969865182</v>
      </c>
      <c r="AG169" s="61">
        <v>105.61022664816485</v>
      </c>
      <c r="AH169" s="61">
        <v>109.2246115541007</v>
      </c>
      <c r="AI169" s="20">
        <v>112.81852352339538</v>
      </c>
      <c r="AJ169" s="13">
        <v>915</v>
      </c>
    </row>
    <row r="170" spans="1:36" ht="9.9499999999999993" customHeight="1" x14ac:dyDescent="0.2">
      <c r="A170" s="20">
        <v>3.7648722567050048E-2</v>
      </c>
      <c r="B170" s="61">
        <v>4.1831803205948023E-2</v>
      </c>
      <c r="C170" s="61">
        <v>0.10457535465951376</v>
      </c>
      <c r="D170" s="61">
        <v>0.20913686520684333</v>
      </c>
      <c r="E170" s="61">
        <v>0.3345924047066246</v>
      </c>
      <c r="F170" s="61">
        <v>0.41821835700784232</v>
      </c>
      <c r="G170" s="61">
        <v>0.83621524474130526</v>
      </c>
      <c r="H170" s="61">
        <v>1.2539907119157616</v>
      </c>
      <c r="I170" s="61">
        <v>1.6715448072756776</v>
      </c>
      <c r="J170" s="61">
        <v>1.8802388557662382</v>
      </c>
      <c r="K170" s="61">
        <v>2.088877579596454</v>
      </c>
      <c r="L170" s="61">
        <v>4.1722233051809825</v>
      </c>
      <c r="M170" s="61">
        <v>8.3223436835724236</v>
      </c>
      <c r="N170" s="61">
        <v>16.556473403649104</v>
      </c>
      <c r="O170" s="61">
        <v>32.761715249260313</v>
      </c>
      <c r="P170" s="61">
        <v>40.73367950841093</v>
      </c>
      <c r="Q170" s="61">
        <v>44.687193741231532</v>
      </c>
      <c r="R170" s="61">
        <v>48.61914131148918</v>
      </c>
      <c r="S170" s="61">
        <v>52.529583131740289</v>
      </c>
      <c r="T170" s="61">
        <v>56.418581751875671</v>
      </c>
      <c r="U170" s="61">
        <v>60.286201405774761</v>
      </c>
      <c r="V170" s="61">
        <v>64.132508049579357</v>
      </c>
      <c r="W170" s="61">
        <v>67.957569392035566</v>
      </c>
      <c r="X170" s="61">
        <v>71.761454917344849</v>
      </c>
      <c r="Y170" s="61">
        <v>75.54423590095827</v>
      </c>
      <c r="Z170" s="61">
        <v>79.305985418734608</v>
      </c>
      <c r="AA170" s="61">
        <v>83.046778349874415</v>
      </c>
      <c r="AB170" s="61">
        <v>86.766691374033798</v>
      </c>
      <c r="AC170" s="61">
        <v>90.465802963006482</v>
      </c>
      <c r="AD170" s="61">
        <v>94.14419336735466</v>
      </c>
      <c r="AE170" s="61">
        <v>97.801944598353799</v>
      </c>
      <c r="AF170" s="61">
        <v>101.43914040560983</v>
      </c>
      <c r="AG170" s="61">
        <v>105.05586625068922</v>
      </c>
      <c r="AH170" s="61">
        <v>108.65220927709164</v>
      </c>
      <c r="AI170" s="20">
        <v>112.22825827688719</v>
      </c>
      <c r="AJ170" s="13">
        <v>920</v>
      </c>
    </row>
    <row r="171" spans="1:36" ht="9.9499999999999993" customHeight="1" x14ac:dyDescent="0.2">
      <c r="A171" s="20">
        <v>3.7445217679165269E-2</v>
      </c>
      <c r="B171" s="61">
        <v>4.1605687474985706E-2</v>
      </c>
      <c r="C171" s="61">
        <v>0.10401009575078933</v>
      </c>
      <c r="D171" s="61">
        <v>0.20800644879530289</v>
      </c>
      <c r="E171" s="61">
        <v>0.33278393317469468</v>
      </c>
      <c r="F171" s="61">
        <v>0.41595792988563435</v>
      </c>
      <c r="G171" s="61">
        <v>0.83169601391776293</v>
      </c>
      <c r="H171" s="61">
        <v>1.2472143020449722</v>
      </c>
      <c r="I171" s="61">
        <v>1.662512844242426</v>
      </c>
      <c r="J171" s="61">
        <v>1.8700797262424398</v>
      </c>
      <c r="K171" s="61">
        <v>2.0775916905136462</v>
      </c>
      <c r="L171" s="61">
        <v>4.149692235341</v>
      </c>
      <c r="M171" s="61">
        <v>8.2774449839249495</v>
      </c>
      <c r="N171" s="61">
        <v>16.467334506940698</v>
      </c>
      <c r="O171" s="61">
        <v>32.586107250433706</v>
      </c>
      <c r="P171" s="61">
        <v>40.515858680636072</v>
      </c>
      <c r="Q171" s="61">
        <v>44.448525032610661</v>
      </c>
      <c r="R171" s="61">
        <v>48.359798106288615</v>
      </c>
      <c r="S171" s="61">
        <v>52.249739509190221</v>
      </c>
      <c r="T171" s="61">
        <v>56.118412423270442</v>
      </c>
      <c r="U171" s="61">
        <v>59.965881650425658</v>
      </c>
      <c r="V171" s="61">
        <v>63.79221364987805</v>
      </c>
      <c r="W171" s="61">
        <v>67.597476567873542</v>
      </c>
      <c r="X171" s="61">
        <v>71.381740260119884</v>
      </c>
      <c r="Y171" s="61">
        <v>75.145076307385978</v>
      </c>
      <c r="Z171" s="61">
        <v>78.887558024668962</v>
      </c>
      <c r="AA171" s="61">
        <v>82.609260464328941</v>
      </c>
      <c r="AB171" s="61">
        <v>86.310260413581133</v>
      </c>
      <c r="AC171" s="61">
        <v>89.990636386722116</v>
      </c>
      <c r="AD171" s="61">
        <v>93.650468612456962</v>
      </c>
      <c r="AE171" s="61">
        <v>97.289839016682976</v>
      </c>
      <c r="AF171" s="61">
        <v>100.9088312010732</v>
      </c>
      <c r="AG171" s="61">
        <v>104.50753041779117</v>
      </c>
      <c r="AH171" s="61">
        <v>108.08602354065594</v>
      </c>
      <c r="AI171" s="20">
        <v>111.64439903306634</v>
      </c>
      <c r="AJ171" s="13">
        <v>925</v>
      </c>
    </row>
    <row r="172" spans="1:36" ht="9.9499999999999993" customHeight="1" x14ac:dyDescent="0.2">
      <c r="A172" s="20">
        <v>3.724390103761431E-2</v>
      </c>
      <c r="B172" s="61">
        <v>4.1382003122798938E-2</v>
      </c>
      <c r="C172" s="61">
        <v>0.10345091506243892</v>
      </c>
      <c r="D172" s="61">
        <v>0.20688818806867923</v>
      </c>
      <c r="E172" s="61">
        <v>0.33099490928581804</v>
      </c>
      <c r="F172" s="61">
        <v>0.41372181110533796</v>
      </c>
      <c r="G172" s="61">
        <v>0.82722538762958586</v>
      </c>
      <c r="H172" s="61">
        <v>1.2405107806810787</v>
      </c>
      <c r="I172" s="61">
        <v>1.653578041392316</v>
      </c>
      <c r="J172" s="61">
        <v>1.8600298881062833</v>
      </c>
      <c r="K172" s="61">
        <v>2.0664272209217063</v>
      </c>
      <c r="L172" s="61">
        <v>4.1274036934477563</v>
      </c>
      <c r="M172" s="61">
        <v>8.2330300597358548</v>
      </c>
      <c r="N172" s="61">
        <v>16.379157753837184</v>
      </c>
      <c r="O172" s="61">
        <v>32.412399714456804</v>
      </c>
      <c r="P172" s="61">
        <v>40.300397242679857</v>
      </c>
      <c r="Q172" s="61">
        <v>44.21244241148699</v>
      </c>
      <c r="R172" s="61">
        <v>48.103265769305303</v>
      </c>
      <c r="S172" s="61">
        <v>51.972929566770944</v>
      </c>
      <c r="T172" s="61">
        <v>55.821497568487459</v>
      </c>
      <c r="U172" s="61">
        <v>59.649035097421958</v>
      </c>
      <c r="V172" s="61">
        <v>63.455609071427041</v>
      </c>
      <c r="W172" s="61">
        <v>67.241288032312184</v>
      </c>
      <c r="X172" s="61">
        <v>71.006142167879332</v>
      </c>
      <c r="Y172" s="61">
        <v>74.750243327327738</v>
      </c>
      <c r="Z172" s="61">
        <v>78.473665030423888</v>
      </c>
      <c r="AA172" s="61">
        <v>82.176482470824126</v>
      </c>
      <c r="AB172" s="61">
        <v>85.858772513924336</v>
      </c>
      <c r="AC172" s="61">
        <v>89.520613689604446</v>
      </c>
      <c r="AD172" s="61">
        <v>93.162086180220683</v>
      </c>
      <c r="AE172" s="61">
        <v>96.78327180419042</v>
      </c>
      <c r="AF172" s="61">
        <v>100.38425399550044</v>
      </c>
      <c r="AG172" s="61">
        <v>103.96511777946105</v>
      </c>
      <c r="AH172" s="61">
        <v>107.52594974501315</v>
      </c>
      <c r="AI172" s="20">
        <v>111.06683801388638</v>
      </c>
      <c r="AJ172" s="13">
        <v>930</v>
      </c>
    </row>
    <row r="173" spans="1:36" ht="9.9499999999999993" customHeight="1" x14ac:dyDescent="0.2">
      <c r="A173" s="20">
        <v>3.7044737535771206E-2</v>
      </c>
      <c r="B173" s="61">
        <v>4.1160711141990422E-2</v>
      </c>
      <c r="C173" s="61">
        <v>0.10289771507465338</v>
      </c>
      <c r="D173" s="61">
        <v>0.20578188798299726</v>
      </c>
      <c r="E173" s="61">
        <v>0.32922502096133643</v>
      </c>
      <c r="F173" s="61">
        <v>0.41150961056176927</v>
      </c>
      <c r="G173" s="61">
        <v>0.82280258559905473</v>
      </c>
      <c r="H173" s="61">
        <v>1.2338789773096284</v>
      </c>
      <c r="I173" s="61">
        <v>1.6447388379131356</v>
      </c>
      <c r="J173" s="61">
        <v>1.8500875853747738</v>
      </c>
      <c r="K173" s="61">
        <v>2.0553822196527767</v>
      </c>
      <c r="L173" s="61">
        <v>4.1053537757969298</v>
      </c>
      <c r="M173" s="61">
        <v>8.1890910996865021</v>
      </c>
      <c r="N173" s="61">
        <v>16.291927518400247</v>
      </c>
      <c r="O173" s="61">
        <v>32.240561471600671</v>
      </c>
      <c r="P173" s="61">
        <v>40.087256340507437</v>
      </c>
      <c r="Q173" s="61">
        <v>43.978903212746289</v>
      </c>
      <c r="R173" s="61">
        <v>47.849497848320496</v>
      </c>
      <c r="S173" s="61">
        <v>51.699103091460344</v>
      </c>
      <c r="T173" s="61">
        <v>55.527783242232886</v>
      </c>
      <c r="U173" s="61">
        <v>59.335604099860475</v>
      </c>
      <c r="V173" s="61">
        <v>63.122632998407184</v>
      </c>
      <c r="W173" s="61">
        <v>66.888938835241149</v>
      </c>
      <c r="X173" s="61">
        <v>70.634592092675078</v>
      </c>
      <c r="Y173" s="61">
        <v>74.359664853179183</v>
      </c>
      <c r="Z173" s="61">
        <v>78.064230808547293</v>
      </c>
      <c r="AA173" s="61">
        <v>81.748365263394163</v>
      </c>
      <c r="AB173" s="61">
        <v>85.41214513334387</v>
      </c>
      <c r="AC173" s="61">
        <v>89.055648938267922</v>
      </c>
      <c r="AD173" s="61">
        <v>92.678956790911229</v>
      </c>
      <c r="AE173" s="61">
        <v>96.282150381243184</v>
      </c>
      <c r="AF173" s="61">
        <v>99.865312956850758</v>
      </c>
      <c r="AG173" s="61">
        <v>103.42852929968829</v>
      </c>
      <c r="AH173" s="61">
        <v>106.97188569947774</v>
      </c>
      <c r="AI173" s="20">
        <v>110.49546992405109</v>
      </c>
      <c r="AJ173" s="13">
        <v>935</v>
      </c>
    </row>
    <row r="174" spans="1:36" ht="9.9499999999999993" customHeight="1" x14ac:dyDescent="0.2">
      <c r="A174" s="20">
        <v>3.6847692813998613E-2</v>
      </c>
      <c r="B174" s="61">
        <v>4.094177335515576E-2</v>
      </c>
      <c r="C174" s="61">
        <v>0.10235040034281676</v>
      </c>
      <c r="D174" s="61">
        <v>0.20468735764536536</v>
      </c>
      <c r="E174" s="61">
        <v>0.32747396276566437</v>
      </c>
      <c r="F174" s="61">
        <v>0.40932094645469724</v>
      </c>
      <c r="G174" s="61">
        <v>0.81842684416943001</v>
      </c>
      <c r="H174" s="61">
        <v>1.2273177463641254</v>
      </c>
      <c r="I174" s="61">
        <v>1.6359937062783934</v>
      </c>
      <c r="J174" s="61">
        <v>1.8402510995235331</v>
      </c>
      <c r="K174" s="61">
        <v>2.0444547771731671</v>
      </c>
      <c r="L174" s="61">
        <v>4.0835386622160117</v>
      </c>
      <c r="M174" s="61">
        <v>8.1456204605090363</v>
      </c>
      <c r="N174" s="61">
        <v>16.205628514214016</v>
      </c>
      <c r="O174" s="61">
        <v>32.070562040757977</v>
      </c>
      <c r="P174" s="61">
        <v>39.876397984382976</v>
      </c>
      <c r="Q174" s="61">
        <v>43.74786572329301</v>
      </c>
      <c r="R174" s="61">
        <v>47.598448930630518</v>
      </c>
      <c r="S174" s="61">
        <v>51.428210996922999</v>
      </c>
      <c r="T174" s="61">
        <v>55.23721671264596</v>
      </c>
      <c r="U174" s="61">
        <v>59.02553231049923</v>
      </c>
      <c r="V174" s="61">
        <v>62.793225500280734</v>
      </c>
      <c r="W174" s="61">
        <v>66.540365496756479</v>
      </c>
      <c r="X174" s="61">
        <v>70.267023040915149</v>
      </c>
      <c r="Y174" s="61">
        <v>73.973270414988733</v>
      </c>
      <c r="Z174" s="61">
        <v>77.659181451610834</v>
      </c>
      <c r="AA174" s="61">
        <v>81.324831537474125</v>
      </c>
      <c r="AB174" s="61">
        <v>84.970297611841318</v>
      </c>
      <c r="AC174" s="61">
        <v>88.595658160250224</v>
      </c>
      <c r="AD174" s="61">
        <v>92.200993203746989</v>
      </c>
      <c r="AE174" s="61">
        <v>95.786384283967323</v>
      </c>
      <c r="AF174" s="61">
        <v>99.351914444377883</v>
      </c>
      <c r="AG174" s="61">
        <v>102.89766820797786</v>
      </c>
      <c r="AH174" s="61">
        <v>106.42373155174852</v>
      </c>
      <c r="AI174" s="20">
        <v>109.93019187813029</v>
      </c>
      <c r="AJ174" s="13">
        <v>940</v>
      </c>
    </row>
    <row r="175" spans="1:36" ht="9.9499999999999993" customHeight="1" x14ac:dyDescent="0.2">
      <c r="A175" s="20">
        <v>3.6652733239885001E-2</v>
      </c>
      <c r="B175" s="61">
        <v>4.0725152392924534E-2</v>
      </c>
      <c r="C175" s="61">
        <v>0.10180887744259504</v>
      </c>
      <c r="D175" s="61">
        <v>0.20360441020411252</v>
      </c>
      <c r="E175" s="61">
        <v>0.32574143573042702</v>
      </c>
      <c r="F175" s="61">
        <v>0.40715544506895129</v>
      </c>
      <c r="G175" s="61">
        <v>0.81409741586450479</v>
      </c>
      <c r="H175" s="61">
        <v>1.2208259665643595</v>
      </c>
      <c r="I175" s="61">
        <v>1.6273411513638103</v>
      </c>
      <c r="J175" s="61">
        <v>1.8305187484921179</v>
      </c>
      <c r="K175" s="61">
        <v>2.0336430244773411</v>
      </c>
      <c r="L175" s="61">
        <v>4.0619546138363143</v>
      </c>
      <c r="M175" s="61">
        <v>8.1026106624696368</v>
      </c>
      <c r="N175" s="61">
        <v>16.120245785132227</v>
      </c>
      <c r="O175" s="61">
        <v>31.902371610245233</v>
      </c>
      <c r="P175" s="61">
        <v>39.667785024553943</v>
      </c>
      <c r="Q175" s="61">
        <v>43.51928915515682</v>
      </c>
      <c r="R175" s="61">
        <v>47.350074613571195</v>
      </c>
      <c r="S175" s="61">
        <v>51.160205291450374</v>
      </c>
      <c r="T175" s="61">
        <v>54.949746426661477</v>
      </c>
      <c r="U175" s="61">
        <v>58.718764644550085</v>
      </c>
      <c r="V175" s="61">
        <v>62.46732799202583</v>
      </c>
      <c r="W175" s="61">
        <v>66.195505964855229</v>
      </c>
      <c r="X175" s="61">
        <v>69.90336952853788</v>
      </c>
      <c r="Y175" s="61">
        <v>73.590991133136512</v>
      </c>
      <c r="Z175" s="61">
        <v>77.258444722421032</v>
      </c>
      <c r="AA175" s="61">
        <v>80.90580573767491</v>
      </c>
      <c r="AB175" s="61">
        <v>84.533151116510211</v>
      </c>
      <c r="AC175" s="61">
        <v>88.140559287017695</v>
      </c>
      <c r="AD175" s="61">
        <v>91.728110157578058</v>
      </c>
      <c r="AE175" s="61">
        <v>95.295885102642202</v>
      </c>
      <c r="AF175" s="61">
        <v>98.843966944782935</v>
      </c>
      <c r="AG175" s="61">
        <v>102.37243993330935</v>
      </c>
      <c r="AH175" s="61">
        <v>105.88138971972121</v>
      </c>
      <c r="AI175" s="20">
        <v>109.37090333027373</v>
      </c>
      <c r="AJ175" s="13">
        <v>945</v>
      </c>
    </row>
    <row r="176" spans="1:36" ht="9.9499999999999993" customHeight="1" x14ac:dyDescent="0.2">
      <c r="A176" s="20">
        <v>3.6459825889105582E-2</v>
      </c>
      <c r="B176" s="61">
        <v>4.0510811672694227E-2</v>
      </c>
      <c r="C176" s="61">
        <v>0.10127305491675932</v>
      </c>
      <c r="D176" s="61">
        <v>0.20253286274239651</v>
      </c>
      <c r="E176" s="61">
        <v>0.32402714718415915</v>
      </c>
      <c r="F176" s="61">
        <v>0.40501274056148062</v>
      </c>
      <c r="G176" s="61">
        <v>0.8098135689621011</v>
      </c>
      <c r="H176" s="61">
        <v>1.214402540275723</v>
      </c>
      <c r="I176" s="61">
        <v>1.6187797095918188</v>
      </c>
      <c r="J176" s="61">
        <v>1.8208888857209</v>
      </c>
      <c r="K176" s="61">
        <v>2.0229451320170093</v>
      </c>
      <c r="L176" s="61">
        <v>4.040597970936104</v>
      </c>
      <c r="M176" s="61">
        <v>8.0600543849973736</v>
      </c>
      <c r="N176" s="61">
        <v>16.035764696328531</v>
      </c>
      <c r="O176" s="61">
        <v>31.735961019252855</v>
      </c>
      <c r="P176" s="61">
        <v>39.461381127763609</v>
      </c>
      <c r="Q176" s="61">
        <v>43.293133619520553</v>
      </c>
      <c r="R176" s="61">
        <v>47.104331476055577</v>
      </c>
      <c r="S176" s="61">
        <v>50.895039047009696</v>
      </c>
      <c r="T176" s="61">
        <v>54.665321976572073</v>
      </c>
      <c r="U176" s="61">
        <v>58.415247243763751</v>
      </c>
      <c r="V176" s="61">
        <v>62.144883195757693</v>
      </c>
      <c r="W176" s="61">
        <v>65.854299574608092</v>
      </c>
      <c r="X176" s="61">
        <v>69.543567537757212</v>
      </c>
      <c r="Y176" s="61">
        <v>73.212759672675006</v>
      </c>
      <c r="Z176" s="61">
        <v>76.861950005982663</v>
      </c>
      <c r="AA176" s="61">
        <v>80.491214007398071</v>
      </c>
      <c r="AB176" s="61">
        <v>84.10062858883677</v>
      </c>
      <c r="AC176" s="61">
        <v>87.690272098985588</v>
      </c>
      <c r="AD176" s="61">
        <v>91.260224313664622</v>
      </c>
      <c r="AE176" s="61">
        <v>94.810566422276011</v>
      </c>
      <c r="AF176" s="61">
        <v>98.341381010630798</v>
      </c>
      <c r="AG176" s="61">
        <v>101.85275204043701</v>
      </c>
      <c r="AH176" s="61">
        <v>105.3447648257177</v>
      </c>
      <c r="AI176" s="20">
        <v>108.8175060064185</v>
      </c>
      <c r="AJ176" s="13">
        <v>950</v>
      </c>
    </row>
    <row r="177" spans="1:36" ht="9.9499999999999993" customHeight="1" x14ac:dyDescent="0.2">
      <c r="A177" s="20">
        <v>3.6268938526884544E-2</v>
      </c>
      <c r="B177" s="61">
        <v>4.0298715378032743E-2</v>
      </c>
      <c r="C177" s="61">
        <v>0.10074284322368116</v>
      </c>
      <c r="D177" s="61">
        <v>0.20147253617515565</v>
      </c>
      <c r="E177" s="61">
        <v>0.3223308105873553</v>
      </c>
      <c r="F177" s="61">
        <v>0.40289247475510848</v>
      </c>
      <c r="G177" s="61">
        <v>0.80557458708098606</v>
      </c>
      <c r="H177" s="61">
        <v>1.2080463928887071</v>
      </c>
      <c r="I177" s="61">
        <v>1.6103079481030587</v>
      </c>
      <c r="J177" s="61">
        <v>1.8113598992183408</v>
      </c>
      <c r="K177" s="61">
        <v>2.0123593086640503</v>
      </c>
      <c r="L177" s="61">
        <v>4.0194651508522075</v>
      </c>
      <c r="M177" s="61">
        <v>8.0179444624531673</v>
      </c>
      <c r="N177" s="61">
        <v>15.952170925639297</v>
      </c>
      <c r="O177" s="61">
        <v>31.571301739917118</v>
      </c>
      <c r="P177" s="61">
        <v>39.257150754559895</v>
      </c>
      <c r="Q177" s="61">
        <v>43.069360101631986</v>
      </c>
      <c r="R177" s="61">
        <v>46.861177051085299</v>
      </c>
      <c r="S177" s="61">
        <v>50.63266636935434</v>
      </c>
      <c r="T177" s="61">
        <v>54.383894067743228</v>
      </c>
      <c r="U177" s="61">
        <v>58.114927441757857</v>
      </c>
      <c r="V177" s="61">
        <v>61.825835103680774</v>
      </c>
      <c r="W177" s="61">
        <v>65.516687008752896</v>
      </c>
      <c r="X177" s="61">
        <v>69.187554475316134</v>
      </c>
      <c r="Y177" s="61">
        <v>72.838510199264732</v>
      </c>
      <c r="Z177" s="61">
        <v>76.469628263142624</v>
      </c>
      <c r="AA177" s="61">
        <v>80.080984140217126</v>
      </c>
      <c r="AB177" s="61">
        <v>83.672654693849069</v>
      </c>
      <c r="AC177" s="61">
        <v>87.244718172469504</v>
      </c>
      <c r="AD177" s="61">
        <v>90.797254200466782</v>
      </c>
      <c r="AE177" s="61">
        <v>94.330343765273071</v>
      </c>
      <c r="AF177" s="61">
        <v>97.844069200933831</v>
      </c>
      <c r="AG177" s="61">
        <v>101.33851416843275</v>
      </c>
      <c r="AH177" s="61">
        <v>104.81376363303204</v>
      </c>
      <c r="AI177" s="20">
        <v>108.26990383888241</v>
      </c>
      <c r="AJ177" s="13">
        <v>955</v>
      </c>
    </row>
    <row r="178" spans="1:36" ht="9.9499999999999993" customHeight="1" x14ac:dyDescent="0.2">
      <c r="A178" s="20">
        <v>3.608003959003702E-2</v>
      </c>
      <c r="B178" s="61">
        <v>4.0088828438724231E-2</v>
      </c>
      <c r="C178" s="61">
        <v>0.10021815468743689</v>
      </c>
      <c r="D178" s="61">
        <v>0.2004232551492825</v>
      </c>
      <c r="E178" s="61">
        <v>0.32065214537268089</v>
      </c>
      <c r="F178" s="61">
        <v>0.4007942969387423</v>
      </c>
      <c r="G178" s="61">
        <v>0.80137976878073136</v>
      </c>
      <c r="H178" s="61">
        <v>1.2017564722178489</v>
      </c>
      <c r="I178" s="61">
        <v>1.6019244639538897</v>
      </c>
      <c r="J178" s="61">
        <v>1.8019302106575608</v>
      </c>
      <c r="K178" s="61">
        <v>2.0018838007060236</v>
      </c>
      <c r="L178" s="61">
        <v>3.998552645957576</v>
      </c>
      <c r="M178" s="61">
        <v>7.9762738800336814</v>
      </c>
      <c r="N178" s="61">
        <v>15.869450455186492</v>
      </c>
      <c r="O178" s="61">
        <v>31.408365859989232</v>
      </c>
      <c r="P178" s="61">
        <v>39.055059137368325</v>
      </c>
      <c r="Q178" s="61">
        <v>42.84793043656498</v>
      </c>
      <c r="R178" s="61">
        <v>46.620569799196147</v>
      </c>
      <c r="S178" s="61">
        <v>50.373042369154646</v>
      </c>
      <c r="T178" s="61">
        <v>54.10541448743367</v>
      </c>
      <c r="U178" s="61">
        <v>57.817753730534406</v>
      </c>
      <c r="V178" s="61">
        <v>61.510128942317237</v>
      </c>
      <c r="W178" s="61">
        <v>65.182610259647817</v>
      </c>
      <c r="X178" s="61">
        <v>68.835269132183996</v>
      </c>
      <c r="Y178" s="61">
        <v>72.468178336638147</v>
      </c>
      <c r="Z178" s="61">
        <v>76.081411985844795</v>
      </c>
      <c r="AA178" s="61">
        <v>79.675045532950534</v>
      </c>
      <c r="AB178" s="61">
        <v>83.249155771038573</v>
      </c>
      <c r="AC178" s="61">
        <v>86.803820828488526</v>
      </c>
      <c r="AD178" s="61">
        <v>90.339120160362754</v>
      </c>
      <c r="AE178" s="61">
        <v>93.855134536103748</v>
      </c>
      <c r="AF178" s="61">
        <v>97.351946023813525</v>
      </c>
      <c r="AG178" s="61">
        <v>100.82963797137884</v>
      </c>
      <c r="AH178" s="61">
        <v>104.28829498469777</v>
      </c>
      <c r="AI178" s="20">
        <v>107.72800290324811</v>
      </c>
      <c r="AJ178" s="13">
        <v>960</v>
      </c>
    </row>
    <row r="179" spans="1:36" ht="9.9499999999999993" customHeight="1" x14ac:dyDescent="0.2">
      <c r="A179" s="20">
        <v>3.5893098169568753E-2</v>
      </c>
      <c r="B179" s="61">
        <v>3.9881116511435534E-2</v>
      </c>
      <c r="C179" s="61">
        <v>9.9698903449463042E-2</v>
      </c>
      <c r="D179" s="61">
        <v>0.199384847946903</v>
      </c>
      <c r="E179" s="61">
        <v>0.31899087679015609</v>
      </c>
      <c r="F179" s="61">
        <v>0.39871786367379497</v>
      </c>
      <c r="G179" s="61">
        <v>0.79722842717403164</v>
      </c>
      <c r="H179" s="61">
        <v>1.1955317479194341</v>
      </c>
      <c r="I179" s="61">
        <v>1.5936278833389257</v>
      </c>
      <c r="J179" s="61">
        <v>1.7925982745011328</v>
      </c>
      <c r="K179" s="61">
        <v>1.9915168908730474</v>
      </c>
      <c r="L179" s="61">
        <v>3.9778570217023441</v>
      </c>
      <c r="M179" s="61">
        <v>7.9350357698050411</v>
      </c>
      <c r="N179" s="61">
        <v>15.787589563271478</v>
      </c>
      <c r="O179" s="61">
        <v>31.247126066078685</v>
      </c>
      <c r="P179" s="61">
        <v>38.855072259298787</v>
      </c>
      <c r="Q179" s="61">
        <v>42.628807285795347</v>
      </c>
      <c r="R179" s="61">
        <v>46.382469082799908</v>
      </c>
      <c r="S179" s="61">
        <v>50.116123134106857</v>
      </c>
      <c r="T179" s="61">
        <v>53.829836074675832</v>
      </c>
      <c r="U179" s="61">
        <v>57.52367572814132</v>
      </c>
      <c r="V179" s="61">
        <v>61.197711137959097</v>
      </c>
      <c r="W179" s="61">
        <v>64.852012592530826</v>
      </c>
      <c r="X179" s="61">
        <v>68.486651644640503</v>
      </c>
      <c r="Y179" s="61">
        <v>72.101701125529843</v>
      </c>
      <c r="Z179" s="61">
        <v>75.69723515392981</v>
      </c>
      <c r="AA179" s="61">
        <v>79.273329140357816</v>
      </c>
      <c r="AB179" s="61">
        <v>82.830059786981792</v>
      </c>
      <c r="AC179" s="61">
        <v>86.367505083341996</v>
      </c>
      <c r="AD179" s="61">
        <v>89.885744298216238</v>
      </c>
      <c r="AE179" s="61">
        <v>93.384857967897872</v>
      </c>
      <c r="AF179" s="61">
        <v>96.864927881154784</v>
      </c>
      <c r="AG179" s="61">
        <v>100.32603706112361</v>
      </c>
      <c r="AH179" s="61">
        <v>103.76826974438204</v>
      </c>
      <c r="AI179" s="20">
        <v>107.19171135743976</v>
      </c>
      <c r="AJ179" s="13">
        <v>965</v>
      </c>
    </row>
    <row r="180" spans="1:36" ht="9.9499999999999993" customHeight="1" x14ac:dyDescent="0.2">
      <c r="A180" s="20">
        <v>3.5708083993814609E-2</v>
      </c>
      <c r="B180" s="61">
        <v>3.9675545960980829E-2</v>
      </c>
      <c r="C180" s="61">
        <v>9.918500542170923E-2</v>
      </c>
      <c r="D180" s="61">
        <v>0.19835714639164911</v>
      </c>
      <c r="E180" s="61">
        <v>0.31734673575713029</v>
      </c>
      <c r="F180" s="61">
        <v>0.39666283860660762</v>
      </c>
      <c r="G180" s="61">
        <v>0.79311988955104673</v>
      </c>
      <c r="H180" s="61">
        <v>1.1893712109272558</v>
      </c>
      <c r="I180" s="61">
        <v>1.5854168608377399</v>
      </c>
      <c r="J180" s="61">
        <v>1.7833625771530537</v>
      </c>
      <c r="K180" s="61">
        <v>1.9812568973949563</v>
      </c>
      <c r="L180" s="61">
        <v>3.9573749147161164</v>
      </c>
      <c r="M180" s="61">
        <v>7.8942234068616592</v>
      </c>
      <c r="N180" s="61">
        <v>15.706574816528013</v>
      </c>
      <c r="O180" s="61">
        <v>31.087555627448342</v>
      </c>
      <c r="P180" s="61">
        <v>38.657156833657481</v>
      </c>
      <c r="Q180" s="61">
        <v>42.411954114559485</v>
      </c>
      <c r="R180" s="61">
        <v>46.146835141387456</v>
      </c>
      <c r="S180" s="61">
        <v>49.861865701981877</v>
      </c>
      <c r="T180" s="61">
        <v>53.557112691175178</v>
      </c>
      <c r="U180" s="61">
        <v>57.232644147429333</v>
      </c>
      <c r="V180" s="61">
        <v>60.888529283296094</v>
      </c>
      <c r="W180" s="61">
        <v>64.524838510031699</v>
      </c>
      <c r="X180" s="61">
        <v>68.141643456690531</v>
      </c>
      <c r="Y180" s="61">
        <v>71.739016984013119</v>
      </c>
      <c r="Z180" s="61">
        <v>75.317033193417288</v>
      </c>
      <c r="AA180" s="61">
        <v>78.875767431393001</v>
      </c>
      <c r="AB180" s="61">
        <v>82.415296289591339</v>
      </c>
      <c r="AC180" s="61">
        <v>85.935697600890904</v>
      </c>
      <c r="AD180" s="61">
        <v>89.437050431717537</v>
      </c>
      <c r="AE180" s="61">
        <v>92.919435070878421</v>
      </c>
      <c r="AF180" s="61">
        <v>96.382933015171147</v>
      </c>
      <c r="AG180" s="61">
        <v>99.827626952012423</v>
      </c>
      <c r="AH180" s="61">
        <v>103.25360073932423</v>
      </c>
      <c r="AI180" s="20">
        <v>106.66093938290658</v>
      </c>
      <c r="AJ180" s="13">
        <v>970</v>
      </c>
    </row>
    <row r="181" spans="1:36" ht="9.9499999999999993" customHeight="1" x14ac:dyDescent="0.2">
      <c r="A181" s="20">
        <v>3.5524967412095577E-2</v>
      </c>
      <c r="B181" s="61">
        <v>3.9472083842162525E-2</v>
      </c>
      <c r="C181" s="61">
        <v>9.867637824123085E-2</v>
      </c>
      <c r="D181" s="61">
        <v>0.19733998575781439</v>
      </c>
      <c r="E181" s="61">
        <v>0.31571945871287477</v>
      </c>
      <c r="F181" s="61">
        <v>0.39462889228664227</v>
      </c>
      <c r="G181" s="61">
        <v>0.78905349701531802</v>
      </c>
      <c r="H181" s="61">
        <v>1.1832738729057877</v>
      </c>
      <c r="I181" s="61">
        <v>1.577290078684835</v>
      </c>
      <c r="J181" s="61">
        <v>1.7742216361369432</v>
      </c>
      <c r="K181" s="61">
        <v>1.9711021730875997</v>
      </c>
      <c r="L181" s="61">
        <v>3.937103030969217</v>
      </c>
      <c r="M181" s="61">
        <v>7.8538302056055809</v>
      </c>
      <c r="N181" s="61">
        <v>15.626393062325931</v>
      </c>
      <c r="O181" s="61">
        <v>30.929628380339878</v>
      </c>
      <c r="P181" s="61">
        <v>38.461280284136137</v>
      </c>
      <c r="Q181" s="61">
        <v>42.197335169965328</v>
      </c>
      <c r="R181" s="61">
        <v>45.91362906755915</v>
      </c>
      <c r="S181" s="61">
        <v>49.610228034576068</v>
      </c>
      <c r="T181" s="61">
        <v>53.287199193186645</v>
      </c>
      <c r="U181" s="61">
        <v>56.944610765862912</v>
      </c>
      <c r="V181" s="61">
        <v>60.582532105170721</v>
      </c>
      <c r="W181" s="61">
        <v>64.201033717886801</v>
      </c>
      <c r="X181" s="61">
        <v>67.800187283754695</v>
      </c>
      <c r="Y181" s="61">
        <v>71.380065669186521</v>
      </c>
      <c r="Z181" s="61">
        <v>74.940742936210086</v>
      </c>
      <c r="AA181" s="61">
        <v>78.482294346950781</v>
      </c>
      <c r="AB181" s="61">
        <v>82.004796363932499</v>
      </c>
      <c r="AC181" s="61">
        <v>85.508326646470991</v>
      </c>
      <c r="AD181" s="61">
        <v>88.992964043425886</v>
      </c>
      <c r="AE181" s="61">
        <v>92.458788582566967</v>
      </c>
      <c r="AF181" s="61">
        <v>95.905881456803556</v>
      </c>
      <c r="AG181" s="61">
        <v>99.334325007518316</v>
      </c>
      <c r="AH181" s="61">
        <v>102.74420270523224</v>
      </c>
      <c r="AI181" s="20">
        <v>106.13559912782463</v>
      </c>
      <c r="AJ181" s="13">
        <v>975</v>
      </c>
    </row>
    <row r="182" spans="1:36" ht="9.9499999999999993" customHeight="1" x14ac:dyDescent="0.2">
      <c r="A182" s="20">
        <v>3.5343719378876245E-2</v>
      </c>
      <c r="B182" s="61">
        <v>3.9270697882168103E-2</v>
      </c>
      <c r="C182" s="61">
        <v>9.817294122617283E-2</v>
      </c>
      <c r="D182" s="61">
        <v>0.19633320468229587</v>
      </c>
      <c r="E182" s="61">
        <v>0.31410878747763554</v>
      </c>
      <c r="F182" s="61">
        <v>0.39261570199025048</v>
      </c>
      <c r="G182" s="61">
        <v>0.78502860413085718</v>
      </c>
      <c r="H182" s="61">
        <v>1.1772387657201593</v>
      </c>
      <c r="I182" s="61">
        <v>1.5692462460620444</v>
      </c>
      <c r="J182" s="61">
        <v>1.7651739992995124</v>
      </c>
      <c r="K182" s="61">
        <v>1.9610511044672605</v>
      </c>
      <c r="L182" s="61">
        <v>3.9170381439907693</v>
      </c>
      <c r="M182" s="61">
        <v>7.8138497161418092</v>
      </c>
      <c r="N182" s="61">
        <v>15.547031421415582</v>
      </c>
      <c r="O182" s="61">
        <v>30.773318712808834</v>
      </c>
      <c r="P182" s="61">
        <v>38.267410725652574</v>
      </c>
      <c r="Q182" s="61">
        <v>41.984915459825956</v>
      </c>
      <c r="R182" s="61">
        <v>45.682812783849606</v>
      </c>
      <c r="S182" s="61">
        <v>49.3611689925295</v>
      </c>
      <c r="T182" s="61">
        <v>53.020051404330587</v>
      </c>
      <c r="U182" s="61">
        <v>56.659528396341692</v>
      </c>
      <c r="V182" s="61">
        <v>60.279669433417283</v>
      </c>
      <c r="W182" s="61">
        <v>63.880545091808052</v>
      </c>
      <c r="X182" s="61">
        <v>67.462227077585126</v>
      </c>
      <c r="Y182" s="61">
        <v>71.024788240156354</v>
      </c>
      <c r="Z182" s="61">
        <v>74.56830258116446</v>
      </c>
      <c r="AA182" s="61">
        <v>78.092845259047934</v>
      </c>
      <c r="AB182" s="61">
        <v>81.598492589540655</v>
      </c>
      <c r="AC182" s="61">
        <v>85.085322042374926</v>
      </c>
      <c r="AD182" s="61">
        <v>88.553412234445275</v>
      </c>
      <c r="AE182" s="61">
        <v>92.002842919682621</v>
      </c>
      <c r="AF182" s="61">
        <v>95.433694975877955</v>
      </c>
      <c r="AG182" s="61">
        <v>98.846050388690756</v>
      </c>
      <c r="AH182" s="61">
        <v>102.23999223305978</v>
      </c>
      <c r="AI182" s="20">
        <v>105.6156046522372</v>
      </c>
      <c r="AJ182" s="13">
        <v>980</v>
      </c>
    </row>
    <row r="183" spans="1:36" ht="9.9499999999999993" customHeight="1" x14ac:dyDescent="0.2">
      <c r="A183" s="20">
        <v>3.5164311438404719E-2</v>
      </c>
      <c r="B183" s="61">
        <v>3.9071356463503272E-2</v>
      </c>
      <c r="C183" s="61">
        <v>9.7674615333095238E-2</v>
      </c>
      <c r="D183" s="61">
        <v>0.19533664507921522</v>
      </c>
      <c r="E183" s="61">
        <v>0.31251446911597747</v>
      </c>
      <c r="F183" s="61">
        <v>0.39062295154981436</v>
      </c>
      <c r="G183" s="61">
        <v>0.78104457858000709</v>
      </c>
      <c r="H183" s="61">
        <v>1.1712649409223046</v>
      </c>
      <c r="I183" s="61">
        <v>1.561284098412588</v>
      </c>
      <c r="J183" s="61">
        <v>1.7562182440383864</v>
      </c>
      <c r="K183" s="61">
        <v>1.9511021108921625</v>
      </c>
      <c r="L183" s="61">
        <v>3.8971770931416163</v>
      </c>
      <c r="M183" s="61">
        <v>7.7742756207855619</v>
      </c>
      <c r="N183" s="61">
        <v>15.468477280803935</v>
      </c>
      <c r="O183" s="61">
        <v>30.618601550050723</v>
      </c>
      <c r="P183" s="61">
        <v>38.075516945817114</v>
      </c>
      <c r="Q183" s="61">
        <v>41.774660732187179</v>
      </c>
      <c r="R183" s="61">
        <v>45.454349020315966</v>
      </c>
      <c r="S183" s="61">
        <v>49.114648310976293</v>
      </c>
      <c r="T183" s="61">
        <v>52.755626089310489</v>
      </c>
      <c r="U183" s="61">
        <v>56.377350858993516</v>
      </c>
      <c r="V183" s="61">
        <v>59.979892170740378</v>
      </c>
      <c r="W183" s="61">
        <v>63.563320645461133</v>
      </c>
      <c r="X183" s="61">
        <v>67.127707992359262</v>
      </c>
      <c r="Y183" s="61">
        <v>70.673127022263074</v>
      </c>
      <c r="Z183" s="61">
        <v>74.199651656470252</v>
      </c>
      <c r="AA183" s="61">
        <v>77.707356931380417</v>
      </c>
      <c r="AB183" s="61">
        <v>81.196318999180107</v>
      </c>
      <c r="AC183" s="61">
        <v>84.666615124839012</v>
      </c>
      <c r="AD183" s="61">
        <v>88.1183236796671</v>
      </c>
      <c r="AE183" s="61">
        <v>91.551524131672096</v>
      </c>
      <c r="AF183" s="61">
        <v>94.96629703295288</v>
      </c>
      <c r="AG183" s="61">
        <v>98.362724004352657</v>
      </c>
      <c r="AH183" s="61">
        <v>101.74088771758659</v>
      </c>
      <c r="AI183" s="20">
        <v>105.10087187505515</v>
      </c>
      <c r="AJ183" s="13">
        <v>985</v>
      </c>
    </row>
    <row r="184" spans="1:36" ht="9.9499999999999993" customHeight="1" x14ac:dyDescent="0.2">
      <c r="A184" s="20">
        <v>3.4986715709818164E-2</v>
      </c>
      <c r="B184" s="61">
        <v>3.8874028607442414E-2</v>
      </c>
      <c r="C184" s="61">
        <v>9.7181323115590912E-2</v>
      </c>
      <c r="D184" s="61">
        <v>0.19435015205713127</v>
      </c>
      <c r="E184" s="61">
        <v>0.31093625580427392</v>
      </c>
      <c r="F184" s="61">
        <v>0.3886503311880668</v>
      </c>
      <c r="G184" s="61">
        <v>0.77710080083168243</v>
      </c>
      <c r="H184" s="61">
        <v>1.1653514692527411</v>
      </c>
      <c r="I184" s="61">
        <v>1.5534023967759645</v>
      </c>
      <c r="J184" s="61">
        <v>1.7473529765534461</v>
      </c>
      <c r="K184" s="61">
        <v>1.94125364373015</v>
      </c>
      <c r="L184" s="61">
        <v>3.8775167819400185</v>
      </c>
      <c r="M184" s="61">
        <v>7.7351017306772851</v>
      </c>
      <c r="N184" s="61">
        <v>15.390718286854424</v>
      </c>
      <c r="O184" s="61">
        <v>30.46545234019877</v>
      </c>
      <c r="P184" s="61">
        <v>37.885568387000845</v>
      </c>
      <c r="Q184" s="61">
        <v>41.566537455523871</v>
      </c>
      <c r="R184" s="61">
        <v>45.228201292860376</v>
      </c>
      <c r="S184" s="61">
        <v>48.870626575995693</v>
      </c>
      <c r="T184" s="61">
        <v>52.49388092849783</v>
      </c>
      <c r="U184" s="61">
        <v>56.098032953900741</v>
      </c>
      <c r="V184" s="61">
        <v>59.683152263593094</v>
      </c>
      <c r="W184" s="61">
        <v>63.249309499508449</v>
      </c>
      <c r="X184" s="61">
        <v>66.796576351902843</v>
      </c>
      <c r="Y184" s="61">
        <v>70.325025572502355</v>
      </c>
      <c r="Z184" s="61">
        <v>73.834730983290257</v>
      </c>
      <c r="AA184" s="61">
        <v>77.32576748120222</v>
      </c>
      <c r="AB184" s="61">
        <v>80.798211038986167</v>
      </c>
      <c r="AC184" s="61">
        <v>84.252138702475236</v>
      </c>
      <c r="AD184" s="61">
        <v>87.68762858451889</v>
      </c>
      <c r="AE184" s="61">
        <v>91.104759855803152</v>
      </c>
      <c r="AF184" s="61">
        <v>94.503612732787417</v>
      </c>
      <c r="AG184" s="61">
        <v>97.884268462975939</v>
      </c>
      <c r="AH184" s="61">
        <v>101.24680930773293</v>
      </c>
      <c r="AI184" s="20">
        <v>104.59131852284266</v>
      </c>
      <c r="AJ184" s="13">
        <v>990</v>
      </c>
    </row>
    <row r="185" spans="1:36" ht="9.9499999999999993" customHeight="1" x14ac:dyDescent="0.2">
      <c r="A185" s="20">
        <v>3.4810904872697522E-2</v>
      </c>
      <c r="B185" s="61">
        <v>3.8678683957977765E-2</v>
      </c>
      <c r="C185" s="61">
        <v>9.6692988684151993E-2</v>
      </c>
      <c r="D185" s="61">
        <v>0.19337357383874892</v>
      </c>
      <c r="E185" s="61">
        <v>0.30937390470219778</v>
      </c>
      <c r="F185" s="61">
        <v>0.38669753735741719</v>
      </c>
      <c r="G185" s="61">
        <v>0.77319666381964447</v>
      </c>
      <c r="H185" s="61">
        <v>1.1594974401574085</v>
      </c>
      <c r="I185" s="61">
        <v>1.5455999271430152</v>
      </c>
      <c r="J185" s="61">
        <v>1.7385768311208338</v>
      </c>
      <c r="K185" s="61">
        <v>1.9315041855515513</v>
      </c>
      <c r="L185" s="61">
        <v>3.8580541764383698</v>
      </c>
      <c r="M185" s="61">
        <v>7.6963219825016154</v>
      </c>
      <c r="N185" s="61">
        <v>15.313742338601745</v>
      </c>
      <c r="O185" s="61">
        <v>30.313847040575496</v>
      </c>
      <c r="P185" s="61">
        <v>37.697535128983056</v>
      </c>
      <c r="Q185" s="61">
        <v>41.360512799577862</v>
      </c>
      <c r="R185" s="61">
        <v>45.004333882258379</v>
      </c>
      <c r="S185" s="61">
        <v>48.629065201832852</v>
      </c>
      <c r="T185" s="61">
        <v>52.234774493350088</v>
      </c>
      <c r="U185" s="61">
        <v>55.821530434723179</v>
      </c>
      <c r="V185" s="61">
        <v>59.3894026740155</v>
      </c>
      <c r="W185" s="61">
        <v>62.938461851675321</v>
      </c>
      <c r="X185" s="61">
        <v>66.468779617999473</v>
      </c>
      <c r="Y185" s="61">
        <v>69.980428646095334</v>
      </c>
      <c r="Z185" s="61">
        <v>73.473482640609006</v>
      </c>
      <c r="AA185" s="61">
        <v>76.948016342475015</v>
      </c>
      <c r="AB185" s="61">
        <v>80.404105529938292</v>
      </c>
      <c r="AC185" s="61">
        <v>83.841827016090875</v>
      </c>
      <c r="AD185" s="61">
        <v>87.261258643157845</v>
      </c>
      <c r="AE185" s="61">
        <v>90.662479273759104</v>
      </c>
      <c r="AF185" s="61">
        <v>94.045568779366207</v>
      </c>
      <c r="AG185" s="61">
        <v>97.410608026167054</v>
      </c>
      <c r="AH185" s="61">
        <v>100.7576788585374</v>
      </c>
      <c r="AI185" s="20">
        <v>104.08686408032011</v>
      </c>
      <c r="AJ185" s="13">
        <v>995</v>
      </c>
    </row>
    <row r="186" spans="1:36" ht="9.9499999999999993" customHeight="1" x14ac:dyDescent="0.2">
      <c r="A186" s="20">
        <v>3.4636852153055224E-2</v>
      </c>
      <c r="B186" s="61">
        <v>3.8485292766250699E-2</v>
      </c>
      <c r="C186" s="61">
        <v>9.6209537667240663E-2</v>
      </c>
      <c r="D186" s="61">
        <v>0.19240676168303741</v>
      </c>
      <c r="E186" s="61">
        <v>0.30782717782806573</v>
      </c>
      <c r="F186" s="61">
        <v>0.38476427258409723</v>
      </c>
      <c r="G186" s="61">
        <v>0.7693315726304345</v>
      </c>
      <c r="H186" s="61">
        <v>1.1537019613190491</v>
      </c>
      <c r="I186" s="61">
        <v>1.5378754998303696</v>
      </c>
      <c r="J186" s="61">
        <v>1.7298884693888228</v>
      </c>
      <c r="K186" s="61">
        <v>1.9218522493463861</v>
      </c>
      <c r="L186" s="61">
        <v>3.8387863036490217</v>
      </c>
      <c r="M186" s="61">
        <v>7.6579304353065369</v>
      </c>
      <c r="N186" s="61">
        <v>15.237537581274069</v>
      </c>
      <c r="O186" s="61">
        <v>30.163762104381629</v>
      </c>
      <c r="P186" s="61">
        <v>37.511387872155062</v>
      </c>
      <c r="Q186" s="61">
        <v>41.156554616813473</v>
      </c>
      <c r="R186" s="61">
        <v>44.782711813865468</v>
      </c>
      <c r="S186" s="61">
        <v>48.389926408859033</v>
      </c>
      <c r="T186" s="61">
        <v>51.978266222629578</v>
      </c>
      <c r="U186" s="61">
        <v>55.547799983183396</v>
      </c>
      <c r="V186" s="61">
        <v>59.098597352395657</v>
      </c>
      <c r="W186" s="61">
        <v>62.630728947800435</v>
      </c>
      <c r="X186" s="61">
        <v>66.144266359743014</v>
      </c>
      <c r="Y186" s="61">
        <v>69.639282164159994</v>
      </c>
      <c r="Z186" s="61">
        <v>73.115849931242977</v>
      </c>
      <c r="AA186" s="61">
        <v>76.5740442302357</v>
      </c>
      <c r="AB186" s="61">
        <v>80.013940630608388</v>
      </c>
      <c r="AC186" s="61">
        <v>83.435615699841875</v>
      </c>
      <c r="AD186" s="61">
        <v>86.839146998053025</v>
      </c>
      <c r="AE186" s="61">
        <v>90.224613069677233</v>
      </c>
      <c r="AF186" s="61">
        <v>93.592093432422459</v>
      </c>
      <c r="AG186" s="61">
        <v>96.941668563700986</v>
      </c>
      <c r="AH186" s="61">
        <v>100.27341988473268</v>
      </c>
      <c r="AI186" s="20">
        <v>103.58742974251217</v>
      </c>
      <c r="AJ186" s="13">
        <v>1000</v>
      </c>
    </row>
    <row r="187" spans="1:36" ht="9.9499999999999993" customHeight="1" x14ac:dyDescent="0.2">
      <c r="A187" s="20">
        <v>3.446453130974194E-2</v>
      </c>
      <c r="B187" s="61">
        <v>3.8293825875447066E-2</v>
      </c>
      <c r="C187" s="61">
        <v>9.5730897173521845E-2</v>
      </c>
      <c r="D187" s="61">
        <v>0.19144956980967495</v>
      </c>
      <c r="E187" s="61">
        <v>0.30629584193791032</v>
      </c>
      <c r="F187" s="61">
        <v>0.38285024531696571</v>
      </c>
      <c r="G187" s="61">
        <v>0.76550494420064885</v>
      </c>
      <c r="H187" s="61">
        <v>1.1479641582026063</v>
      </c>
      <c r="I187" s="61">
        <v>1.530227948873661</v>
      </c>
      <c r="J187" s="61">
        <v>1.7212865796948147</v>
      </c>
      <c r="K187" s="61">
        <v>1.9122963777650499</v>
      </c>
      <c r="L187" s="61">
        <v>3.8197102500175455</v>
      </c>
      <c r="M187" s="61">
        <v>7.6199212674191692</v>
      </c>
      <c r="N187" s="61">
        <v>15.162092400015005</v>
      </c>
      <c r="O187" s="61">
        <v>30.015174467805629</v>
      </c>
      <c r="P187" s="61">
        <v>37.327097921260965</v>
      </c>
      <c r="Q187" s="61">
        <v>40.954631424467706</v>
      </c>
      <c r="R187" s="61">
        <v>44.563300837976811</v>
      </c>
      <c r="S187" s="61">
        <v>48.153173202243842</v>
      </c>
      <c r="T187" s="61">
        <v>51.724316399393068</v>
      </c>
      <c r="U187" s="61">
        <v>55.276799184380664</v>
      </c>
      <c r="V187" s="61">
        <v>58.810691211119106</v>
      </c>
      <c r="W187" s="61">
        <v>62.326063053830381</v>
      </c>
      <c r="X187" s="61">
        <v>65.822986223894119</v>
      </c>
      <c r="Y187" s="61">
        <v>69.301533182444729</v>
      </c>
      <c r="Z187" s="61">
        <v>72.761777348968039</v>
      </c>
      <c r="AA187" s="61">
        <v>76.203793106139045</v>
      </c>
      <c r="AB187" s="61">
        <v>79.62765580113745</v>
      </c>
      <c r="AC187" s="61">
        <v>83.033441743667154</v>
      </c>
      <c r="AD187" s="61">
        <v>86.421228200902576</v>
      </c>
      <c r="AE187" s="61">
        <v>89.791093389573547</v>
      </c>
      <c r="AF187" s="61">
        <v>93.143116465395124</v>
      </c>
      <c r="AG187" s="61">
        <v>96.477377510042075</v>
      </c>
      <c r="AH187" s="61">
        <v>99.793957515857514</v>
      </c>
      <c r="AI187" s="20">
        <v>103.09293836848073</v>
      </c>
      <c r="AJ187" s="13">
        <v>1005</v>
      </c>
    </row>
    <row r="188" spans="1:36" ht="9.9499999999999993" customHeight="1" x14ac:dyDescent="0.2">
      <c r="A188" s="20">
        <v>3.4293916621256332E-2</v>
      </c>
      <c r="B188" s="61">
        <v>3.8104254706141871E-2</v>
      </c>
      <c r="C188" s="61">
        <v>9.5256995755218371E-2</v>
      </c>
      <c r="D188" s="61">
        <v>0.19050185532573918</v>
      </c>
      <c r="E188" s="61">
        <v>0.30477966840814574</v>
      </c>
      <c r="F188" s="61">
        <v>0.38095516978080912</v>
      </c>
      <c r="G188" s="61">
        <v>0.7617162070232163</v>
      </c>
      <c r="H188" s="61">
        <v>1.1422831736141694</v>
      </c>
      <c r="I188" s="61">
        <v>1.5226561314388225</v>
      </c>
      <c r="J188" s="61">
        <v>1.7127698764026822</v>
      </c>
      <c r="K188" s="61">
        <v>1.9028351423816503</v>
      </c>
      <c r="L188" s="61">
        <v>3.800823159941765</v>
      </c>
      <c r="M188" s="61">
        <v>7.5822887734548097</v>
      </c>
      <c r="N188" s="61">
        <v>15.087395413798246</v>
      </c>
      <c r="O188" s="61">
        <v>29.868061537538054</v>
      </c>
      <c r="P188" s="61">
        <v>37.144637169653144</v>
      </c>
      <c r="Q188" s="61">
        <v>40.754712387172077</v>
      </c>
      <c r="R188" s="61">
        <v>44.346067410815436</v>
      </c>
      <c r="S188" s="61">
        <v>47.918769351311369</v>
      </c>
      <c r="T188" s="61">
        <v>51.472886128721697</v>
      </c>
      <c r="U188" s="61">
        <v>55.008486502903004</v>
      </c>
      <c r="V188" s="61">
        <v>58.525640099070337</v>
      </c>
      <c r="W188" s="61">
        <v>62.024417428724846</v>
      </c>
      <c r="X188" s="61">
        <v>65.504889906200376</v>
      </c>
      <c r="Y188" s="61">
        <v>68.967129861079371</v>
      </c>
      <c r="Z188" s="61">
        <v>72.411210546719403</v>
      </c>
      <c r="AA188" s="61">
        <v>75.837206145124426</v>
      </c>
      <c r="AB188" s="61">
        <v>79.245191768392132</v>
      </c>
      <c r="AC188" s="61">
        <v>82.635243456954981</v>
      </c>
      <c r="AD188" s="61">
        <v>86.007438174832402</v>
      </c>
      <c r="AE188" s="61">
        <v>89.361853802099347</v>
      </c>
      <c r="AF188" s="61">
        <v>92.698569124770231</v>
      </c>
      <c r="AG188" s="61">
        <v>96.017663822294452</v>
      </c>
      <c r="AH188" s="61">
        <v>99.319218452844765</v>
      </c>
      <c r="AI188" s="20">
        <v>102.60331443657905</v>
      </c>
      <c r="AJ188" s="13">
        <v>1010</v>
      </c>
    </row>
    <row r="189" spans="1:36" ht="9.9499999999999993" customHeight="1" x14ac:dyDescent="0.2">
      <c r="A189" s="20">
        <v>3.4124982872945187E-2</v>
      </c>
      <c r="B189" s="61">
        <v>3.7916551242076817E-2</v>
      </c>
      <c r="C189" s="61">
        <v>9.4787763372549488E-2</v>
      </c>
      <c r="D189" s="61">
        <v>0.18956347815456454</v>
      </c>
      <c r="E189" s="61">
        <v>0.30327843312170211</v>
      </c>
      <c r="F189" s="61">
        <v>0.37907876583398126</v>
      </c>
      <c r="G189" s="61">
        <v>0.75796480086237916</v>
      </c>
      <c r="H189" s="61">
        <v>1.1366581672729963</v>
      </c>
      <c r="I189" s="61">
        <v>1.5151589272508452</v>
      </c>
      <c r="J189" s="61">
        <v>1.704337099259799</v>
      </c>
      <c r="K189" s="61">
        <v>1.8934671429792189</v>
      </c>
      <c r="L189" s="61">
        <v>3.7821222343349263</v>
      </c>
      <c r="M189" s="61">
        <v>7.545027361415837</v>
      </c>
      <c r="N189" s="61">
        <v>15.013435469527881</v>
      </c>
      <c r="O189" s="61">
        <v>29.722401178676588</v>
      </c>
      <c r="P189" s="61">
        <v>36.963978084045365</v>
      </c>
      <c r="Q189" s="61">
        <v>40.556767300124676</v>
      </c>
      <c r="R189" s="61">
        <v>44.130978676124158</v>
      </c>
      <c r="S189" s="61">
        <v>47.686679369555975</v>
      </c>
      <c r="T189" s="61">
        <v>51.223937316164864</v>
      </c>
      <c r="U189" s="61">
        <v>54.742821259704961</v>
      </c>
      <c r="V189" s="61">
        <v>58.24340077695647</v>
      </c>
      <c r="W189" s="61">
        <v>61.7257462982353</v>
      </c>
      <c r="X189" s="61">
        <v>65.189929123644291</v>
      </c>
      <c r="Y189" s="61">
        <v>68.636021435307697</v>
      </c>
      <c r="Z189" s="61">
        <v>72.064096305824663</v>
      </c>
      <c r="AA189" s="61">
        <v>75.474227703168367</v>
      </c>
      <c r="AB189" s="61">
        <v>78.866490492254513</v>
      </c>
      <c r="AC189" s="61">
        <v>82.240960433392786</v>
      </c>
      <c r="AD189" s="61">
        <v>85.597714177828934</v>
      </c>
      <c r="AE189" s="61">
        <v>88.936829260578932</v>
      </c>
      <c r="AF189" s="61">
        <v>92.258384090748493</v>
      </c>
      <c r="AG189" s="61">
        <v>95.562457939526439</v>
      </c>
      <c r="AH189" s="61">
        <v>98.849130926028337</v>
      </c>
      <c r="AI189" s="20">
        <v>102.11848400116841</v>
      </c>
      <c r="AJ189" s="13">
        <v>1015</v>
      </c>
    </row>
    <row r="190" spans="1:36" ht="9.9499999999999993" customHeight="1" x14ac:dyDescent="0.2">
      <c r="A190" s="20">
        <v>3.3957705344580001E-2</v>
      </c>
      <c r="B190" s="61">
        <v>3.7730688016356331E-2</v>
      </c>
      <c r="C190" s="61">
        <v>9.4323131359215023E-2</v>
      </c>
      <c r="D190" s="61">
        <v>0.18863430096669326</v>
      </c>
      <c r="E190" s="61">
        <v>0.30179191635751512</v>
      </c>
      <c r="F190" s="61">
        <v>0.37722075883023132</v>
      </c>
      <c r="G190" s="61">
        <v>0.75425017647706305</v>
      </c>
      <c r="H190" s="61">
        <v>1.1310883153961477</v>
      </c>
      <c r="I190" s="61">
        <v>1.5077352380393974</v>
      </c>
      <c r="J190" s="61">
        <v>1.6959870127730443</v>
      </c>
      <c r="K190" s="61">
        <v>1.8841910068560377</v>
      </c>
      <c r="L190" s="61">
        <v>3.7636047292315045</v>
      </c>
      <c r="M190" s="61">
        <v>7.5081315498774543</v>
      </c>
      <c r="N190" s="61">
        <v>14.940201636317783</v>
      </c>
      <c r="O190" s="61">
        <v>29.57817170300634</v>
      </c>
      <c r="P190" s="61">
        <v>36.785093689743235</v>
      </c>
      <c r="Q190" s="61">
        <v>40.360766572792869</v>
      </c>
      <c r="R190" s="61">
        <v>43.918002447340363</v>
      </c>
      <c r="S190" s="61">
        <v>47.456868495291189</v>
      </c>
      <c r="T190" s="61">
        <v>50.977432646868763</v>
      </c>
      <c r="U190" s="61">
        <v>54.479763609724309</v>
      </c>
      <c r="V190" s="61">
        <v>57.963930893419047</v>
      </c>
      <c r="W190" s="61">
        <v>61.430004829524741</v>
      </c>
      <c r="X190" s="61">
        <v>64.878056587583359</v>
      </c>
      <c r="Y190" s="61">
        <v>68.308158187161908</v>
      </c>
      <c r="Z190" s="61">
        <v>71.720382506229228</v>
      </c>
      <c r="AA190" s="61">
        <v>75.114803286077588</v>
      </c>
      <c r="AB190" s="61">
        <v>78.491495133003397</v>
      </c>
      <c r="AC190" s="61">
        <v>81.850533516955991</v>
      </c>
      <c r="AD190" s="61">
        <v>85.191994767356476</v>
      </c>
      <c r="AE190" s="61">
        <v>88.515956066279955</v>
      </c>
      <c r="AF190" s="61">
        <v>91.822495439191471</v>
      </c>
      <c r="AG190" s="61">
        <v>95.111691743415477</v>
      </c>
      <c r="AH190" s="61">
        <v>98.383624654514193</v>
      </c>
      <c r="AI190" s="20">
        <v>101.63837465074154</v>
      </c>
      <c r="AJ190" s="13">
        <v>1020</v>
      </c>
    </row>
    <row r="191" spans="1:36" ht="9.9499999999999993" customHeight="1" x14ac:dyDescent="0.2">
      <c r="A191" s="20">
        <v>3.3792059798297011E-2</v>
      </c>
      <c r="B191" s="61">
        <v>3.7546638098047487E-2</v>
      </c>
      <c r="C191" s="61">
        <v>9.3863032388890696E-2</v>
      </c>
      <c r="D191" s="61">
        <v>0.18771418911284893</v>
      </c>
      <c r="E191" s="61">
        <v>0.30031990268324787</v>
      </c>
      <c r="F191" s="61">
        <v>0.37538087948458587</v>
      </c>
      <c r="G191" s="61">
        <v>0.75057179535237006</v>
      </c>
      <c r="H191" s="61">
        <v>1.12557281029531</v>
      </c>
      <c r="I191" s="61">
        <v>1.5003839870007314</v>
      </c>
      <c r="J191" s="61">
        <v>1.6877184056031529</v>
      </c>
      <c r="K191" s="61">
        <v>1.8750053881523607</v>
      </c>
      <c r="L191" s="61">
        <v>3.745267954434206</v>
      </c>
      <c r="M191" s="61">
        <v>7.4715959652571762</v>
      </c>
      <c r="N191" s="61">
        <v>14.867683199943608</v>
      </c>
      <c r="O191" s="61">
        <v>29.435351857642654</v>
      </c>
      <c r="P191" s="61">
        <v>36.607957556336032</v>
      </c>
      <c r="Q191" s="61">
        <v>40.166681213125415</v>
      </c>
      <c r="R191" s="61">
        <v>43.707107190330042</v>
      </c>
      <c r="S191" s="61">
        <v>47.22930267290932</v>
      </c>
      <c r="T191" s="61">
        <v>50.733335565366474</v>
      </c>
      <c r="U191" s="61">
        <v>54.219274520208813</v>
      </c>
      <c r="V191" s="61">
        <v>57.687188961907573</v>
      </c>
      <c r="W191" s="61">
        <v>61.137149106597171</v>
      </c>
      <c r="X191" s="61">
        <v>64.569225977748459</v>
      </c>
      <c r="Y191" s="61">
        <v>67.98349141804394</v>
      </c>
      <c r="Z191" s="61">
        <v>71.380018097676384</v>
      </c>
      <c r="AA191" s="61">
        <v>74.758879519285614</v>
      </c>
      <c r="AB191" s="61">
        <v>78.120150019744244</v>
      </c>
      <c r="AC191" s="61">
        <v>81.463904768991767</v>
      </c>
      <c r="AD191" s="61">
        <v>84.79021976611584</v>
      </c>
      <c r="AE191" s="61">
        <v>88.099171832867469</v>
      </c>
      <c r="AF191" s="61">
        <v>91.390838604793927</v>
      </c>
      <c r="AG191" s="61">
        <v>94.665298520165209</v>
      </c>
      <c r="AH191" s="61">
        <v>97.922630806863538</v>
      </c>
      <c r="AI191" s="20">
        <v>101.16291546739801</v>
      </c>
      <c r="AJ191" s="13">
        <v>1025</v>
      </c>
    </row>
    <row r="192" spans="1:36" ht="9.9499999999999993" customHeight="1" x14ac:dyDescent="0.2">
      <c r="A192" s="20">
        <v>3.3628022466888723E-2</v>
      </c>
      <c r="B192" s="61">
        <v>3.7364375079170557E-2</v>
      </c>
      <c r="C192" s="61">
        <v>9.340740044269906E-2</v>
      </c>
      <c r="D192" s="61">
        <v>0.18680301055886137</v>
      </c>
      <c r="E192" s="61">
        <v>0.29886218085114336</v>
      </c>
      <c r="F192" s="61">
        <v>0.37355886374313335</v>
      </c>
      <c r="G192" s="61">
        <v>0.74692912943889422</v>
      </c>
      <c r="H192" s="61">
        <v>1.120110859985405</v>
      </c>
      <c r="I192" s="61">
        <v>1.4931041182753206</v>
      </c>
      <c r="J192" s="61">
        <v>1.6795300899767613</v>
      </c>
      <c r="K192" s="61">
        <v>1.8659089671968241</v>
      </c>
      <c r="L192" s="61">
        <v>3.7271092722006554</v>
      </c>
      <c r="M192" s="61">
        <v>7.435415339165111</v>
      </c>
      <c r="N192" s="61">
        <v>14.79586965746166</v>
      </c>
      <c r="O192" s="61">
        <v>29.293920814022727</v>
      </c>
      <c r="P192" s="61">
        <v>36.432543783831406</v>
      </c>
      <c r="Q192" s="61">
        <v>39.97448281225676</v>
      </c>
      <c r="R192" s="61">
        <v>43.498262006662401</v>
      </c>
      <c r="S192" s="61">
        <v>47.003948534728671</v>
      </c>
      <c r="T192" s="61">
        <v>50.491610256003028</v>
      </c>
      <c r="U192" s="61">
        <v>53.96131574972646</v>
      </c>
      <c r="V192" s="61">
        <v>57.413134338283029</v>
      </c>
      <c r="W192" s="61">
        <v>60.847136106505957</v>
      </c>
      <c r="X192" s="61">
        <v>64.26339191706856</v>
      </c>
      <c r="Y192" s="61">
        <v>67.661973422180679</v>
      </c>
      <c r="Z192" s="61">
        <v>71.042953071806792</v>
      </c>
      <c r="AA192" s="61">
        <v>74.406404118613196</v>
      </c>
      <c r="AB192" s="61">
        <v>77.752400619849027</v>
      </c>
      <c r="AC192" s="61">
        <v>81.081017436356106</v>
      </c>
      <c r="AD192" s="61">
        <v>84.392330228899255</v>
      </c>
      <c r="AE192" s="61">
        <v>87.686415451997831</v>
      </c>
      <c r="AF192" s="61">
        <v>90.963350345439423</v>
      </c>
      <c r="AG192" s="61">
        <v>94.223212923643032</v>
      </c>
      <c r="AH192" s="61">
        <v>97.466081963039215</v>
      </c>
      <c r="AI192" s="20">
        <v>100.6920369876222</v>
      </c>
      <c r="AJ192" s="13">
        <v>1030</v>
      </c>
    </row>
    <row r="193" spans="1:36" ht="9.9499999999999993" customHeight="1" x14ac:dyDescent="0.2">
      <c r="A193" s="20">
        <v>3.3465570042434639E-2</v>
      </c>
      <c r="B193" s="61">
        <v>3.7183873062066171E-2</v>
      </c>
      <c r="C193" s="61">
        <v>9.2956170777623387E-2</v>
      </c>
      <c r="D193" s="61">
        <v>0.18590063582248073</v>
      </c>
      <c r="E193" s="61">
        <v>0.29741854369689502</v>
      </c>
      <c r="F193" s="61">
        <v>0.37175445265659129</v>
      </c>
      <c r="G193" s="61">
        <v>0.74332166089961293</v>
      </c>
      <c r="H193" s="61">
        <v>1.1147016878045604</v>
      </c>
      <c r="I193" s="61">
        <v>1.4858945964406705</v>
      </c>
      <c r="J193" s="61">
        <v>1.671420901115577</v>
      </c>
      <c r="K193" s="61">
        <v>1.8569004498718951</v>
      </c>
      <c r="L193" s="61">
        <v>3.70912609596851</v>
      </c>
      <c r="M193" s="61">
        <v>7.3995845058323448</v>
      </c>
      <c r="N193" s="61">
        <v>14.724750711988257</v>
      </c>
      <c r="O193" s="61">
        <v>29.153858157233724</v>
      </c>
      <c r="P193" s="61">
        <v>36.258826989218292</v>
      </c>
      <c r="Q193" s="61">
        <v>39.784143529684769</v>
      </c>
      <c r="R193" s="61">
        <v>43.291436617403434</v>
      </c>
      <c r="S193" s="61">
        <v>46.780773383406661</v>
      </c>
      <c r="T193" s="61">
        <v>50.252221623972915</v>
      </c>
      <c r="U193" s="61">
        <v>53.705849827834058</v>
      </c>
      <c r="V193" s="61">
        <v>57.141727199126393</v>
      </c>
      <c r="W193" s="61">
        <v>60.559923676311911</v>
      </c>
      <c r="X193" s="61">
        <v>63.96050994729007</v>
      </c>
      <c r="Y193" s="61">
        <v>67.343557460917623</v>
      </c>
      <c r="Z193" s="61">
        <v>70.709138435142393</v>
      </c>
      <c r="AA193" s="61">
        <v>74.05732586195704</v>
      </c>
      <c r="AB193" s="61">
        <v>77.388193509366971</v>
      </c>
      <c r="AC193" s="61">
        <v>80.701815920565934</v>
      </c>
      <c r="AD193" s="61">
        <v>83.998268410501495</v>
      </c>
      <c r="AE193" s="61">
        <v>87.27762706001009</v>
      </c>
      <c r="AF193" s="61">
        <v>90.53996870769204</v>
      </c>
      <c r="AG193" s="61">
        <v>93.785370939695596</v>
      </c>
      <c r="AH193" s="61">
        <v>97.013912077565479</v>
      </c>
      <c r="AI193" s="20">
        <v>100.22567116431235</v>
      </c>
      <c r="AJ193" s="13">
        <v>1035</v>
      </c>
    </row>
    <row r="194" spans="1:36" ht="9.9499999999999993" customHeight="1" x14ac:dyDescent="0.2">
      <c r="A194" s="20">
        <v>3.3304679665260156E-2</v>
      </c>
      <c r="B194" s="61">
        <v>3.7005106647127591E-2</v>
      </c>
      <c r="C194" s="61">
        <v>9.2509279895833768E-2</v>
      </c>
      <c r="D194" s="61">
        <v>0.18500693791201397</v>
      </c>
      <c r="E194" s="61">
        <v>0.29598878804143874</v>
      </c>
      <c r="F194" s="61">
        <v>0.36996739225752173</v>
      </c>
      <c r="G194" s="61">
        <v>0.73974888186409193</v>
      </c>
      <c r="H194" s="61">
        <v>1.1093445320450732</v>
      </c>
      <c r="I194" s="61">
        <v>1.4787544060188322</v>
      </c>
      <c r="J194" s="61">
        <v>1.6633896966820625</v>
      </c>
      <c r="K194" s="61">
        <v>1.8479785669976834</v>
      </c>
      <c r="L194" s="61">
        <v>3.691315889117663</v>
      </c>
      <c r="M194" s="61">
        <v>7.3640983996147362</v>
      </c>
      <c r="N194" s="61">
        <v>14.654316267634389</v>
      </c>
      <c r="O194" s="61">
        <v>29.015143875665053</v>
      </c>
      <c r="P194" s="61">
        <v>36.086782293441757</v>
      </c>
      <c r="Q194" s="61">
        <v>39.59563607890459</v>
      </c>
      <c r="R194" s="61">
        <v>43.086601347410351</v>
      </c>
      <c r="S194" s="61">
        <v>46.559745174898296</v>
      </c>
      <c r="T194" s="61">
        <v>50.015135276947333</v>
      </c>
      <c r="U194" s="61">
        <v>53.452840035379978</v>
      </c>
      <c r="V194" s="61">
        <v>56.872928520725544</v>
      </c>
      <c r="W194" s="61">
        <v>60.275470510763739</v>
      </c>
      <c r="X194" s="61">
        <v>63.660536505363034</v>
      </c>
      <c r="Y194" s="61">
        <v>67.028197737822339</v>
      </c>
      <c r="Z194" s="61">
        <v>70.378526182920979</v>
      </c>
      <c r="AA194" s="61">
        <v>73.711594561871948</v>
      </c>
      <c r="AB194" s="61">
        <v>77.02747634437074</v>
      </c>
      <c r="AC194" s="61">
        <v>80.326245747925725</v>
      </c>
      <c r="AD194" s="61">
        <v>83.607977734647335</v>
      </c>
      <c r="AE194" s="61">
        <v>86.872748005671681</v>
      </c>
      <c r="AF194" s="61">
        <v>90.120632993382273</v>
      </c>
      <c r="AG194" s="61">
        <v>93.351709851595317</v>
      </c>
      <c r="AH194" s="61">
        <v>96.566056443858102</v>
      </c>
      <c r="AI194" s="20">
        <v>99.763751330015182</v>
      </c>
      <c r="AJ194" s="13">
        <v>1040</v>
      </c>
    </row>
    <row r="195" spans="1:36" ht="9.9499999999999993" customHeight="1" x14ac:dyDescent="0.2">
      <c r="A195" s="20">
        <v>3.3145328913212473E-2</v>
      </c>
      <c r="B195" s="61">
        <v>3.6828050920884592E-2</v>
      </c>
      <c r="C195" s="61">
        <v>9.2066665514892537E-2</v>
      </c>
      <c r="D195" s="61">
        <v>0.18412179226672282</v>
      </c>
      <c r="E195" s="61">
        <v>0.29457271459556406</v>
      </c>
      <c r="F195" s="61">
        <v>0.36819743344107486</v>
      </c>
      <c r="G195" s="61">
        <v>0.73621029418975259</v>
      </c>
      <c r="H195" s="61">
        <v>1.1040386455950004</v>
      </c>
      <c r="I195" s="61">
        <v>1.4716825509980926</v>
      </c>
      <c r="J195" s="61">
        <v>1.6554353562411039</v>
      </c>
      <c r="K195" s="61">
        <v>1.8391420737335331</v>
      </c>
      <c r="L195" s="61">
        <v>3.6736761637682194</v>
      </c>
      <c r="M195" s="61">
        <v>7.3289520525694218</v>
      </c>
      <c r="N195" s="61">
        <v>14.584556424590151</v>
      </c>
      <c r="O195" s="61">
        <v>28.877758350973785</v>
      </c>
      <c r="P195" s="61">
        <v>35.916385308774352</v>
      </c>
      <c r="Q195" s="61">
        <v>39.408933713482334</v>
      </c>
      <c r="R195" s="61">
        <v>42.883727110109071</v>
      </c>
      <c r="S195" s="61">
        <v>46.340832501939943</v>
      </c>
      <c r="T195" s="61">
        <v>49.780317507269636</v>
      </c>
      <c r="U195" s="61">
        <v>53.202250385417685</v>
      </c>
      <c r="V195" s="61">
        <v>56.606700058714161</v>
      </c>
      <c r="W195" s="61">
        <v>59.993736130673732</v>
      </c>
      <c r="X195" s="61">
        <v>63.363428900562759</v>
      </c>
      <c r="Y195" s="61">
        <v>66.715849374566716</v>
      </c>
      <c r="Z195" s="61">
        <v>70.051069273751722</v>
      </c>
      <c r="AA195" s="61">
        <v>73.369161039014088</v>
      </c>
      <c r="AB195" s="61">
        <v>76.670197833202792</v>
      </c>
      <c r="AC195" s="61">
        <v>79.954253540594578</v>
      </c>
      <c r="AD195" s="61">
        <v>83.221402763896236</v>
      </c>
      <c r="AE195" s="61">
        <v>86.471720818941719</v>
      </c>
      <c r="AF195" s="61">
        <v>89.705283727246837</v>
      </c>
      <c r="AG195" s="61">
        <v>92.922168206576828</v>
      </c>
      <c r="AH195" s="61">
        <v>96.122451659678504</v>
      </c>
      <c r="AI195" s="20">
        <v>99.306212161320516</v>
      </c>
      <c r="AJ195" s="13">
        <v>1045</v>
      </c>
    </row>
    <row r="196" spans="1:36" ht="9.9499999999999993" customHeight="1" x14ac:dyDescent="0.2">
      <c r="A196" s="20">
        <v>3.2987495791242633E-2</v>
      </c>
      <c r="B196" s="61">
        <v>3.6652681444428188E-2</v>
      </c>
      <c r="C196" s="61">
        <v>9.1628266538812536E-2</v>
      </c>
      <c r="D196" s="61">
        <v>0.18324507669892751</v>
      </c>
      <c r="E196" s="61">
        <v>0.29317012786725472</v>
      </c>
      <c r="F196" s="61">
        <v>0.36644433184914266</v>
      </c>
      <c r="G196" s="61">
        <v>0.73270540922998162</v>
      </c>
      <c r="H196" s="61">
        <v>1.098783295590009</v>
      </c>
      <c r="I196" s="61">
        <v>1.4646780543683735</v>
      </c>
      <c r="J196" s="61">
        <v>1.6475567807371079</v>
      </c>
      <c r="K196" s="61">
        <v>1.83038974899678</v>
      </c>
      <c r="L196" s="61">
        <v>3.6562044796131747</v>
      </c>
      <c r="M196" s="61">
        <v>7.2941405921017166</v>
      </c>
      <c r="N196" s="61">
        <v>14.51546147435365</v>
      </c>
      <c r="O196" s="61">
        <v>28.741682348351336</v>
      </c>
      <c r="P196" s="61">
        <v>35.747612126571632</v>
      </c>
      <c r="Q196" s="61">
        <v>39.224010213552958</v>
      </c>
      <c r="R196" s="61">
        <v>42.682785392736193</v>
      </c>
      <c r="S196" s="61">
        <v>46.12400457803902</v>
      </c>
      <c r="T196" s="61">
        <v>49.547735274697821</v>
      </c>
      <c r="U196" s="61">
        <v>52.954045604707602</v>
      </c>
      <c r="V196" s="61">
        <v>56.343004328341834</v>
      </c>
      <c r="W196" s="61">
        <v>59.714680861962947</v>
      </c>
      <c r="X196" s="61">
        <v>63.069145292323462</v>
      </c>
      <c r="Y196" s="61">
        <v>66.406468387558618</v>
      </c>
      <c r="Z196" s="61">
        <v>69.726721605059041</v>
      </c>
      <c r="AA196" s="61">
        <v>73.029977096411642</v>
      </c>
      <c r="AB196" s="61">
        <v>76.3163077095885</v>
      </c>
      <c r="AC196" s="61">
        <v>79.585786988558226</v>
      </c>
      <c r="AD196" s="61">
        <v>82.838489170490078</v>
      </c>
      <c r="AE196" s="61">
        <v>86.074489180712135</v>
      </c>
      <c r="AF196" s="61">
        <v>89.293862625581951</v>
      </c>
      <c r="AG196" s="61">
        <v>92.496685783423686</v>
      </c>
      <c r="AH196" s="61">
        <v>95.6830355936725</v>
      </c>
      <c r="AI196" s="20">
        <v>98.852989644372926</v>
      </c>
      <c r="AJ196" s="13">
        <v>1050</v>
      </c>
    </row>
    <row r="197" spans="1:36" ht="9.9499999999999993" customHeight="1" x14ac:dyDescent="0.2">
      <c r="A197" s="20">
        <v>3.2831158721284122E-2</v>
      </c>
      <c r="B197" s="61">
        <v>3.6478974242164348E-2</v>
      </c>
      <c r="C197" s="61">
        <v>9.1194023029937857E-2</v>
      </c>
      <c r="D197" s="61">
        <v>0.18237667133775573</v>
      </c>
      <c r="E197" s="61">
        <v>0.29178083607166383</v>
      </c>
      <c r="F197" s="61">
        <v>0.36470784775780957</v>
      </c>
      <c r="G197" s="61">
        <v>0.72923374760883486</v>
      </c>
      <c r="H197" s="61">
        <v>1.0935777630751511</v>
      </c>
      <c r="I197" s="61">
        <v>1.4577399576698853</v>
      </c>
      <c r="J197" s="61">
        <v>1.6397528919860298</v>
      </c>
      <c r="K197" s="61">
        <v>1.8217203948980865</v>
      </c>
      <c r="L197" s="61">
        <v>3.6388984427844608</v>
      </c>
      <c r="M197" s="61">
        <v>7.2596592386799141</v>
      </c>
      <c r="N197" s="61">
        <v>14.447021895099615</v>
      </c>
      <c r="O197" s="61">
        <v>28.606897007081308</v>
      </c>
      <c r="P197" s="61">
        <v>35.580439305395672</v>
      </c>
      <c r="Q197" s="61">
        <v>39.040839872726721</v>
      </c>
      <c r="R197" s="61">
        <v>42.483748242029549</v>
      </c>
      <c r="S197" s="61">
        <v>45.909231221952403</v>
      </c>
      <c r="T197" s="61">
        <v>49.317356189674967</v>
      </c>
      <c r="U197" s="61">
        <v>52.708191115786171</v>
      </c>
      <c r="V197" s="61">
        <v>56.081804585348785</v>
      </c>
      <c r="W197" s="61">
        <v>59.438265815352779</v>
      </c>
      <c r="X197" s="61">
        <v>62.777644668754874</v>
      </c>
      <c r="Y197" s="61">
        <v>66.100011665296933</v>
      </c>
      <c r="Z197" s="61">
        <v>69.405437989288316</v>
      </c>
      <c r="AA197" s="61">
        <v>72.693995494534292</v>
      </c>
      <c r="AB197" s="61">
        <v>75.965756706584301</v>
      </c>
      <c r="AC197" s="61">
        <v>79.220794822471674</v>
      </c>
      <c r="AD197" s="61">
        <v>82.459183708107915</v>
      </c>
      <c r="AE197" s="61">
        <v>85.680997893490058</v>
      </c>
      <c r="AF197" s="61">
        <v>88.886312565874263</v>
      </c>
      <c r="AG197" s="61">
        <v>92.075203561064072</v>
      </c>
      <c r="AH197" s="61">
        <v>95.247747352952643</v>
      </c>
      <c r="AI197" s="20">
        <v>98.404021041459814</v>
      </c>
      <c r="AJ197" s="13">
        <v>1055</v>
      </c>
    </row>
    <row r="198" spans="1:36" ht="9.9499999999999993" customHeight="1" x14ac:dyDescent="0.2">
      <c r="A198" s="20">
        <v>3.2676296532417992E-2</v>
      </c>
      <c r="B198" s="61">
        <v>3.6306905790886211E-2</v>
      </c>
      <c r="C198" s="61">
        <v>9.0763876181620434E-2</v>
      </c>
      <c r="D198" s="61">
        <v>0.18151645857448442</v>
      </c>
      <c r="E198" s="61">
        <v>0.29040465104363927</v>
      </c>
      <c r="F198" s="61">
        <v>0.36298774596799099</v>
      </c>
      <c r="G198" s="61">
        <v>0.72579483900213337</v>
      </c>
      <c r="H198" s="61">
        <v>1.0884213426762381</v>
      </c>
      <c r="I198" s="61">
        <v>1.4508673205545997</v>
      </c>
      <c r="J198" s="61">
        <v>1.6320226321818245</v>
      </c>
      <c r="K198" s="61">
        <v>1.8131328361928423</v>
      </c>
      <c r="L198" s="61">
        <v>3.6217557047514086</v>
      </c>
      <c r="M198" s="61">
        <v>7.2255033036158203</v>
      </c>
      <c r="N198" s="61">
        <v>14.379228347182917</v>
      </c>
      <c r="O198" s="61">
        <v>28.473383831378474</v>
      </c>
      <c r="P198" s="61">
        <v>35.414843859495939</v>
      </c>
      <c r="Q198" s="61">
        <v>38.859397485389785</v>
      </c>
      <c r="R198" s="61">
        <v>42.286588250351109</v>
      </c>
      <c r="S198" s="61">
        <v>45.696482842634644</v>
      </c>
      <c r="T198" s="61">
        <v>49.089148497107999</v>
      </c>
      <c r="U198" s="61">
        <v>52.464653019581441</v>
      </c>
      <c r="V198" s="61">
        <v>55.823064807426185</v>
      </c>
      <c r="W198" s="61">
        <v>59.164452866678069</v>
      </c>
      <c r="X198" s="61">
        <v>62.488886825818966</v>
      </c>
      <c r="Y198" s="61">
        <v>65.796436946422361</v>
      </c>
      <c r="Z198" s="61">
        <v>69.08717413084365</v>
      </c>
      <c r="AA198" s="61">
        <v>72.361169927131655</v>
      </c>
      <c r="AB198" s="61">
        <v>75.618496531331161</v>
      </c>
      <c r="AC198" s="61">
        <v>78.85922678734228</v>
      </c>
      <c r="AD198" s="61">
        <v>82.083434184494152</v>
      </c>
      <c r="AE198" s="61">
        <v>85.291192852990761</v>
      </c>
      <c r="AF198" s="61">
        <v>88.482577557372352</v>
      </c>
      <c r="AG198" s="61">
        <v>91.657663688141255</v>
      </c>
      <c r="AH198" s="61">
        <v>94.816527251685258</v>
      </c>
      <c r="AI198" s="20">
        <v>97.95924485863479</v>
      </c>
      <c r="AJ198" s="13">
        <v>1060</v>
      </c>
    </row>
    <row r="199" spans="1:36" ht="9.9499999999999993" customHeight="1" x14ac:dyDescent="0.2">
      <c r="A199" s="20">
        <v>3.2522888451314638E-2</v>
      </c>
      <c r="B199" s="61">
        <v>3.6136453009153989E-2</v>
      </c>
      <c r="C199" s="61">
        <v>9.033776829166705E-2</v>
      </c>
      <c r="D199" s="61">
        <v>0.18066432300942331</v>
      </c>
      <c r="E199" s="61">
        <v>0.28904138815271563</v>
      </c>
      <c r="F199" s="61">
        <v>0.36128379569915492</v>
      </c>
      <c r="G199" s="61">
        <v>0.72238822192473662</v>
      </c>
      <c r="H199" s="61">
        <v>1.0833133422804879</v>
      </c>
      <c r="I199" s="61">
        <v>1.4440592203601073</v>
      </c>
      <c r="J199" s="61">
        <v>1.6243649634168558</v>
      </c>
      <c r="K199" s="61">
        <v>1.804625919748073</v>
      </c>
      <c r="L199" s="61">
        <v>3.6047739612504528</v>
      </c>
      <c r="M199" s="61">
        <v>7.1916681869086627</v>
      </c>
      <c r="N199" s="61">
        <v>14.312071668772102</v>
      </c>
      <c r="O199" s="61">
        <v>28.341124681498165</v>
      </c>
      <c r="P199" s="61">
        <v>35.250803247633058</v>
      </c>
      <c r="Q199" s="61">
        <v>38.679658334385408</v>
      </c>
      <c r="R199" s="61">
        <v>42.091278542227386</v>
      </c>
      <c r="S199" s="61">
        <v>45.485730424640522</v>
      </c>
      <c r="T199" s="61">
        <v>48.863081060637569</v>
      </c>
      <c r="U199" s="61">
        <v>52.223398078555832</v>
      </c>
      <c r="V199" s="61">
        <v>55.566749676239439</v>
      </c>
      <c r="W199" s="61">
        <v>58.893204637799577</v>
      </c>
      <c r="X199" s="61">
        <v>62.202832347141815</v>
      </c>
      <c r="Y199" s="61">
        <v>65.495702798439652</v>
      </c>
      <c r="Z199" s="61">
        <v>68.771886603731446</v>
      </c>
      <c r="AA199" s="61">
        <v>72.031454997811878</v>
      </c>
      <c r="AB199" s="61">
        <v>75.274479840582288</v>
      </c>
      <c r="AC199" s="61">
        <v>78.50103361702115</v>
      </c>
      <c r="AD199" s="61">
        <v>81.711189434929992</v>
      </c>
      <c r="AE199" s="61">
        <v>84.905021020602788</v>
      </c>
      <c r="AF199" s="61">
        <v>88.082602712565134</v>
      </c>
      <c r="AG199" s="61">
        <v>91.24400945352204</v>
      </c>
      <c r="AH199" s="61">
        <v>94.389316780646382</v>
      </c>
      <c r="AI199" s="20">
        <v>97.518600814339933</v>
      </c>
      <c r="AJ199" s="13">
        <v>1065</v>
      </c>
    </row>
    <row r="200" spans="1:36" ht="9.9499999999999993" customHeight="1" x14ac:dyDescent="0.2">
      <c r="A200" s="20">
        <v>3.2370914092944104E-2</v>
      </c>
      <c r="B200" s="61">
        <v>3.5967593246972678E-2</v>
      </c>
      <c r="C200" s="61">
        <v>8.9915642736530327E-2</v>
      </c>
      <c r="D200" s="61">
        <v>0.17982015140028593</v>
      </c>
      <c r="E200" s="61">
        <v>0.28769086622048995</v>
      </c>
      <c r="F200" s="61">
        <v>0.35959577048602742</v>
      </c>
      <c r="G200" s="61">
        <v>0.71901344352378593</v>
      </c>
      <c r="H200" s="61">
        <v>1.0782530827261541</v>
      </c>
      <c r="I200" s="61">
        <v>1.4373147516954712</v>
      </c>
      <c r="J200" s="61">
        <v>1.6167788672157839</v>
      </c>
      <c r="K200" s="61">
        <v>1.796198514024347</v>
      </c>
      <c r="L200" s="61">
        <v>3.587950951245062</v>
      </c>
      <c r="M200" s="61">
        <v>7.1581493751503906</v>
      </c>
      <c r="N200" s="61">
        <v>14.245542871608977</v>
      </c>
      <c r="O200" s="61">
        <v>28.210101765107801</v>
      </c>
      <c r="P200" s="61">
        <v>35.088295362234582</v>
      </c>
      <c r="Q200" s="61">
        <v>38.501598179061965</v>
      </c>
      <c r="R200" s="61">
        <v>41.897792761291051</v>
      </c>
      <c r="S200" s="61">
        <v>45.276945513964883</v>
      </c>
      <c r="T200" s="61">
        <v>48.639123347379993</v>
      </c>
      <c r="U200" s="61">
        <v>51.98439370035701</v>
      </c>
      <c r="V200" s="61">
        <v>55.312824559994837</v>
      </c>
      <c r="W200" s="61">
        <v>58.624484478095248</v>
      </c>
      <c r="X200" s="61">
        <v>61.919442584438393</v>
      </c>
      <c r="Y200" s="61">
        <v>65.197768597086565</v>
      </c>
      <c r="Z200" s="61">
        <v>68.459532829886413</v>
      </c>
      <c r="AA200" s="61">
        <v>71.704806197335941</v>
      </c>
      <c r="AB200" s="61">
        <v>74.93366021697824</v>
      </c>
      <c r="AC200" s="61">
        <v>78.146167009475093</v>
      </c>
      <c r="AD200" s="61">
        <v>81.342399296514927</v>
      </c>
      <c r="AE200" s="61">
        <v>84.522430396697061</v>
      </c>
      <c r="AF200" s="61">
        <v>87.686334219533876</v>
      </c>
      <c r="AG200" s="61">
        <v>90.834185257708143</v>
      </c>
      <c r="AH200" s="61">
        <v>93.966058577711138</v>
      </c>
      <c r="AI200" s="20">
        <v>97.082029808991294</v>
      </c>
      <c r="AJ200" s="13">
        <v>1070</v>
      </c>
    </row>
    <row r="201" spans="1:36" ht="9.9499999999999993" customHeight="1" x14ac:dyDescent="0.2">
      <c r="A201" s="20">
        <v>3.2220353451545239E-2</v>
      </c>
      <c r="B201" s="61">
        <v>3.5800304275758005E-2</v>
      </c>
      <c r="C201" s="61">
        <v>8.9497443946220515E-2</v>
      </c>
      <c r="D201" s="61">
        <v>0.1789838326120046</v>
      </c>
      <c r="E201" s="61">
        <v>0.28635290744030467</v>
      </c>
      <c r="F201" s="61">
        <v>0.35792344807817833</v>
      </c>
      <c r="G201" s="61">
        <v>0.71567005937772776</v>
      </c>
      <c r="H201" s="61">
        <v>1.0732398975008282</v>
      </c>
      <c r="I201" s="61">
        <v>1.4306330260386606</v>
      </c>
      <c r="J201" s="61">
        <v>1.609263344082533</v>
      </c>
      <c r="K201" s="61">
        <v>1.7878495085721986</v>
      </c>
      <c r="L201" s="61">
        <v>3.5712844559149373</v>
      </c>
      <c r="M201" s="61">
        <v>7.1249424394902823</v>
      </c>
      <c r="N201" s="61">
        <v>14.179633136889766</v>
      </c>
      <c r="O201" s="61">
        <v>28.080297628910781</v>
      </c>
      <c r="P201" s="61">
        <v>34.927298518870721</v>
      </c>
      <c r="Q201" s="61">
        <v>38.325193243674711</v>
      </c>
      <c r="R201" s="61">
        <v>41.706105057611701</v>
      </c>
      <c r="S201" s="61">
        <v>45.070100204304609</v>
      </c>
      <c r="T201" s="61">
        <v>48.41724541312621</v>
      </c>
      <c r="U201" s="61">
        <v>51.747607921958839</v>
      </c>
      <c r="V201" s="61">
        <v>55.061255496530329</v>
      </c>
      <c r="W201" s="61">
        <v>58.358256446508172</v>
      </c>
      <c r="X201" s="61">
        <v>61.638679638527798</v>
      </c>
      <c r="Y201" s="61">
        <v>64.902594506326878</v>
      </c>
      <c r="Z201" s="61">
        <v>68.150071058152207</v>
      </c>
      <c r="AA201" s="61">
        <v>71.381179881599451</v>
      </c>
      <c r="AB201" s="61">
        <v>74.595992146043216</v>
      </c>
      <c r="AC201" s="61">
        <v>77.794579602808938</v>
      </c>
      <c r="AD201" s="61">
        <v>80.977014583232588</v>
      </c>
      <c r="AE201" s="61">
        <v>84.143369994749207</v>
      </c>
      <c r="AF201" s="61">
        <v>87.293719315147086</v>
      </c>
      <c r="AG201" s="61">
        <v>90.428136585120299</v>
      </c>
      <c r="AH201" s="61">
        <v>93.546696399242975</v>
      </c>
      <c r="AI201" s="20">
        <v>96.649473895490303</v>
      </c>
      <c r="AJ201" s="13">
        <v>1075</v>
      </c>
    </row>
    <row r="202" spans="1:36" ht="9.9499999999999993" customHeight="1" x14ac:dyDescent="0.2">
      <c r="A202" s="20">
        <v>3.2071186891845925E-2</v>
      </c>
      <c r="B202" s="61">
        <v>3.5634564278580957E-2</v>
      </c>
      <c r="C202" s="61">
        <v>8.908311737991427E-2</v>
      </c>
      <c r="D202" s="61">
        <v>0.17815525756793785</v>
      </c>
      <c r="E202" s="61">
        <v>0.28502733729916319</v>
      </c>
      <c r="F202" s="61">
        <v>0.35626661034240265</v>
      </c>
      <c r="G202" s="61">
        <v>0.71235763330093138</v>
      </c>
      <c r="H202" s="61">
        <v>1.0682731324481505</v>
      </c>
      <c r="I202" s="61">
        <v>1.4240131713452093</v>
      </c>
      <c r="J202" s="61">
        <v>1.6018174130598526</v>
      </c>
      <c r="K202" s="61">
        <v>1.7795778135426013</v>
      </c>
      <c r="L202" s="61">
        <v>3.5547722976734808</v>
      </c>
      <c r="M202" s="61">
        <v>7.0920430336569051</v>
      </c>
      <c r="N202" s="61">
        <v>14.114333811263645</v>
      </c>
      <c r="O202" s="61">
        <v>27.95169515051434</v>
      </c>
      <c r="P202" s="61">
        <v>34.767791446039141</v>
      </c>
      <c r="Q202" s="61">
        <v>38.150420206129716</v>
      </c>
      <c r="R202" s="61">
        <v>41.516190075400871</v>
      </c>
      <c r="S202" s="61">
        <v>44.865167123728469</v>
      </c>
      <c r="T202" s="61">
        <v>48.1974178879804</v>
      </c>
      <c r="U202" s="61">
        <v>51.513009394275855</v>
      </c>
      <c r="V202" s="61">
        <v>54.812009176911793</v>
      </c>
      <c r="W202" s="61">
        <v>58.094485294133584</v>
      </c>
      <c r="X202" s="61">
        <v>61.360506340918953</v>
      </c>
      <c r="Y202" s="61">
        <v>64.610141458944739</v>
      </c>
      <c r="Z202" s="61">
        <v>67.843460343896524</v>
      </c>
      <c r="AA202" s="61">
        <v>71.060533250278411</v>
      </c>
      <c r="AB202" s="61">
        <v>74.261430993875109</v>
      </c>
      <c r="AC202" s="61">
        <v>77.446224952014305</v>
      </c>
      <c r="AD202" s="61">
        <v>80.614987061769753</v>
      </c>
      <c r="AE202" s="61">
        <v>83.767789816244829</v>
      </c>
      <c r="AF202" s="61">
        <v>86.904706259066685</v>
      </c>
      <c r="AG202" s="61">
        <v>90.025809977221513</v>
      </c>
      <c r="AH202" s="61">
        <v>93.131175092351128</v>
      </c>
      <c r="AI202" s="20">
        <v>96.220876250630596</v>
      </c>
      <c r="AJ202" s="13">
        <v>1080</v>
      </c>
    </row>
    <row r="203" spans="1:36" ht="9.9499999999999993" customHeight="1" x14ac:dyDescent="0.2">
      <c r="A203" s="20">
        <v>3.1923395140526105E-2</v>
      </c>
      <c r="B203" s="61">
        <v>3.5470351840682077E-2</v>
      </c>
      <c r="C203" s="61">
        <v>8.8672609502237931E-2</v>
      </c>
      <c r="D203" s="61">
        <v>0.17733431920242806</v>
      </c>
      <c r="E203" s="61">
        <v>0.28371398450180763</v>
      </c>
      <c r="F203" s="61">
        <v>0.35462504316780274</v>
      </c>
      <c r="G203" s="61">
        <v>0.7090757371537082</v>
      </c>
      <c r="H203" s="61">
        <v>1.0633521454826429</v>
      </c>
      <c r="I203" s="61">
        <v>1.4174543316677255</v>
      </c>
      <c r="J203" s="61">
        <v>1.5944401113011273</v>
      </c>
      <c r="K203" s="61">
        <v>1.7713823592110105</v>
      </c>
      <c r="L203" s="61">
        <v>3.5384123392126363</v>
      </c>
      <c r="M203" s="61">
        <v>7.0594468920355524</v>
      </c>
      <c r="N203" s="61">
        <v>14.049636402945085</v>
      </c>
      <c r="O203" s="61">
        <v>27.824277530532754</v>
      </c>
      <c r="P203" s="61">
        <v>34.609753275247954</v>
      </c>
      <c r="Q203" s="61">
        <v>37.977256187057542</v>
      </c>
      <c r="R203" s="61">
        <v>41.328022941078061</v>
      </c>
      <c r="S203" s="61">
        <v>44.662119421739902</v>
      </c>
      <c r="T203" s="61">
        <v>47.979611962424016</v>
      </c>
      <c r="U203" s="61">
        <v>51.280567367232912</v>
      </c>
      <c r="V203" s="61">
        <v>54.565052929516277</v>
      </c>
      <c r="W203" s="61">
        <v>57.833136447322978</v>
      </c>
      <c r="X203" s="61">
        <v>61.084886235945525</v>
      </c>
      <c r="Y203" s="61">
        <v>64.320371137719306</v>
      </c>
      <c r="Z203" s="61">
        <v>67.539660529235348</v>
      </c>
      <c r="AA203" s="61">
        <v>70.742824326116192</v>
      </c>
      <c r="AB203" s="61">
        <v>73.929932985505886</v>
      </c>
      <c r="AC203" s="61">
        <v>77.101057506415501</v>
      </c>
      <c r="AD203" s="61">
        <v>80.256269428062993</v>
      </c>
      <c r="AE203" s="61">
        <v>83.395640826340312</v>
      </c>
      <c r="AF203" s="61">
        <v>86.519244308537964</v>
      </c>
      <c r="AG203" s="61">
        <v>89.627153006450683</v>
      </c>
      <c r="AH203" s="61">
        <v>92.719440567982275</v>
      </c>
      <c r="AI203" s="20">
        <v>95.796181147367108</v>
      </c>
      <c r="AJ203" s="13">
        <v>1085</v>
      </c>
    </row>
    <row r="204" spans="1:36" ht="9.9499999999999993" customHeight="1" x14ac:dyDescent="0.2">
      <c r="A204" s="20">
        <v>3.1776959277915573E-2</v>
      </c>
      <c r="B204" s="61">
        <v>3.5307645940246844E-2</v>
      </c>
      <c r="C204" s="61">
        <v>8.8265867760203232E-2</v>
      </c>
      <c r="D204" s="61">
        <v>0.17652091241466647</v>
      </c>
      <c r="E204" s="61">
        <v>0.28241268089688265</v>
      </c>
      <c r="F204" s="61">
        <v>0.35299853637348266</v>
      </c>
      <c r="G204" s="61">
        <v>0.70582395065758174</v>
      </c>
      <c r="H204" s="61">
        <v>1.0584763063124072</v>
      </c>
      <c r="I204" s="61">
        <v>1.410955666785904</v>
      </c>
      <c r="J204" s="61">
        <v>1.5871304936539892</v>
      </c>
      <c r="K204" s="61">
        <v>1.7632620955145752</v>
      </c>
      <c r="L204" s="61">
        <v>3.5222024825742029</v>
      </c>
      <c r="M204" s="61">
        <v>7.0271498277993132</v>
      </c>
      <c r="N204" s="61">
        <v>13.985532577935889</v>
      </c>
      <c r="O204" s="61">
        <v>27.698028284918699</v>
      </c>
      <c r="P204" s="61">
        <v>34.453163531386807</v>
      </c>
      <c r="Q204" s="61">
        <v>37.805678739205327</v>
      </c>
      <c r="R204" s="61">
        <v>41.141579251686714</v>
      </c>
      <c r="S204" s="61">
        <v>44.460930756719044</v>
      </c>
      <c r="T204" s="61">
        <v>47.763799373789134</v>
      </c>
      <c r="U204" s="61">
        <v>51.050251675276577</v>
      </c>
      <c r="V204" s="61">
        <v>54.320354704586812</v>
      </c>
      <c r="W204" s="61">
        <v>57.574175991290247</v>
      </c>
      <c r="X204" s="61">
        <v>60.811783563430787</v>
      </c>
      <c r="Y204" s="61">
        <v>64.033245957159238</v>
      </c>
      <c r="Z204" s="61">
        <v>67.238632223847162</v>
      </c>
      <c r="AA204" s="61">
        <v>70.428011934827666</v>
      </c>
      <c r="AB204" s="61">
        <v>73.601455183907859</v>
      </c>
      <c r="AC204" s="61">
        <v>76.759032587791353</v>
      </c>
      <c r="AD204" s="61">
        <v>79.900815284547235</v>
      </c>
      <c r="AE204" s="61">
        <v>83.026874930252248</v>
      </c>
      <c r="AF204" s="61">
        <v>86.137283693934393</v>
      </c>
      <c r="AG204" s="61">
        <v>89.232114250937386</v>
      </c>
      <c r="AH204" s="61">
        <v>92.311439774822063</v>
      </c>
      <c r="AI204" s="20">
        <v>95.375333927916756</v>
      </c>
      <c r="AJ204" s="13">
        <v>1090</v>
      </c>
    </row>
    <row r="205" spans="1:36" ht="9.9499999999999993" customHeight="1" x14ac:dyDescent="0.2">
      <c r="A205" s="20">
        <v>3.1631860729919671E-2</v>
      </c>
      <c r="B205" s="61">
        <v>3.5146425939434116E-2</v>
      </c>
      <c r="C205" s="61">
        <v>8.7862840560775937E-2</v>
      </c>
      <c r="D205" s="61">
        <v>0.17571493402382105</v>
      </c>
      <c r="E205" s="61">
        <v>0.28112326140512917</v>
      </c>
      <c r="F205" s="61">
        <v>0.35138688361877563</v>
      </c>
      <c r="G205" s="61">
        <v>0.70260186121561086</v>
      </c>
      <c r="H205" s="61">
        <v>1.0536449961694407</v>
      </c>
      <c r="I205" s="61">
        <v>1.404516351846703</v>
      </c>
      <c r="J205" s="61">
        <v>1.5798876322553901</v>
      </c>
      <c r="K205" s="61">
        <v>1.7552159916020458</v>
      </c>
      <c r="L205" s="61">
        <v>3.5061406682467884</v>
      </c>
      <c r="M205" s="61">
        <v>6.9951477310920822</v>
      </c>
      <c r="N205" s="61">
        <v>13.922014156353397</v>
      </c>
      <c r="O205" s="61">
        <v>27.57293123751365</v>
      </c>
      <c r="P205" s="61">
        <v>34.298002123376136</v>
      </c>
      <c r="Q205" s="61">
        <v>37.635665837136543</v>
      </c>
      <c r="R205" s="61">
        <v>40.956835063646814</v>
      </c>
      <c r="S205" s="61">
        <v>44.261575283731908</v>
      </c>
      <c r="T205" s="61">
        <v>47.549952393128194</v>
      </c>
      <c r="U205" s="61">
        <v>50.8220327233105</v>
      </c>
      <c r="V205" s="61">
        <v>54.077883059240534</v>
      </c>
      <c r="W205" s="61">
        <v>57.317570654200118</v>
      </c>
      <c r="X205" s="61">
        <v>60.54116324186559</v>
      </c>
      <c r="Y205" s="61">
        <v>63.74872904577753</v>
      </c>
      <c r="Z205" s="61">
        <v>66.940336786355516</v>
      </c>
      <c r="AA205" s="61">
        <v>70.11605568560006</v>
      </c>
      <c r="AB205" s="61">
        <v>73.275955469623867</v>
      </c>
      <c r="AC205" s="61">
        <v>76.420106369146097</v>
      </c>
      <c r="AD205" s="61">
        <v>79.548579118081747</v>
      </c>
      <c r="AE205" s="61">
        <v>82.661444950351267</v>
      </c>
      <c r="AF205" s="61">
        <v>85.758775595031921</v>
      </c>
      <c r="AG205" s="61">
        <v>88.840643269971679</v>
      </c>
      <c r="AH205" s="61">
        <v>91.907120673973111</v>
      </c>
      <c r="AI205" s="20">
        <v>94.958280977660479</v>
      </c>
      <c r="AJ205" s="13">
        <v>1095</v>
      </c>
    </row>
    <row r="206" spans="1:36" ht="9.9499999999999993" customHeight="1" x14ac:dyDescent="0.2">
      <c r="A206" s="20">
        <v>3.1488081260164544E-2</v>
      </c>
      <c r="B206" s="61">
        <v>3.4986671575648602E-2</v>
      </c>
      <c r="C206" s="61">
        <v>8.7463477249055746E-2</v>
      </c>
      <c r="D206" s="61">
        <v>0.17491628272538923</v>
      </c>
      <c r="E206" s="61">
        <v>0.27984556394953308</v>
      </c>
      <c r="F206" s="61">
        <v>0.34978988231591795</v>
      </c>
      <c r="G206" s="61">
        <v>0.69940906373763168</v>
      </c>
      <c r="H206" s="61">
        <v>1.048857607547319</v>
      </c>
      <c r="I206" s="61">
        <v>1.3981355770143611</v>
      </c>
      <c r="J206" s="61">
        <v>1.5727106161377422</v>
      </c>
      <c r="K206" s="61">
        <v>1.7472430353960309</v>
      </c>
      <c r="L206" s="61">
        <v>3.4902248742875375</v>
      </c>
      <c r="M206" s="61">
        <v>6.9634365672618044</v>
      </c>
      <c r="N206" s="61">
        <v>13.85907310886167</v>
      </c>
      <c r="O206" s="61">
        <v>27.448970512811353</v>
      </c>
      <c r="P206" s="61">
        <v>34.144249335085718</v>
      </c>
      <c r="Q206" s="61">
        <v>37.467195867228114</v>
      </c>
      <c r="R206" s="61">
        <v>40.773766881832522</v>
      </c>
      <c r="S206" s="61">
        <v>44.064027642692828</v>
      </c>
      <c r="T206" s="61">
        <v>47.338043812465664</v>
      </c>
      <c r="U206" s="61">
        <v>50.595881473041388</v>
      </c>
      <c r="V206" s="61">
        <v>53.837607142916056</v>
      </c>
      <c r="W206" s="61">
        <v>57.063287791723276</v>
      </c>
      <c r="X206" s="61">
        <v>60.272990852078941</v>
      </c>
      <c r="Y206" s="61">
        <v>63.46678422888801</v>
      </c>
      <c r="Z206" s="61">
        <v>66.64473630625956</v>
      </c>
      <c r="AA206" s="61">
        <v>69.806915952168069</v>
      </c>
      <c r="AB206" s="61">
        <v>72.95339252099906</v>
      </c>
      <c r="AC206" s="61">
        <v>76.084235854108996</v>
      </c>
      <c r="AD206" s="61">
        <v>79.199516278529003</v>
      </c>
      <c r="AE206" s="61">
        <v>82.2993046039321</v>
      </c>
      <c r="AF206" s="61">
        <v>85.383672117985355</v>
      </c>
      <c r="AG206" s="61">
        <v>88.452690580199061</v>
      </c>
      <c r="AH206" s="61">
        <v>91.506432214383921</v>
      </c>
      <c r="AI206" s="20">
        <v>94.544969699821962</v>
      </c>
      <c r="AJ206" s="13">
        <v>1100</v>
      </c>
    </row>
    <row r="207" spans="1:36" ht="9.9499999999999993" customHeight="1" x14ac:dyDescent="0.2">
      <c r="A207" s="20">
        <v>3.1345602962356424E-2</v>
      </c>
      <c r="B207" s="61">
        <v>3.482836295305107E-2</v>
      </c>
      <c r="C207" s="61">
        <v>8.7067728087048546E-2</v>
      </c>
      <c r="D207" s="61">
        <v>0.17412485904873626</v>
      </c>
      <c r="E207" s="61">
        <v>0.27857942938737396</v>
      </c>
      <c r="F207" s="61">
        <v>0.34820733354510119</v>
      </c>
      <c r="G207" s="61">
        <v>0.69624516047024443</v>
      </c>
      <c r="H207" s="61">
        <v>1.0441135439460214</v>
      </c>
      <c r="I207" s="61">
        <v>1.3918125471299538</v>
      </c>
      <c r="J207" s="61">
        <v>1.5655985508457939</v>
      </c>
      <c r="K207" s="61">
        <v>1.7393422331671606</v>
      </c>
      <c r="L207" s="61">
        <v>3.4744531154679068</v>
      </c>
      <c r="M207" s="61">
        <v>6.9320123751422829</v>
      </c>
      <c r="N207" s="61">
        <v>13.796701553201697</v>
      </c>
      <c r="O207" s="61">
        <v>27.326130528926743</v>
      </c>
      <c r="P207" s="61">
        <v>33.991885816512166</v>
      </c>
      <c r="Q207" s="61">
        <v>37.300247617954383</v>
      </c>
      <c r="R207" s="61">
        <v>40.592351648965433</v>
      </c>
      <c r="S207" s="61">
        <v>43.868262946869059</v>
      </c>
      <c r="T207" s="61">
        <v>47.128046932418847</v>
      </c>
      <c r="U207" s="61">
        <v>50.37176942972215</v>
      </c>
      <c r="V207" s="61">
        <v>53.599496683243778</v>
      </c>
      <c r="W207" s="61">
        <v>56.811295372041926</v>
      </c>
      <c r="X207" s="61">
        <v>60.007232621386329</v>
      </c>
      <c r="Y207" s="61">
        <v>63.187376011904149</v>
      </c>
      <c r="Z207" s="61">
        <v>66.351793586394308</v>
      </c>
      <c r="AA207" s="61">
        <v>69.500553854445656</v>
      </c>
      <c r="AB207" s="61">
        <v>72.633725794993211</v>
      </c>
      <c r="AC207" s="61">
        <v>75.751378856939311</v>
      </c>
      <c r="AD207" s="61">
        <v>78.853582957963482</v>
      </c>
      <c r="AE207" s="61">
        <v>81.940408481641171</v>
      </c>
      <c r="AF207" s="61">
        <v>85.011926272984269</v>
      </c>
      <c r="AG207" s="61">
        <v>88.068207632519403</v>
      </c>
      <c r="AH207" s="61">
        <v>91.109324309004293</v>
      </c>
      <c r="AI207" s="20">
        <v>94.135348490890848</v>
      </c>
      <c r="AJ207" s="13">
        <v>1105</v>
      </c>
    </row>
    <row r="208" spans="1:36" ht="9.9499999999999993" customHeight="1" x14ac:dyDescent="0.2">
      <c r="A208" s="20">
        <v>3.120440825284676E-2</v>
      </c>
      <c r="B208" s="61">
        <v>3.4671480534297423E-2</v>
      </c>
      <c r="C208" s="61">
        <v>8.6675544233012936E-2</v>
      </c>
      <c r="D208" s="61">
        <v>0.1733405653157816</v>
      </c>
      <c r="E208" s="61">
        <v>0.27732470144411053</v>
      </c>
      <c r="F208" s="61">
        <v>0.34663904197181722</v>
      </c>
      <c r="G208" s="61">
        <v>0.6931097608314053</v>
      </c>
      <c r="H208" s="61">
        <v>1.0394122196236604</v>
      </c>
      <c r="I208" s="61">
        <v>1.3855464813801566</v>
      </c>
      <c r="J208" s="61">
        <v>1.5585505580638843</v>
      </c>
      <c r="K208" s="61">
        <v>1.7315126091198074</v>
      </c>
      <c r="L208" s="61">
        <v>3.4588234424426449</v>
      </c>
      <c r="M208" s="61">
        <v>6.9008712653821114</v>
      </c>
      <c r="N208" s="61">
        <v>13.734891750817919</v>
      </c>
      <c r="O208" s="61">
        <v>27.204395990762759</v>
      </c>
      <c r="P208" s="61">
        <v>33.84089257520808</v>
      </c>
      <c r="Q208" s="61">
        <v>37.134800270448451</v>
      </c>
      <c r="R208" s="61">
        <v>40.412566735310129</v>
      </c>
      <c r="S208" s="61">
        <v>43.674256771715534</v>
      </c>
      <c r="T208" s="61">
        <v>46.919935550175389</v>
      </c>
      <c r="U208" s="61">
        <v>50.149668629276846</v>
      </c>
      <c r="V208" s="61">
        <v>53.363521972325017</v>
      </c>
      <c r="W208" s="61">
        <v>56.561561961289527</v>
      </c>
      <c r="X208" s="61">
        <v>59.743855408198634</v>
      </c>
      <c r="Y208" s="61">
        <v>62.910469564125798</v>
      </c>
      <c r="Z208" s="61">
        <v>66.061472125902611</v>
      </c>
      <c r="AA208" s="61">
        <v>69.196931240692535</v>
      </c>
      <c r="AB208" s="61">
        <v>72.316915508553961</v>
      </c>
      <c r="AC208" s="61">
        <v>75.421493983116164</v>
      </c>
      <c r="AD208" s="61">
        <v>78.510736170491171</v>
      </c>
      <c r="AE208" s="61">
        <v>81.584712026533467</v>
      </c>
      <c r="AF208" s="61">
        <v>84.643491952563764</v>
      </c>
      <c r="AG208" s="61">
        <v>87.687146789662663</v>
      </c>
      <c r="AH208" s="61">
        <v>90.715747811638437</v>
      </c>
      <c r="AI208" s="20">
        <v>93.729366716769064</v>
      </c>
      <c r="AJ208" s="13">
        <v>1110</v>
      </c>
    </row>
    <row r="209" spans="1:36" ht="9.9499999999999993" customHeight="1" x14ac:dyDescent="0.2">
      <c r="A209" s="20">
        <v>3.1064479863397925E-2</v>
      </c>
      <c r="B209" s="61">
        <v>3.4516005132500402E-2</v>
      </c>
      <c r="C209" s="61">
        <v>8.6286877721362301E-2</v>
      </c>
      <c r="D209" s="61">
        <v>0.17256330560079652</v>
      </c>
      <c r="E209" s="61">
        <v>0.27608122664904555</v>
      </c>
      <c r="F209" s="61">
        <v>0.34508481576643052</v>
      </c>
      <c r="G209" s="61">
        <v>0.69000248124947294</v>
      </c>
      <c r="H209" s="61">
        <v>1.0347530593549079</v>
      </c>
      <c r="I209" s="61">
        <v>1.3793366129749689</v>
      </c>
      <c r="J209" s="61">
        <v>1.5515657752532632</v>
      </c>
      <c r="K209" s="61">
        <v>1.7237532049889905</v>
      </c>
      <c r="L209" s="61">
        <v>3.4433339409413151</v>
      </c>
      <c r="M209" s="61">
        <v>6.8700094188191185</v>
      </c>
      <c r="N209" s="61">
        <v>13.673636103577822</v>
      </c>
      <c r="O209" s="61">
        <v>27.083751883369761</v>
      </c>
      <c r="P209" s="61">
        <v>33.691250967953579</v>
      </c>
      <c r="Q209" s="61">
        <v>36.970833389331879</v>
      </c>
      <c r="R209" s="61">
        <v>40.234389928664939</v>
      </c>
      <c r="S209" s="61">
        <v>43.481985144028478</v>
      </c>
      <c r="T209" s="61">
        <v>46.713683947815205</v>
      </c>
      <c r="U209" s="61">
        <v>49.929551625795774</v>
      </c>
      <c r="V209" s="61">
        <v>53.129653853406651</v>
      </c>
      <c r="W209" s="61">
        <v>56.314056709411446</v>
      </c>
      <c r="X209" s="61">
        <v>59.482826687075445</v>
      </c>
      <c r="Y209" s="61">
        <v>62.636030702992983</v>
      </c>
      <c r="Z209" s="61">
        <v>65.773736103699932</v>
      </c>
      <c r="AA209" s="61">
        <v>68.896010670199985</v>
      </c>
      <c r="AB209" s="61">
        <v>72.002922620531294</v>
      </c>
      <c r="AC209" s="61">
        <v>75.094540610493709</v>
      </c>
      <c r="AD209" s="61">
        <v>78.170933732654035</v>
      </c>
      <c r="AE209" s="61">
        <v>81.232171513742131</v>
      </c>
      <c r="AF209" s="61">
        <v>84.278323910547002</v>
      </c>
      <c r="AG209" s="61">
        <v>87.309461304418761</v>
      </c>
      <c r="AH209" s="61">
        <v>90.325654494474676</v>
      </c>
      <c r="AI209" s="20">
        <v>93.326974689612328</v>
      </c>
      <c r="AJ209" s="13">
        <v>1115</v>
      </c>
    </row>
    <row r="210" spans="1:36" ht="9.9499999999999993" customHeight="1" x14ac:dyDescent="0.2">
      <c r="A210" s="20">
        <v>3.0925800834142241E-2</v>
      </c>
      <c r="B210" s="61">
        <v>3.436191790340648E-2</v>
      </c>
      <c r="C210" s="61">
        <v>8.5901681443105532E-2</v>
      </c>
      <c r="D210" s="61">
        <v>0.17179298569127965</v>
      </c>
      <c r="E210" s="61">
        <v>0.27484885427271599</v>
      </c>
      <c r="F210" s="61">
        <v>0.34354446652590442</v>
      </c>
      <c r="G210" s="61">
        <v>0.68692294500657158</v>
      </c>
      <c r="H210" s="61">
        <v>1.0301354981959072</v>
      </c>
      <c r="I210" s="61">
        <v>1.3731821888340723</v>
      </c>
      <c r="J210" s="61">
        <v>1.5446433552991619</v>
      </c>
      <c r="K210" s="61">
        <v>1.716063079648108</v>
      </c>
      <c r="L210" s="61">
        <v>3.427982730981606</v>
      </c>
      <c r="M210" s="61">
        <v>6.8394230848988915</v>
      </c>
      <c r="N210" s="61">
        <v>13.612927150581335</v>
      </c>
      <c r="O210" s="61">
        <v>26.964183465490425</v>
      </c>
      <c r="P210" s="61">
        <v>33.542942692662429</v>
      </c>
      <c r="Q210" s="61">
        <v>36.808326913802929</v>
      </c>
      <c r="R210" s="61">
        <v>40.057799424634958</v>
      </c>
      <c r="S210" s="61">
        <v>43.291424531407777</v>
      </c>
      <c r="T210" s="61">
        <v>46.509266880964994</v>
      </c>
      <c r="U210" s="61">
        <v>49.711391479387949</v>
      </c>
      <c r="V210" s="61">
        <v>52.897863707936565</v>
      </c>
      <c r="W210" s="61">
        <v>56.068749336430763</v>
      </c>
      <c r="X210" s="61">
        <v>59.224114534208361</v>
      </c>
      <c r="Y210" s="61">
        <v>62.364025878795232</v>
      </c>
      <c r="Z210" s="61">
        <v>65.488550362416802</v>
      </c>
      <c r="AA210" s="61">
        <v>68.597755396474838</v>
      </c>
      <c r="AB210" s="61">
        <v>71.691708814115188</v>
      </c>
      <c r="AC210" s="61">
        <v>74.770478871000364</v>
      </c>
      <c r="AD210" s="61">
        <v>77.83413424440414</v>
      </c>
      <c r="AE210" s="61">
        <v>80.882744030735623</v>
      </c>
      <c r="AF210" s="61">
        <v>83.916377741599831</v>
      </c>
      <c r="AG210" s="61">
        <v>86.935105298498769</v>
      </c>
      <c r="AH210" s="61">
        <v>89.938997026267643</v>
      </c>
      <c r="AI210" s="20">
        <v>92.928123645345011</v>
      </c>
      <c r="AJ210" s="13">
        <v>1120</v>
      </c>
    </row>
    <row r="211" spans="1:36" ht="9.9499999999999993" customHeight="1" x14ac:dyDescent="0.2">
      <c r="A211" s="20">
        <v>3.078835450672926E-2</v>
      </c>
      <c r="B211" s="61">
        <v>3.4209200337781291E-2</v>
      </c>
      <c r="C211" s="61">
        <v>8.5519909126809124E-2</v>
      </c>
      <c r="D211" s="61">
        <v>0.17102951304987685</v>
      </c>
      <c r="E211" s="61">
        <v>0.27362743626595226</v>
      </c>
      <c r="F211" s="61">
        <v>0.34201780919761954</v>
      </c>
      <c r="G211" s="61">
        <v>0.68387078208613872</v>
      </c>
      <c r="H211" s="61">
        <v>1.0255589812554671</v>
      </c>
      <c r="I211" s="61">
        <v>1.3670824692815879</v>
      </c>
      <c r="J211" s="61">
        <v>1.5377824661672859</v>
      </c>
      <c r="K211" s="61">
        <v>1.7084413087271755</v>
      </c>
      <c r="L211" s="61">
        <v>3.4127679661037402</v>
      </c>
      <c r="M211" s="61">
        <v>6.809108580136094</v>
      </c>
      <c r="N211" s="61">
        <v>13.552757565057583</v>
      </c>
      <c r="O211" s="61">
        <v>26.84567626328381</v>
      </c>
      <c r="P211" s="61">
        <v>33.395949780514719</v>
      </c>
      <c r="Q211" s="61">
        <v>36.647261148976199</v>
      </c>
      <c r="R211" s="61">
        <v>39.882773817180329</v>
      </c>
      <c r="S211" s="61">
        <v>43.102551832016587</v>
      </c>
      <c r="T211" s="61">
        <v>46.306659567774759</v>
      </c>
      <c r="U211" s="61">
        <v>49.495161744378805</v>
      </c>
      <c r="V211" s="61">
        <v>52.668123442988644</v>
      </c>
      <c r="W211" s="61">
        <v>55.825610119105889</v>
      </c>
      <c r="X211" s="61">
        <v>58.967687613319079</v>
      </c>
      <c r="Y211" s="61">
        <v>62.094422159817476</v>
      </c>
      <c r="Z211" s="61">
        <v>65.205880392801035</v>
      </c>
      <c r="AA211" s="61">
        <v>68.302129350907819</v>
      </c>
      <c r="AB211" s="61">
        <v>71.383236479777551</v>
      </c>
      <c r="AC211" s="61">
        <v>74.449269632866603</v>
      </c>
      <c r="AD211" s="61">
        <v>77.500297070625706</v>
      </c>
      <c r="AE211" s="61">
        <v>80.536387458145271</v>
      </c>
      <c r="AF211" s="61">
        <v>83.557609861373749</v>
      </c>
      <c r="AG211" s="61">
        <v>86.564033742007595</v>
      </c>
      <c r="AH211" s="61">
        <v>89.555728951149405</v>
      </c>
      <c r="AI211" s="20">
        <v>92.532765721823836</v>
      </c>
      <c r="AJ211" s="13">
        <v>1125</v>
      </c>
    </row>
    <row r="212" spans="1:36" ht="9.9499999999999993" customHeight="1" x14ac:dyDescent="0.2">
      <c r="A212" s="20">
        <v>3.0652124517654551E-2</v>
      </c>
      <c r="B212" s="61">
        <v>3.4057834253997582E-2</v>
      </c>
      <c r="C212" s="61">
        <v>8.5141515320064809E-2</v>
      </c>
      <c r="D212" s="61">
        <v>0.17027279677730997</v>
      </c>
      <c r="E212" s="61">
        <v>0.27241682720055749</v>
      </c>
      <c r="F212" s="61">
        <v>0.34050466200521318</v>
      </c>
      <c r="G212" s="61">
        <v>0.68084562902452517</v>
      </c>
      <c r="H212" s="61">
        <v>1.0210229634723338</v>
      </c>
      <c r="I212" s="61">
        <v>1.3610367277489561</v>
      </c>
      <c r="J212" s="61">
        <v>1.5309822905694688</v>
      </c>
      <c r="K212" s="61">
        <v>1.7008869842412244</v>
      </c>
      <c r="L212" s="61">
        <v>3.3976878326253868</v>
      </c>
      <c r="M212" s="61">
        <v>6.7790622866170569</v>
      </c>
      <c r="N212" s="61">
        <v>13.493120151345899</v>
      </c>
      <c r="O212" s="61">
        <v>26.728216064223677</v>
      </c>
      <c r="P212" s="61">
        <v>33.250254588309467</v>
      </c>
      <c r="Q212" s="61">
        <v>36.487616757463947</v>
      </c>
      <c r="R212" s="61">
        <v>39.709292089429276</v>
      </c>
      <c r="S212" s="61">
        <v>42.91534436463008</v>
      </c>
      <c r="T212" s="61">
        <v>46.105837678205134</v>
      </c>
      <c r="U212" s="61">
        <v>49.280836457841623</v>
      </c>
      <c r="V212" s="61">
        <v>52.440405479043534</v>
      </c>
      <c r="W212" s="61">
        <v>55.584609877967928</v>
      </c>
      <c r="X212" s="61">
        <v>58.7135151619593</v>
      </c>
      <c r="Y212" s="61">
        <v>61.827187217909582</v>
      </c>
      <c r="Z212" s="61">
        <v>64.925692318566405</v>
      </c>
      <c r="AA212" s="61">
        <v>68.009097126908514</v>
      </c>
      <c r="AB212" s="61">
        <v>71.077468698703314</v>
      </c>
      <c r="AC212" s="61">
        <v>74.130874483360344</v>
      </c>
      <c r="AD212" s="61">
        <v>77.169382323185573</v>
      </c>
      <c r="AE212" s="61">
        <v>80.193060451142387</v>
      </c>
      <c r="AF212" s="61">
        <v>83.20197748722002</v>
      </c>
      <c r="AG212" s="61">
        <v>86.196202433505107</v>
      </c>
      <c r="AH212" s="61">
        <v>89.175804668050105</v>
      </c>
      <c r="AI212" s="20">
        <v>92.140853937628506</v>
      </c>
      <c r="AJ212" s="13">
        <v>1130</v>
      </c>
    </row>
    <row r="213" spans="1:36" ht="9.9499999999999993" customHeight="1" x14ac:dyDescent="0.2">
      <c r="A213" s="20">
        <v>3.0517094791765172E-2</v>
      </c>
      <c r="B213" s="61">
        <v>3.3907801790818697E-2</v>
      </c>
      <c r="C213" s="61">
        <v>8.4766455371447363E-2</v>
      </c>
      <c r="D213" s="61">
        <v>0.1695227475762888</v>
      </c>
      <c r="E213" s="61">
        <v>0.27121688421155532</v>
      </c>
      <c r="F213" s="61">
        <v>0.33900484637638129</v>
      </c>
      <c r="G213" s="61">
        <v>0.67784712876652153</v>
      </c>
      <c r="H213" s="61">
        <v>1.0165269093983755</v>
      </c>
      <c r="I213" s="61">
        <v>1.3550442504856859</v>
      </c>
      <c r="J213" s="61">
        <v>1.5242420256381868</v>
      </c>
      <c r="K213" s="61">
        <v>1.6933992142285568</v>
      </c>
      <c r="L213" s="61">
        <v>3.3827405489163338</v>
      </c>
      <c r="M213" s="61">
        <v>6.7492806505425174</v>
      </c>
      <c r="N213" s="61">
        <v>13.434007841958408</v>
      </c>
      <c r="O213" s="61">
        <v>26.611788911164403</v>
      </c>
      <c r="P213" s="61">
        <v>33.105839791028764</v>
      </c>
      <c r="Q213" s="61">
        <v>36.329374751191601</v>
      </c>
      <c r="R213" s="61">
        <v>39.537333604747978</v>
      </c>
      <c r="S213" s="61">
        <v>42.729779858962061</v>
      </c>
      <c r="T213" s="61">
        <v>45.906777323615778</v>
      </c>
      <c r="U213" s="61">
        <v>49.068390128451462</v>
      </c>
      <c r="V213" s="61">
        <v>52.214682738114213</v>
      </c>
      <c r="W213" s="61">
        <v>55.345719964723003</v>
      </c>
      <c r="X213" s="61">
        <v>58.461566978197418</v>
      </c>
      <c r="Y213" s="61">
        <v>61.562289314465367</v>
      </c>
      <c r="Z213" s="61">
        <v>64.647952881669724</v>
      </c>
      <c r="AA213" s="61">
        <v>67.718623964489922</v>
      </c>
      <c r="AB213" s="61">
        <v>70.774369226692031</v>
      </c>
      <c r="AC213" s="61">
        <v>73.815255712014533</v>
      </c>
      <c r="AD213" s="61">
        <v>76.84135084349623</v>
      </c>
      <c r="AE213" s="61">
        <v>79.852722421346058</v>
      </c>
      <c r="AF213" s="61">
        <v>82.849438619453863</v>
      </c>
      <c r="AG213" s="61">
        <v>85.831567980636223</v>
      </c>
      <c r="AH213" s="61">
        <v>88.799179410706728</v>
      </c>
      <c r="AI213" s="20">
        <v>91.752342171460199</v>
      </c>
      <c r="AJ213" s="13">
        <v>1135</v>
      </c>
    </row>
    <row r="214" spans="1:36" ht="9.9499999999999993" customHeight="1" x14ac:dyDescent="0.2">
      <c r="A214" s="20">
        <v>3.0383249535935724E-2</v>
      </c>
      <c r="B214" s="61">
        <v>3.3759085400372112E-2</v>
      </c>
      <c r="C214" s="61">
        <v>8.4394685412947215E-2</v>
      </c>
      <c r="D214" s="61">
        <v>0.16877927771637083</v>
      </c>
      <c r="E214" s="61">
        <v>0.27002746694095697</v>
      </c>
      <c r="F214" s="61">
        <v>0.33751818687258078</v>
      </c>
      <c r="G214" s="61">
        <v>0.67487493052468994</v>
      </c>
      <c r="H214" s="61">
        <v>1.0120702929874721</v>
      </c>
      <c r="I214" s="61">
        <v>1.3491043362777422</v>
      </c>
      <c r="J214" s="61">
        <v>1.5175608826096605</v>
      </c>
      <c r="K214" s="61">
        <v>1.6859771223985482</v>
      </c>
      <c r="L214" s="61">
        <v>3.3679243646924282</v>
      </c>
      <c r="M214" s="61">
        <v>6.7197601808090894</v>
      </c>
      <c r="N214" s="61">
        <v>13.375413694721916</v>
      </c>
      <c r="O214" s="61">
        <v>26.496381096569852</v>
      </c>
      <c r="P214" s="61">
        <v>32.962688374607431</v>
      </c>
      <c r="Q214" s="61">
        <v>36.172516483440248</v>
      </c>
      <c r="R214" s="61">
        <v>39.366878098057789</v>
      </c>
      <c r="S214" s="61">
        <v>42.545836446261085</v>
      </c>
      <c r="T214" s="61">
        <v>45.709455046643541</v>
      </c>
      <c r="U214" s="61">
        <v>48.857797725651203</v>
      </c>
      <c r="V214" s="61">
        <v>51.990928632204657</v>
      </c>
      <c r="W214" s="61">
        <v>55.10891225000988</v>
      </c>
      <c r="X214" s="61">
        <v>58.211813407680928</v>
      </c>
      <c r="Y214" s="61">
        <v>61.29969728679643</v>
      </c>
      <c r="Z214" s="61">
        <v>64.372629428004842</v>
      </c>
      <c r="AA214" s="61">
        <v>67.430675735291032</v>
      </c>
      <c r="AB214" s="61">
        <v>70.473902478515512</v>
      </c>
      <c r="AC214" s="61">
        <v>73.502376294330233</v>
      </c>
      <c r="AD214" s="61">
        <v>76.516164185574027</v>
      </c>
      <c r="AE214" s="61">
        <v>79.515333519245473</v>
      </c>
      <c r="AF214" s="61">
        <v>82.499952023150357</v>
      </c>
      <c r="AG214" s="61">
        <v>85.470087781312557</v>
      </c>
      <c r="AH214" s="61">
        <v>88.425809228239061</v>
      </c>
      <c r="AI214" s="20">
        <v>91.367185142123205</v>
      </c>
      <c r="AJ214" s="13">
        <v>1140</v>
      </c>
    </row>
    <row r="215" spans="1:36" ht="9.9499999999999993" customHeight="1" x14ac:dyDescent="0.2">
      <c r="A215" s="20">
        <v>3.0250573232910492E-2</v>
      </c>
      <c r="B215" s="61">
        <v>3.3611667841307195E-2</v>
      </c>
      <c r="C215" s="61">
        <v>8.4026162342863309E-2</v>
      </c>
      <c r="D215" s="61">
        <v>0.16804230099974324</v>
      </c>
      <c r="E215" s="61">
        <v>0.26884843748300574</v>
      </c>
      <c r="F215" s="61">
        <v>0.33604451112057626</v>
      </c>
      <c r="G215" s="61">
        <v>0.67192868964239161</v>
      </c>
      <c r="H215" s="61">
        <v>1.0076525973899499</v>
      </c>
      <c r="I215" s="61">
        <v>1.3432162961733243</v>
      </c>
      <c r="J215" s="61">
        <v>1.5109380865152844</v>
      </c>
      <c r="K215" s="61">
        <v>1.6786198477887151</v>
      </c>
      <c r="L215" s="61">
        <v>3.3532375603280804</v>
      </c>
      <c r="M215" s="61">
        <v>6.6904974476284567</v>
      </c>
      <c r="N215" s="61">
        <v>13.317330889996255</v>
      </c>
      <c r="O215" s="61">
        <v>26.381979156899376</v>
      </c>
      <c r="P215" s="61">
        <v>32.820783628901367</v>
      </c>
      <c r="Q215" s="61">
        <v>36.017023641108544</v>
      </c>
      <c r="R215" s="61">
        <v>39.197905667393336</v>
      </c>
      <c r="S215" s="61">
        <v>42.363492650167323</v>
      </c>
      <c r="T215" s="61">
        <v>45.513847811363028</v>
      </c>
      <c r="U215" s="61">
        <v>48.649034669119359</v>
      </c>
      <c r="V215" s="61">
        <v>51.769117052090159</v>
      </c>
      <c r="W215" s="61">
        <v>54.874159111498734</v>
      </c>
      <c r="X215" s="61">
        <v>57.964225331060497</v>
      </c>
      <c r="Y215" s="61">
        <v>61.039380534888579</v>
      </c>
      <c r="Z215" s="61">
        <v>64.099689893498578</v>
      </c>
      <c r="AA215" s="61">
        <v>67.145218928018693</v>
      </c>
      <c r="AB215" s="61">
        <v>70.176033512716359</v>
      </c>
      <c r="AC215" s="61">
        <v>73.192199875939124</v>
      </c>
      <c r="AD215" s="61">
        <v>76.19378459957403</v>
      </c>
      <c r="AE215" s="61">
        <v>79.180854617118428</v>
      </c>
      <c r="AF215" s="61">
        <v>82.153477210455478</v>
      </c>
      <c r="AG215" s="61">
        <v>85.111720005425525</v>
      </c>
      <c r="AH215" s="61">
        <v>88.055650966275962</v>
      </c>
      <c r="AI215" s="20">
        <v>90.985338389075068</v>
      </c>
      <c r="AJ215" s="13">
        <v>1145</v>
      </c>
    </row>
    <row r="216" spans="1:36" ht="9.9499999999999993" customHeight="1" x14ac:dyDescent="0.2">
      <c r="A216" s="20">
        <v>3.0119050635305813E-2</v>
      </c>
      <c r="B216" s="61">
        <v>3.3465532172131364E-2</v>
      </c>
      <c r="C216" s="61">
        <v>8.3660843809142238E-2</v>
      </c>
      <c r="D216" s="61">
        <v>0.16731173272789665</v>
      </c>
      <c r="E216" s="61">
        <v>0.26767966033084561</v>
      </c>
      <c r="F216" s="61">
        <v>0.33458364974577331</v>
      </c>
      <c r="G216" s="61">
        <v>0.66900806746038954</v>
      </c>
      <c r="H216" s="61">
        <v>1.0032733147523933</v>
      </c>
      <c r="I216" s="61">
        <v>1.3373794532158236</v>
      </c>
      <c r="J216" s="61">
        <v>1.5043728758811279</v>
      </c>
      <c r="K216" s="61">
        <v>1.6713265444307466</v>
      </c>
      <c r="L216" s="61">
        <v>3.3386784461868397</v>
      </c>
      <c r="M216" s="61">
        <v>6.6614890811829488</v>
      </c>
      <c r="N216" s="61">
        <v>13.259752727966804</v>
      </c>
      <c r="O216" s="61">
        <v>26.268569867146368</v>
      </c>
      <c r="P216" s="61">
        <v>32.680109140848138</v>
      </c>
      <c r="Q216" s="61">
        <v>35.862878237186123</v>
      </c>
      <c r="R216" s="61">
        <v>39.030396765691847</v>
      </c>
      <c r="S216" s="61">
        <v>42.18272737782155</v>
      </c>
      <c r="T216" s="61">
        <v>45.319932993718112</v>
      </c>
      <c r="U216" s="61">
        <v>48.442076818529507</v>
      </c>
      <c r="V216" s="61">
        <v>51.54922235640958</v>
      </c>
      <c r="W216" s="61">
        <v>54.641433422322287</v>
      </c>
      <c r="X216" s="61">
        <v>57.718774151765139</v>
      </c>
      <c r="Y216" s="61">
        <v>60.781309008527685</v>
      </c>
      <c r="Z216" s="61">
        <v>63.829102790594469</v>
      </c>
      <c r="AA216" s="61">
        <v>66.862220634298538</v>
      </c>
      <c r="AB216" s="61">
        <v>69.880728016831767</v>
      </c>
      <c r="AC216" s="61">
        <v>72.884690757209469</v>
      </c>
      <c r="AD216" s="61">
        <v>75.874175015788168</v>
      </c>
      <c r="AE216" s="61">
        <v>78.849247292428288</v>
      </c>
      <c r="AF216" s="61">
        <v>81.809974423393683</v>
      </c>
      <c r="AG216" s="61">
        <v>84.756423577073662</v>
      </c>
      <c r="AH216" s="61">
        <v>87.688662248612019</v>
      </c>
      <c r="AI216" s="20">
        <v>90.606758253523154</v>
      </c>
      <c r="AJ216" s="13">
        <v>1150</v>
      </c>
    </row>
    <row r="217" spans="1:36" ht="9.9499999999999993" customHeight="1" x14ac:dyDescent="0.2">
      <c r="A217" s="20">
        <v>2.9988666759768745E-2</v>
      </c>
      <c r="B217" s="61">
        <v>3.3320661744719426E-2</v>
      </c>
      <c r="C217" s="61">
        <v>8.3298688193150172E-2</v>
      </c>
      <c r="D217" s="61">
        <v>0.16658748966916637</v>
      </c>
      <c r="E217" s="61">
        <v>0.26652100232458059</v>
      </c>
      <c r="F217" s="61">
        <v>0.33313543630728232</v>
      </c>
      <c r="G217" s="61">
        <v>0.66611273118691328</v>
      </c>
      <c r="H217" s="61">
        <v>0.99893194602266178</v>
      </c>
      <c r="I217" s="61">
        <v>1.331593142183723</v>
      </c>
      <c r="J217" s="61">
        <v>1.4978645024352637</v>
      </c>
      <c r="K217" s="61">
        <v>1.6640963810252456</v>
      </c>
      <c r="L217" s="61">
        <v>3.3242453619694725</v>
      </c>
      <c r="M217" s="61">
        <v>6.632731770316445</v>
      </c>
      <c r="N217" s="61">
        <v>13.202672626009035</v>
      </c>
      <c r="O217" s="61">
        <v>26.156140235524404</v>
      </c>
      <c r="P217" s="61">
        <v>32.54064878781297</v>
      </c>
      <c r="Q217" s="61">
        <v>35.710062603433137</v>
      </c>
      <c r="R217" s="61">
        <v>38.864332192807893</v>
      </c>
      <c r="S217" s="61">
        <v>42.003519911218099</v>
      </c>
      <c r="T217" s="61">
        <v>45.127688372217506</v>
      </c>
      <c r="U217" s="61">
        <v>48.236900463591851</v>
      </c>
      <c r="V217" s="61">
        <v>51.33121936105902</v>
      </c>
      <c r="W217" s="61">
        <v>54.410708539825521</v>
      </c>
      <c r="X217" s="61">
        <v>57.47543178411572</v>
      </c>
      <c r="Y217" s="61">
        <v>60.52545319478331</v>
      </c>
      <c r="Z217" s="61">
        <v>63.560837195113365</v>
      </c>
      <c r="AA217" s="61">
        <v>66.581648534918216</v>
      </c>
      <c r="AB217" s="61">
        <v>69.587952293029645</v>
      </c>
      <c r="AC217" s="61">
        <v>72.579813878282891</v>
      </c>
      <c r="AD217" s="61">
        <v>75.557299029089563</v>
      </c>
      <c r="AE217" s="61">
        <v>78.520473811687324</v>
      </c>
      <c r="AF217" s="61">
        <v>81.469404617156158</v>
      </c>
      <c r="AG217" s="61">
        <v>84.404158157286346</v>
      </c>
      <c r="AH217" s="61">
        <v>87.324801459377625</v>
      </c>
      <c r="AI217" s="20">
        <v>90.231401860049516</v>
      </c>
      <c r="AJ217" s="13">
        <v>1155</v>
      </c>
    </row>
    <row r="218" spans="1:36" ht="9.9499999999999993" customHeight="1" x14ac:dyDescent="0.2">
      <c r="A218" s="20">
        <v>2.9859406881286254E-2</v>
      </c>
      <c r="B218" s="61">
        <v>3.3177040197990511E-2</v>
      </c>
      <c r="C218" s="61">
        <v>8.293965459386525E-2</v>
      </c>
      <c r="D218" s="61">
        <v>0.16586949002711165</v>
      </c>
      <c r="E218" s="61">
        <v>0.26537233260067444</v>
      </c>
      <c r="F218" s="61">
        <v>0.33169970723466602</v>
      </c>
      <c r="G218" s="61">
        <v>0.6632423537711033</v>
      </c>
      <c r="H218" s="61">
        <v>0.99462800075995628</v>
      </c>
      <c r="I218" s="61">
        <v>1.3258567093372473</v>
      </c>
      <c r="J218" s="61">
        <v>1.4914122308226945</v>
      </c>
      <c r="K218" s="61">
        <v>1.6569285406248948</v>
      </c>
      <c r="L218" s="61">
        <v>3.3099366760789679</v>
      </c>
      <c r="M218" s="61">
        <v>6.6042222612595678</v>
      </c>
      <c r="N218" s="61">
        <v>13.146084116122671</v>
      </c>
      <c r="O218" s="61">
        <v>26.044677498295744</v>
      </c>
      <c r="P218" s="61">
        <v>32.40238673111579</v>
      </c>
      <c r="Q218" s="61">
        <v>35.558559383257965</v>
      </c>
      <c r="R218" s="61">
        <v>38.699693087744976</v>
      </c>
      <c r="S218" s="61">
        <v>41.825849898793486</v>
      </c>
      <c r="T218" s="61">
        <v>44.937092118883925</v>
      </c>
      <c r="U218" s="61">
        <v>48.033482314368648</v>
      </c>
      <c r="V218" s="61">
        <v>51.115083328876352</v>
      </c>
      <c r="W218" s="61">
        <v>54.181958294626646</v>
      </c>
      <c r="X218" s="61">
        <v>57.234170641766667</v>
      </c>
      <c r="Y218" s="61">
        <v>60.271784105837781</v>
      </c>
      <c r="Z218" s="61">
        <v>63.294862733476975</v>
      </c>
      <c r="AA218" s="61">
        <v>66.303470886453979</v>
      </c>
      <c r="AB218" s="61">
        <v>69.29767324414334</v>
      </c>
      <c r="AC218" s="61">
        <v>72.27753480452543</v>
      </c>
      <c r="AD218" s="61">
        <v>75.243120883809638</v>
      </c>
      <c r="AE218" s="61">
        <v>78.194497114766349</v>
      </c>
      <c r="AF218" s="61">
        <v>81.131729443854866</v>
      </c>
      <c r="AG218" s="61">
        <v>84.054884127230309</v>
      </c>
      <c r="AH218" s="61">
        <v>86.964027725705463</v>
      </c>
      <c r="AI218" s="20">
        <v>89.859227098748846</v>
      </c>
      <c r="AJ218" s="13">
        <v>1160</v>
      </c>
    </row>
    <row r="219" spans="1:36" ht="9.9499999999999993" customHeight="1" x14ac:dyDescent="0.2">
      <c r="A219" s="20">
        <v>2.9731256527641324E-2</v>
      </c>
      <c r="B219" s="61">
        <v>3.3034651451748311E-2</v>
      </c>
      <c r="C219" s="61">
        <v>8.2583702812475734E-2</v>
      </c>
      <c r="D219" s="61">
        <v>0.16515765340971084</v>
      </c>
      <c r="E219" s="61">
        <v>0.2642335225426572</v>
      </c>
      <c r="F219" s="61">
        <v>0.33027630176631501</v>
      </c>
      <c r="G219" s="61">
        <v>0.66039661377970249</v>
      </c>
      <c r="H219" s="61">
        <v>0.99036099694979141</v>
      </c>
      <c r="I219" s="61">
        <v>1.3201695121715569</v>
      </c>
      <c r="J219" s="61">
        <v>1.4850153383276175</v>
      </c>
      <c r="K219" s="61">
        <v>1.6498222203258248</v>
      </c>
      <c r="L219" s="61">
        <v>3.2957507850020225</v>
      </c>
      <c r="M219" s="61">
        <v>6.575957356388046</v>
      </c>
      <c r="N219" s="61">
        <v>13.089980842433198</v>
      </c>
      <c r="O219" s="61">
        <v>25.934169114738985</v>
      </c>
      <c r="P219" s="61">
        <v>32.265307409731861</v>
      </c>
      <c r="Q219" s="61">
        <v>35.408351524787406</v>
      </c>
      <c r="R219" s="61">
        <v>38.536460921098005</v>
      </c>
      <c r="S219" s="61">
        <v>41.649697347244043</v>
      </c>
      <c r="T219" s="61">
        <v>44.748122790450793</v>
      </c>
      <c r="U219" s="61">
        <v>47.831799491852856</v>
      </c>
      <c r="V219" s="61">
        <v>50.900789959608659</v>
      </c>
      <c r="W219" s="61">
        <v>53.955156979977176</v>
      </c>
      <c r="X219" s="61">
        <v>56.994963626465015</v>
      </c>
      <c r="Y219" s="61">
        <v>60.020273267150309</v>
      </c>
      <c r="Z219" s="61">
        <v>63.031149570282992</v>
      </c>
      <c r="AA219" s="61">
        <v>66.027656508263263</v>
      </c>
      <c r="AB219" s="61">
        <v>69.009858360090803</v>
      </c>
      <c r="AC219" s="61">
        <v>71.977819712380779</v>
      </c>
      <c r="AD219" s="61">
        <v>74.931605459032369</v>
      </c>
      <c r="AE219" s="61">
        <v>77.871280799639806</v>
      </c>
      <c r="AF219" s="61">
        <v>80.796911236725407</v>
      </c>
      <c r="AG219" s="61">
        <v>83.708562571878986</v>
      </c>
      <c r="AH219" s="61">
        <v>86.606300900877557</v>
      </c>
      <c r="AI219" s="20">
        <v>89.490192607861061</v>
      </c>
      <c r="AJ219" s="13">
        <v>1165</v>
      </c>
    </row>
    <row r="220" spans="1:36" ht="9.9499999999999993" customHeight="1" x14ac:dyDescent="0.2">
      <c r="A220" s="20">
        <v>2.9604201474011157E-2</v>
      </c>
      <c r="B220" s="61">
        <v>3.2893479700678942E-2</v>
      </c>
      <c r="C220" s="61">
        <v>8.223079333737443E-2</v>
      </c>
      <c r="D220" s="61">
        <v>0.16445190079934521</v>
      </c>
      <c r="E220" s="61">
        <v>0.26310444573309338</v>
      </c>
      <c r="F220" s="61">
        <v>0.32886506188940273</v>
      </c>
      <c r="G220" s="61">
        <v>0.6575751952769231</v>
      </c>
      <c r="H220" s="61">
        <v>0.9861304608237178</v>
      </c>
      <c r="I220" s="61">
        <v>1.3145309191762764</v>
      </c>
      <c r="J220" s="61">
        <v>1.4786731146028556</v>
      </c>
      <c r="K220" s="61">
        <v>1.6427766309669061</v>
      </c>
      <c r="L220" s="61">
        <v>3.2816861127064629</v>
      </c>
      <c r="M220" s="61">
        <v>6.5479339130133205</v>
      </c>
      <c r="N220" s="61">
        <v>13.034356558759097</v>
      </c>
      <c r="O220" s="61">
        <v>25.82460276224985</v>
      </c>
      <c r="P220" s="61">
        <v>32.129395534161681</v>
      </c>
      <c r="Q220" s="61">
        <v>35.259422274123729</v>
      </c>
      <c r="R220" s="61">
        <v>38.374617487699417</v>
      </c>
      <c r="S220" s="61">
        <v>41.475042613564433</v>
      </c>
      <c r="T220" s="61">
        <v>44.560759319796844</v>
      </c>
      <c r="U220" s="61">
        <v>47.631829518803805</v>
      </c>
      <c r="V220" s="61">
        <v>50.688315380152112</v>
      </c>
      <c r="W220" s="61">
        <v>53.730279341411823</v>
      </c>
      <c r="X220" s="61">
        <v>56.757784117116209</v>
      </c>
      <c r="Y220" s="61">
        <v>59.770892705944327</v>
      </c>
      <c r="Z220" s="61">
        <v>62.769668396221263</v>
      </c>
      <c r="AA220" s="61">
        <v>65.754174769836041</v>
      </c>
      <c r="AB220" s="61">
        <v>68.72447570466791</v>
      </c>
      <c r="AC220" s="61">
        <v>71.680635375612482</v>
      </c>
      <c r="AD220" s="61">
        <v>74.622718254294412</v>
      </c>
      <c r="AE220" s="61">
        <v>77.550789107550457</v>
      </c>
      <c r="AF220" s="61">
        <v>80.464912994764887</v>
      </c>
      <c r="AG220" s="61">
        <v>83.365155264133961</v>
      </c>
      <c r="AH220" s="61">
        <v>86.251581547936524</v>
      </c>
      <c r="AI220" s="20">
        <v>89.124257756881633</v>
      </c>
      <c r="AJ220" s="13">
        <v>1170</v>
      </c>
    </row>
    <row r="221" spans="1:36" ht="9.9499999999999993" customHeight="1" x14ac:dyDescent="0.2">
      <c r="A221" s="20">
        <v>2.9478227737703245E-2</v>
      </c>
      <c r="B221" s="61">
        <v>3.2753509408501941E-2</v>
      </c>
      <c r="C221" s="61">
        <v>8.1880887329535829E-2</v>
      </c>
      <c r="D221" s="61">
        <v>0.16375215452355171</v>
      </c>
      <c r="E221" s="61">
        <v>0.26198497790677855</v>
      </c>
      <c r="F221" s="61">
        <v>0.32746583228137988</v>
      </c>
      <c r="G221" s="61">
        <v>0.6547777877073806</v>
      </c>
      <c r="H221" s="61">
        <v>0.98193592668365526</v>
      </c>
      <c r="I221" s="61">
        <v>1.3089403096011809</v>
      </c>
      <c r="J221" s="61">
        <v>1.472384861406199</v>
      </c>
      <c r="K221" s="61">
        <v>1.6357909968367383</v>
      </c>
      <c r="L221" s="61">
        <v>3.2677411100541462</v>
      </c>
      <c r="M221" s="61">
        <v>6.5201488422043106</v>
      </c>
      <c r="N221" s="61">
        <v>12.979205126242288</v>
      </c>
      <c r="O221" s="61">
        <v>25.715966331572542</v>
      </c>
      <c r="P221" s="61">
        <v>31.994636080464222</v>
      </c>
      <c r="Q221" s="61">
        <v>35.111755168781599</v>
      </c>
      <c r="R221" s="61">
        <v>38.214144899462283</v>
      </c>
      <c r="S221" s="61">
        <v>41.301866397300614</v>
      </c>
      <c r="T221" s="61">
        <v>44.374981007612014</v>
      </c>
      <c r="U221" s="61">
        <v>47.433550310829467</v>
      </c>
      <c r="V221" s="61">
        <v>50.4776361350564</v>
      </c>
      <c r="W221" s="61">
        <v>53.507300566679724</v>
      </c>
      <c r="X221" s="61">
        <v>56.522605959147072</v>
      </c>
      <c r="Y221" s="61">
        <v>59.523614940008564</v>
      </c>
      <c r="Z221" s="61">
        <v>62.510390416318288</v>
      </c>
      <c r="AA221" s="61">
        <v>65.482995578490474</v>
      </c>
      <c r="AB221" s="61">
        <v>68.441493902701026</v>
      </c>
      <c r="AC221" s="61">
        <v>71.385949151922233</v>
      </c>
      <c r="AD221" s="61">
        <v>74.316425375674825</v>
      </c>
      <c r="AE221" s="61">
        <v>77.232986908580287</v>
      </c>
      <c r="AF221" s="61">
        <v>80.135698367791463</v>
      </c>
      <c r="AG221" s="61">
        <v>83.024624649379192</v>
      </c>
      <c r="AH221" s="61">
        <v>85.89983092374537</v>
      </c>
      <c r="AI221" s="20">
        <v>88.76138263013722</v>
      </c>
      <c r="AJ221" s="13">
        <v>1175</v>
      </c>
    </row>
    <row r="222" spans="1:36" ht="9.9499999999999993" customHeight="1" x14ac:dyDescent="0.2">
      <c r="A222" s="20">
        <v>2.935332157302532E-2</v>
      </c>
      <c r="B222" s="61">
        <v>3.2614725302270546E-2</v>
      </c>
      <c r="C222" s="61">
        <v>8.1533946608264768E-2</v>
      </c>
      <c r="D222" s="61">
        <v>0.16305833822651603</v>
      </c>
      <c r="E222" s="61">
        <v>0.26087499690512661</v>
      </c>
      <c r="F222" s="61">
        <v>0.32607846025295006</v>
      </c>
      <c r="G222" s="61">
        <v>0.6520040857820113</v>
      </c>
      <c r="H222" s="61">
        <v>0.9777769367306951</v>
      </c>
      <c r="I222" s="61">
        <v>1.3033970732278506</v>
      </c>
      <c r="J222" s="61">
        <v>1.4661498923434746</v>
      </c>
      <c r="K222" s="61">
        <v>1.6288645553881249</v>
      </c>
      <c r="L222" s="61">
        <v>3.2539142542288633</v>
      </c>
      <c r="M222" s="61">
        <v>6.49259910763951</v>
      </c>
      <c r="N222" s="61">
        <v>12.924520511040143</v>
      </c>
      <c r="O222" s="61">
        <v>25.608247922156391</v>
      </c>
      <c r="P222" s="61">
        <v>31.861014284448629</v>
      </c>
      <c r="Q222" s="61">
        <v>34.965334031299797</v>
      </c>
      <c r="R222" s="61">
        <v>38.055025578415162</v>
      </c>
      <c r="S222" s="61">
        <v>41.130149733009738</v>
      </c>
      <c r="T222" s="61">
        <v>44.19076751428635</v>
      </c>
      <c r="U222" s="61">
        <v>47.236940167709577</v>
      </c>
      <c r="V222" s="61">
        <v>50.268729177285003</v>
      </c>
      <c r="W222" s="61">
        <v>53.286196275947255</v>
      </c>
      <c r="X222" s="61">
        <v>56.289403454156634</v>
      </c>
      <c r="Y222" s="61">
        <v>59.278412966801483</v>
      </c>
      <c r="Z222" s="61">
        <v>62.253287338501572</v>
      </c>
      <c r="AA222" s="61">
        <v>65.214089367402408</v>
      </c>
      <c r="AB222" s="61">
        <v>68.160882127550167</v>
      </c>
      <c r="AC222" s="61">
        <v>71.093728969931973</v>
      </c>
      <c r="AD222" s="61">
        <v>74.012693522265195</v>
      </c>
      <c r="AE222" s="61">
        <v>76.917839687613863</v>
      </c>
      <c r="AF222" s="61">
        <v>79.809231641910841</v>
      </c>
      <c r="AG222" s="61">
        <v>82.686933830459395</v>
      </c>
      <c r="AH222" s="61">
        <v>85.55101096348497</v>
      </c>
      <c r="AI222" s="20">
        <v>88.401528010807127</v>
      </c>
      <c r="AJ222" s="13">
        <v>1180</v>
      </c>
    </row>
    <row r="223" spans="1:36" ht="9.9499999999999993" customHeight="1" x14ac:dyDescent="0.2">
      <c r="A223" s="20">
        <v>2.9229469466285064E-2</v>
      </c>
      <c r="B223" s="61">
        <v>3.2477112366815532E-2</v>
      </c>
      <c r="C223" s="61">
        <v>8.1189933637306061E-2</v>
      </c>
      <c r="D223" s="61">
        <v>0.1623703768412913</v>
      </c>
      <c r="E223" s="61">
        <v>0.25977438263171149</v>
      </c>
      <c r="F223" s="61">
        <v>0.32470279569249472</v>
      </c>
      <c r="G223" s="61">
        <v>0.64925378936687272</v>
      </c>
      <c r="H223" s="61">
        <v>0.97365304089825677</v>
      </c>
      <c r="I223" s="61">
        <v>1.2979006101471289</v>
      </c>
      <c r="J223" s="61">
        <v>1.4599675326181305</v>
      </c>
      <c r="K223" s="61">
        <v>1.6219965569597767</v>
      </c>
      <c r="L223" s="61">
        <v>3.2402040481788164</v>
      </c>
      <c r="M223" s="61">
        <v>6.4652817244884622</v>
      </c>
      <c r="N223" s="61">
        <v>12.870296782077135</v>
      </c>
      <c r="O223" s="61">
        <v>25.501435837634585</v>
      </c>
      <c r="P223" s="61">
        <v>31.728515636019644</v>
      </c>
      <c r="Q223" s="61">
        <v>34.820142963022491</v>
      </c>
      <c r="R223" s="61">
        <v>37.897242249921504</v>
      </c>
      <c r="S223" s="61">
        <v>40.959873982921316</v>
      </c>
      <c r="T223" s="61">
        <v>44.008098852016616</v>
      </c>
      <c r="U223" s="61">
        <v>47.041977764949898</v>
      </c>
      <c r="V223" s="61">
        <v>50.061571859223029</v>
      </c>
      <c r="W223" s="61">
        <v>53.066942512264028</v>
      </c>
      <c r="X223" s="61">
        <v>56.058151349844941</v>
      </c>
      <c r="Y223" s="61">
        <v>59.035260252848346</v>
      </c>
      <c r="Z223" s="61">
        <v>61.998331362471525</v>
      </c>
      <c r="AA223" s="61">
        <v>64.9474270839589</v>
      </c>
      <c r="AB223" s="61">
        <v>67.882610088949036</v>
      </c>
      <c r="AC223" s="61">
        <v>70.803943316518826</v>
      </c>
      <c r="AD223" s="61">
        <v>73.711489973005243</v>
      </c>
      <c r="AE223" s="61">
        <v>76.605313530683702</v>
      </c>
      <c r="AF223" s="61">
        <v>79.485477725376299</v>
      </c>
      <c r="AG223" s="61">
        <v>82.352046553063602</v>
      </c>
      <c r="AH223" s="61">
        <v>85.205084265568573</v>
      </c>
      <c r="AI223" s="20">
        <v>88.044655365380947</v>
      </c>
      <c r="AJ223" s="13">
        <v>1185</v>
      </c>
    </row>
    <row r="224" spans="1:36" ht="9.9499999999999993" customHeight="1" x14ac:dyDescent="0.2">
      <c r="A224" s="20">
        <v>2.9106658130916178E-2</v>
      </c>
      <c r="B224" s="61">
        <v>3.2340655839329741E-2</v>
      </c>
      <c r="C224" s="61">
        <v>8.0848811511305047E-2</v>
      </c>
      <c r="D224" s="61">
        <v>0.16168819656271463</v>
      </c>
      <c r="E224" s="61">
        <v>0.25868301700893065</v>
      </c>
      <c r="F224" s="61">
        <v>0.32333869101189822</v>
      </c>
      <c r="G224" s="61">
        <v>0.64652660337476076</v>
      </c>
      <c r="H224" s="61">
        <v>0.96956379668944237</v>
      </c>
      <c r="I224" s="61">
        <v>1.2924503305421893</v>
      </c>
      <c r="J224" s="61">
        <v>1.4538371187871524</v>
      </c>
      <c r="K224" s="61">
        <v>1.6151862645050747</v>
      </c>
      <c r="L224" s="61">
        <v>3.2266090200732345</v>
      </c>
      <c r="M224" s="61">
        <v>6.438193758321721</v>
      </c>
      <c r="N224" s="61">
        <v>12.816528108854397</v>
      </c>
      <c r="O224" s="61">
        <v>25.395518581421054</v>
      </c>
      <c r="P224" s="61">
        <v>31.597125873671178</v>
      </c>
      <c r="Q224" s="61">
        <v>34.67616633804446</v>
      </c>
      <c r="R224" s="61">
        <v>37.740777936078736</v>
      </c>
      <c r="S224" s="61">
        <v>40.791020829792906</v>
      </c>
      <c r="T224" s="61">
        <v>43.826955377121521</v>
      </c>
      <c r="U224" s="61">
        <v>46.848642145562216</v>
      </c>
      <c r="V224" s="61">
        <v>49.856141923925591</v>
      </c>
      <c r="W224" s="61">
        <v>52.849515732283479</v>
      </c>
      <c r="X224" s="61">
        <v>55.828824830212497</v>
      </c>
      <c r="Y224" s="61">
        <v>58.794130723424345</v>
      </c>
      <c r="Z224" s="61">
        <v>61.745495168872999</v>
      </c>
      <c r="AA224" s="61">
        <v>64.682980178424344</v>
      </c>
      <c r="AB224" s="61">
        <v>67.606648021173598</v>
      </c>
      <c r="AC224" s="61">
        <v>70.516561224490729</v>
      </c>
      <c r="AD224" s="61">
        <v>73.41278257387367</v>
      </c>
      <c r="AE224" s="61">
        <v>76.295375111682944</v>
      </c>
      <c r="AF224" s="61">
        <v>79.164402134832059</v>
      </c>
      <c r="AG224" s="61">
        <v>82.019927191505118</v>
      </c>
      <c r="AH224" s="61">
        <v>84.862014076967341</v>
      </c>
      <c r="AI224" s="20">
        <v>87.690726828534864</v>
      </c>
      <c r="AJ224" s="13">
        <v>1190</v>
      </c>
    </row>
    <row r="225" spans="1:37" ht="9.9499999999999993" customHeight="1" x14ac:dyDescent="0.2">
      <c r="A225" s="20">
        <v>2.8984874502726358E-2</v>
      </c>
      <c r="B225" s="61">
        <v>3.2205341204088245E-2</v>
      </c>
      <c r="C225" s="61">
        <v>8.0510543942606955E-2</v>
      </c>
      <c r="D225" s="61">
        <v>0.16101172482100515</v>
      </c>
      <c r="E225" s="61">
        <v>0.2576007839357573</v>
      </c>
      <c r="F225" s="61">
        <v>0.32198600109373537</v>
      </c>
      <c r="G225" s="61">
        <v>0.64382223765954594</v>
      </c>
      <c r="H225" s="61">
        <v>0.96550876901849303</v>
      </c>
      <c r="I225" s="61">
        <v>1.2870456544770716</v>
      </c>
      <c r="J225" s="61">
        <v>1.4477579985231261</v>
      </c>
      <c r="K225" s="61">
        <v>1.60843295332764</v>
      </c>
      <c r="L225" s="61">
        <v>3.2131277227726822</v>
      </c>
      <c r="M225" s="61">
        <v>6.411332324048459</v>
      </c>
      <c r="N225" s="61">
        <v>12.763208759315216</v>
      </c>
      <c r="O225" s="61">
        <v>25.290484852421962</v>
      </c>
      <c r="P225" s="61">
        <v>31.466830979124712</v>
      </c>
      <c r="Q225" s="61">
        <v>34.53338879731519</v>
      </c>
      <c r="R225" s="61">
        <v>37.585615949290634</v>
      </c>
      <c r="S225" s="61">
        <v>40.62357226995416</v>
      </c>
      <c r="T225" s="61">
        <v>43.647317782560805</v>
      </c>
      <c r="U225" s="61">
        <v>46.656912712062073</v>
      </c>
      <c r="V225" s="61">
        <v>49.652417496597629</v>
      </c>
      <c r="W225" s="61">
        <v>52.633892797230942</v>
      </c>
      <c r="X225" s="61">
        <v>55.60139950601932</v>
      </c>
      <c r="Y225" s="61">
        <v>58.554998752511352</v>
      </c>
      <c r="Z225" s="61">
        <v>61.494751908756051</v>
      </c>
      <c r="AA225" s="61">
        <v>64.420720592910385</v>
      </c>
      <c r="AB225" s="61">
        <v>67.332966671525654</v>
      </c>
      <c r="AC225" s="61">
        <v>70.231552260593048</v>
      </c>
      <c r="AD225" s="61">
        <v>73.116539725422911</v>
      </c>
      <c r="AE225" s="61">
        <v>75.987991679434657</v>
      </c>
      <c r="AF225" s="61">
        <v>78.845970981924438</v>
      </c>
      <c r="AG225" s="61">
        <v>81.690540734883228</v>
      </c>
      <c r="AH225" s="61">
        <v>84.521764278928586</v>
      </c>
      <c r="AI225" s="20">
        <v>87.339705188415223</v>
      </c>
      <c r="AJ225" s="13">
        <v>1195</v>
      </c>
    </row>
    <row r="226" spans="1:37" ht="9.9499999999999993" customHeight="1" x14ac:dyDescent="0.2">
      <c r="A226" s="20">
        <v>2.8864105735264625E-2</v>
      </c>
      <c r="B226" s="61">
        <v>3.2071154187300589E-2</v>
      </c>
      <c r="C226" s="61">
        <v>8.0175095248387215E-2</v>
      </c>
      <c r="D226" s="61">
        <v>0.16034089025602166</v>
      </c>
      <c r="E226" s="61">
        <v>0.25652756924654757</v>
      </c>
      <c r="F226" s="61">
        <v>0.3206445832397764</v>
      </c>
      <c r="G226" s="61">
        <v>0.64114040691315155</v>
      </c>
      <c r="H226" s="61">
        <v>0.96148753005620657</v>
      </c>
      <c r="I226" s="61">
        <v>1.2816860116905107</v>
      </c>
      <c r="J226" s="61">
        <v>1.4417295303822577</v>
      </c>
      <c r="K226" s="61">
        <v>1.6017359108235434</v>
      </c>
      <c r="L226" s="61">
        <v>3.1997587333127036</v>
      </c>
      <c r="M226" s="61">
        <v>6.3846945848809478</v>
      </c>
      <c r="N226" s="61">
        <v>12.710333097765071</v>
      </c>
      <c r="O226" s="61">
        <v>25.186323540857867</v>
      </c>
      <c r="P226" s="61">
        <v>31.337617172106881</v>
      </c>
      <c r="Q226" s="61">
        <v>34.391795242897025</v>
      </c>
      <c r="R226" s="61">
        <v>37.431739886008721</v>
      </c>
      <c r="S226" s="61">
        <v>40.457510606533702</v>
      </c>
      <c r="T226" s="61">
        <v>43.469167090651418</v>
      </c>
      <c r="U226" s="61">
        <v>46.466769218676895</v>
      </c>
      <c r="V226" s="61">
        <v>49.450377076299795</v>
      </c>
      <c r="W226" s="61">
        <v>52.420050964110111</v>
      </c>
      <c r="X226" s="61">
        <v>55.375851405498679</v>
      </c>
      <c r="Y226" s="61">
        <v>58.317839153022121</v>
      </c>
      <c r="Z226" s="61">
        <v>61.246075193315932</v>
      </c>
      <c r="AA226" s="61">
        <v>64.160620750638373</v>
      </c>
      <c r="AB226" s="61">
        <v>67.06153728912571</v>
      </c>
      <c r="AC226" s="61">
        <v>69.948886513834267</v>
      </c>
      <c r="AD226" s="61">
        <v>72.822730370646184</v>
      </c>
      <c r="AE226" s="61">
        <v>75.683131045107629</v>
      </c>
      <c r="AF226" s="61">
        <v>78.530150960272252</v>
      </c>
      <c r="AG226" s="61">
        <v>81.36385277361417</v>
      </c>
      <c r="AH226" s="61">
        <v>84.184299373076271</v>
      </c>
      <c r="AI226" s="20">
        <v>86.991553872315322</v>
      </c>
      <c r="AJ226" s="13">
        <v>1200</v>
      </c>
      <c r="AK226" s="15"/>
    </row>
    <row r="227" spans="1:37" ht="9.9499999999999993" customHeight="1" x14ac:dyDescent="0.2">
      <c r="A227" s="14">
        <v>9.9999999999999995E-8</v>
      </c>
      <c r="B227" s="14">
        <v>0.01</v>
      </c>
      <c r="C227" s="14">
        <v>2.5000000000000001E-2</v>
      </c>
      <c r="D227" s="14">
        <v>0.05</v>
      </c>
      <c r="E227" s="14">
        <v>0.08</v>
      </c>
      <c r="F227" s="14">
        <v>0.1</v>
      </c>
      <c r="G227" s="20">
        <v>0.2</v>
      </c>
      <c r="H227" s="14">
        <v>0.3</v>
      </c>
      <c r="I227" s="14">
        <v>0.4</v>
      </c>
      <c r="J227" s="14">
        <v>0.45</v>
      </c>
      <c r="K227" s="14">
        <v>0.5</v>
      </c>
      <c r="L227" s="14">
        <v>1</v>
      </c>
      <c r="M227" s="14">
        <v>2</v>
      </c>
      <c r="N227" s="16">
        <v>4</v>
      </c>
      <c r="O227" s="16">
        <v>8</v>
      </c>
      <c r="P227" s="16">
        <v>10</v>
      </c>
      <c r="Q227" s="16">
        <v>11</v>
      </c>
      <c r="R227" s="16">
        <v>12</v>
      </c>
      <c r="S227" s="16">
        <v>13</v>
      </c>
      <c r="T227" s="16">
        <v>14</v>
      </c>
      <c r="U227" s="16">
        <v>15</v>
      </c>
      <c r="V227" s="16">
        <v>16</v>
      </c>
      <c r="W227" s="16">
        <v>17</v>
      </c>
      <c r="X227" s="16">
        <v>18</v>
      </c>
      <c r="Y227" s="16">
        <v>19</v>
      </c>
      <c r="Z227" s="16">
        <v>20</v>
      </c>
      <c r="AA227" s="16">
        <v>21</v>
      </c>
      <c r="AB227" s="16">
        <v>22</v>
      </c>
      <c r="AC227" s="16">
        <v>23</v>
      </c>
      <c r="AD227" s="16">
        <v>24</v>
      </c>
      <c r="AE227" s="16">
        <v>25</v>
      </c>
      <c r="AF227" s="16">
        <v>26</v>
      </c>
      <c r="AG227" s="16">
        <v>27</v>
      </c>
      <c r="AH227" s="16">
        <v>28</v>
      </c>
      <c r="AI227" s="16">
        <v>2800000</v>
      </c>
      <c r="AJ227" s="15"/>
      <c r="AK227" s="16" t="s">
        <v>24</v>
      </c>
    </row>
    <row r="228" spans="1:37" ht="9.9499999999999993" customHeight="1" x14ac:dyDescent="0.2"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3" t="s">
        <v>25</v>
      </c>
      <c r="AK228" s="15"/>
    </row>
    <row r="230" spans="1:37" ht="9.9499999999999993" customHeight="1" x14ac:dyDescent="0.2">
      <c r="A230" s="14">
        <v>1</v>
      </c>
      <c r="B230" s="14">
        <v>2</v>
      </c>
      <c r="C230" s="14">
        <v>3</v>
      </c>
      <c r="D230" s="14">
        <v>4</v>
      </c>
      <c r="E230" s="14">
        <v>5</v>
      </c>
      <c r="F230" s="14">
        <v>6</v>
      </c>
      <c r="G230" s="14">
        <v>7</v>
      </c>
      <c r="H230" s="14">
        <v>8</v>
      </c>
      <c r="I230" s="14">
        <v>9</v>
      </c>
      <c r="J230" s="14">
        <v>10</v>
      </c>
      <c r="K230" s="14">
        <v>11</v>
      </c>
      <c r="L230" s="14">
        <v>12</v>
      </c>
      <c r="M230" s="14">
        <v>13</v>
      </c>
      <c r="N230" s="14">
        <v>14</v>
      </c>
      <c r="O230" s="14">
        <v>15</v>
      </c>
      <c r="P230" s="14">
        <v>16</v>
      </c>
      <c r="Q230" s="14">
        <v>17</v>
      </c>
      <c r="R230" s="14">
        <v>18</v>
      </c>
      <c r="S230" s="14">
        <v>19</v>
      </c>
      <c r="T230" s="14">
        <v>20</v>
      </c>
      <c r="U230" s="14">
        <v>21</v>
      </c>
      <c r="V230" s="14">
        <v>22</v>
      </c>
      <c r="W230" s="14">
        <v>23</v>
      </c>
      <c r="X230" s="14">
        <v>24</v>
      </c>
      <c r="Y230" s="14">
        <v>25</v>
      </c>
      <c r="Z230" s="14">
        <v>26</v>
      </c>
      <c r="AA230" s="14">
        <v>27</v>
      </c>
      <c r="AB230" s="14">
        <v>28</v>
      </c>
      <c r="AC230" s="14">
        <v>29</v>
      </c>
      <c r="AD230" s="14">
        <v>30</v>
      </c>
      <c r="AE230" s="14">
        <v>31</v>
      </c>
      <c r="AF230" s="14">
        <v>32</v>
      </c>
      <c r="AG230" s="14">
        <v>33</v>
      </c>
      <c r="AH230" s="14">
        <v>34</v>
      </c>
      <c r="AI230" s="14">
        <v>35</v>
      </c>
      <c r="AJ230" s="15"/>
      <c r="AK230" s="15"/>
    </row>
    <row r="233" spans="1:37" ht="9.9499999999999993" customHeight="1" x14ac:dyDescent="0.2">
      <c r="B233" s="20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A62CE-E756-42D9-95D4-5100B273E077}">
  <sheetPr>
    <tabColor rgb="FFFF7C80"/>
  </sheetPr>
  <dimension ref="A1:AJ147"/>
  <sheetViews>
    <sheetView topLeftCell="A121" zoomScale="130" zoomScaleNormal="130" workbookViewId="0">
      <selection activeCell="E13" sqref="E13"/>
    </sheetView>
  </sheetViews>
  <sheetFormatPr defaultColWidth="9.140625" defaultRowHeight="11.25" x14ac:dyDescent="0.2"/>
  <cols>
    <col min="1" max="5" width="9.140625" style="14"/>
    <col min="6" max="34" width="4.7109375" style="14" customWidth="1"/>
    <col min="35" max="35" width="9.140625" style="14"/>
    <col min="36" max="36" width="13.42578125" style="14" customWidth="1"/>
    <col min="37" max="16384" width="9.140625" style="14"/>
  </cols>
  <sheetData>
    <row r="1" spans="1:36" ht="9.9499999999999993" customHeight="1" x14ac:dyDescent="0.2">
      <c r="A1" s="20">
        <f>B1</f>
        <v>820.21742935472275</v>
      </c>
      <c r="B1" s="20">
        <f>[1]!Density("jeta.mix","TP","SI",$AH1,B$144)</f>
        <v>820.21742935472275</v>
      </c>
      <c r="C1" s="20">
        <f>[1]!Density("jeta.mix","TP","SI",$AH1,C$144)</f>
        <v>820.22690570893394</v>
      </c>
      <c r="D1" s="20">
        <f>[1]!Density("jeta.mix","TP","SI",$AH1,D$144)</f>
        <v>820.2426974965573</v>
      </c>
      <c r="E1" s="20">
        <f>[1]!Density("jeta.mix","TP","SI",$AH1,E$144)</f>
        <v>820.26164411858792</v>
      </c>
      <c r="F1" s="20">
        <f>[1]!Density("jeta.mix","TP","SI",$AH1,F$144)</f>
        <v>820.27427306561913</v>
      </c>
      <c r="G1" s="20">
        <f>[1]!Density("jeta.mix","TP","SI",$AH1,G$144)</f>
        <v>820.3373922104837</v>
      </c>
      <c r="H1" s="20">
        <f>[1]!Density("jeta.mix","TP","SI",$AH1,H$144)</f>
        <v>820.40046875751034</v>
      </c>
      <c r="I1" s="20">
        <f>[1]!Density("jeta.mix","TP","SI",$AH1,I$144)</f>
        <v>820.43199107922919</v>
      </c>
      <c r="J1" s="20">
        <f>[1]!Density("jeta.mix","TP","SI",$AH1,J$144)</f>
        <v>820.46350277833858</v>
      </c>
      <c r="K1" s="20">
        <f>[1]!Density("jeta.mix","TP","SI",$AH1,K$144)</f>
        <v>820.52649434441014</v>
      </c>
      <c r="L1" s="20">
        <f>[1]!Density("jeta.mix","TP","SI",$AH1,L$144)</f>
        <v>820.71521502558392</v>
      </c>
      <c r="M1" s="20">
        <f>[1]!Density("jeta.mix","TP","SI",$AH1,M$144)</f>
        <v>820.84081784026785</v>
      </c>
      <c r="N1" s="20">
        <f>[1]!Density("jeta.mix","TP","SI",$AH1,N$144)</f>
        <v>822.08769073999645</v>
      </c>
      <c r="O1" s="20">
        <f>[1]!Density("jeta.mix","TP","SI",$AH1,O$144)</f>
        <v>823.31829578990232</v>
      </c>
      <c r="P1" s="20">
        <f>[1]!Density("jeta.mix","TP","SI",$AH1,P$144)</f>
        <v>825.13482783355425</v>
      </c>
      <c r="Q1" s="20">
        <f>[1]!Density("jeta.mix","TP","SI",$AH1,Q$144)</f>
        <v>826.32697397029642</v>
      </c>
      <c r="R1" s="20">
        <f>[1]!Density("jeta.mix","TP","SI",$AH1,R$144)</f>
        <v>827.50455515164344</v>
      </c>
      <c r="S1" s="20">
        <f>[1]!Density("jeta.mix","TP","SI",$AH1,S$144)</f>
        <v>828.6680051126425</v>
      </c>
      <c r="T1" s="20">
        <f>[1]!Density("jeta.mix","TP","SI",$AH1,T$144)</f>
        <v>829.81773696096911</v>
      </c>
      <c r="U1" s="20">
        <f>[1]!Density("jeta.mix","TP","SI",$AH1,U$144)</f>
        <v>830.38758238090395</v>
      </c>
      <c r="V1" s="20">
        <f>[1]!Density("jeta.mix","TP","SI",$AH1,V$144)</f>
        <v>830.95414451736133</v>
      </c>
      <c r="W1" s="20">
        <f>[1]!Density("jeta.mix","TP","SI",$AH1,W$144)</f>
        <v>831.51746978622862</v>
      </c>
      <c r="X1" s="20">
        <f>[1]!Density("jeta.mix","TP","SI",$AH1,X$144)</f>
        <v>832.07760354630705</v>
      </c>
      <c r="Y1" s="20">
        <f>[1]!Density("jeta.mix","TP","SI",$AH1,Y$144)</f>
        <v>832.63459013251111</v>
      </c>
      <c r="Z1" s="20">
        <f>[1]!Density("jeta.mix","TP","SI",$AH1,Z$144)</f>
        <v>833.18847288774873</v>
      </c>
      <c r="AA1" s="20">
        <f>[1]!Density("jeta.mix","TP","SI",$AH1,AA$144)</f>
        <v>833.73929419353033</v>
      </c>
      <c r="AB1" s="20">
        <f>[1]!Density("jeta.mix","TP","SI",$AH1,AB$144)</f>
        <v>834.28709549938139</v>
      </c>
      <c r="AC1" s="20">
        <f>[1]!Density("jeta.mix","TP","SI",$AH1,AC$144)</f>
        <v>834.83191735111143</v>
      </c>
      <c r="AD1" s="20">
        <f>[1]!Density("jeta.mix","TP","SI",$AH1,AD$144)</f>
        <v>835.37379941798918</v>
      </c>
      <c r="AE1" s="20">
        <f>[1]!Density("jeta.mix","TP","SI",$AH1,AE$144)</f>
        <v>835.9127805188815</v>
      </c>
      <c r="AF1" s="20">
        <f>[1]!Density("jeta.mix","TP","SI",$AH1,AF$144)</f>
        <v>836.4488986473973</v>
      </c>
      <c r="AG1" s="20">
        <f>AF1</f>
        <v>836.4488986473973</v>
      </c>
      <c r="AH1" s="14">
        <v>270</v>
      </c>
      <c r="AJ1" s="20"/>
    </row>
    <row r="2" spans="1:36" ht="9.9499999999999993" customHeight="1" x14ac:dyDescent="0.2">
      <c r="A2" s="20">
        <f t="shared" ref="A2:A65" si="0">B2</f>
        <v>814.26977847015814</v>
      </c>
      <c r="B2" s="20">
        <v>814.26977847015814</v>
      </c>
      <c r="C2" s="20">
        <v>814.27961262615088</v>
      </c>
      <c r="D2" s="20">
        <v>814.29600056248046</v>
      </c>
      <c r="E2" s="20">
        <v>814.31566225362008</v>
      </c>
      <c r="F2" s="20">
        <v>814.328767726038</v>
      </c>
      <c r="G2" s="20">
        <v>814.39426725262751</v>
      </c>
      <c r="H2" s="20">
        <v>814.45972044671782</v>
      </c>
      <c r="I2" s="20">
        <v>814.49242969459726</v>
      </c>
      <c r="J2" s="20">
        <v>814.52512738994778</v>
      </c>
      <c r="K2" s="20">
        <v>814.59048816372092</v>
      </c>
      <c r="L2" s="20">
        <v>814.7862942788463</v>
      </c>
      <c r="M2" s="20">
        <v>814.9166023236005</v>
      </c>
      <c r="N2" s="20">
        <v>816.20973585604133</v>
      </c>
      <c r="O2" s="20">
        <v>817.48521372059497</v>
      </c>
      <c r="P2" s="20">
        <v>819.36660377887017</v>
      </c>
      <c r="Q2" s="20">
        <v>820.60044726475553</v>
      </c>
      <c r="R2" s="20">
        <v>821.81856132753433</v>
      </c>
      <c r="S2" s="20">
        <v>823.02143410886515</v>
      </c>
      <c r="T2" s="20">
        <v>824.20952958412386</v>
      </c>
      <c r="U2" s="20">
        <v>824.79817462113783</v>
      </c>
      <c r="V2" s="20">
        <v>825.3832891955642</v>
      </c>
      <c r="W2" s="20">
        <v>825.96492521199286</v>
      </c>
      <c r="X2" s="20">
        <v>826.54313334654591</v>
      </c>
      <c r="Y2" s="20">
        <v>827.11796308695625</v>
      </c>
      <c r="Z2" s="20">
        <v>827.68946277097791</v>
      </c>
      <c r="AA2" s="20">
        <v>828.25767962322152</v>
      </c>
      <c r="AB2" s="20">
        <v>828.82265979048748</v>
      </c>
      <c r="AC2" s="20">
        <v>829.38444837567533</v>
      </c>
      <c r="AD2" s="20">
        <v>829.94308947033687</v>
      </c>
      <c r="AE2" s="20">
        <v>830.49862618593625</v>
      </c>
      <c r="AF2" s="20">
        <v>831.0511006838841</v>
      </c>
      <c r="AG2" s="20">
        <f t="shared" ref="AG2:AG65" si="1">AF2</f>
        <v>831.0511006838841</v>
      </c>
      <c r="AH2" s="13">
        <v>278</v>
      </c>
      <c r="AJ2" s="20"/>
    </row>
    <row r="3" spans="1:36" ht="9.9499999999999993" customHeight="1" x14ac:dyDescent="0.2">
      <c r="A3" s="20">
        <f t="shared" si="0"/>
        <v>808.33272963799493</v>
      </c>
      <c r="B3" s="20">
        <v>808.33272963799493</v>
      </c>
      <c r="C3" s="20">
        <v>808.34293981499638</v>
      </c>
      <c r="D3" s="20">
        <v>808.35995424622058</v>
      </c>
      <c r="E3" s="20">
        <v>808.3803673902637</v>
      </c>
      <c r="F3" s="20">
        <v>808.39397362478053</v>
      </c>
      <c r="G3" s="20">
        <v>808.4619744873014</v>
      </c>
      <c r="H3" s="20">
        <v>808.52992490155634</v>
      </c>
      <c r="I3" s="20">
        <v>808.56388121971747</v>
      </c>
      <c r="J3" s="20">
        <v>808.59782496073581</v>
      </c>
      <c r="K3" s="20">
        <v>808.66567475774934</v>
      </c>
      <c r="L3" s="20">
        <v>808.86892350072208</v>
      </c>
      <c r="M3" s="20">
        <v>809.00417304273276</v>
      </c>
      <c r="N3" s="20">
        <v>810.34585064297971</v>
      </c>
      <c r="O3" s="20">
        <v>811.66834846940333</v>
      </c>
      <c r="P3" s="20">
        <v>813.61758396774906</v>
      </c>
      <c r="Q3" s="20">
        <v>814.89497417640473</v>
      </c>
      <c r="R3" s="20">
        <v>816.15536624466006</v>
      </c>
      <c r="S3" s="20">
        <v>817.3993100833178</v>
      </c>
      <c r="T3" s="20">
        <v>818.62732725497222</v>
      </c>
      <c r="U3" s="20">
        <v>819.23551907164688</v>
      </c>
      <c r="V3" s="20">
        <v>819.83991296685747</v>
      </c>
      <c r="W3" s="20">
        <v>820.44056702147475</v>
      </c>
      <c r="X3" s="20">
        <v>821.03753788749543</v>
      </c>
      <c r="Y3" s="20">
        <v>821.63088083646164</v>
      </c>
      <c r="Z3" s="20">
        <v>822.22064980579842</v>
      </c>
      <c r="AA3" s="20">
        <v>822.80689744317453</v>
      </c>
      <c r="AB3" s="20">
        <v>823.3896751489882</v>
      </c>
      <c r="AC3" s="20">
        <v>823.96903311707615</v>
      </c>
      <c r="AD3" s="20">
        <v>824.54502037373311</v>
      </c>
      <c r="AE3" s="20">
        <v>825.11768481512763</v>
      </c>
      <c r="AF3" s="20">
        <v>825.68707324319382</v>
      </c>
      <c r="AG3" s="20">
        <f t="shared" si="1"/>
        <v>825.68707324319382</v>
      </c>
      <c r="AH3" s="14">
        <v>286</v>
      </c>
    </row>
    <row r="4" spans="1:36" ht="9.9499999999999993" customHeight="1" x14ac:dyDescent="0.2">
      <c r="A4" s="20">
        <f t="shared" si="0"/>
        <v>802.40163087722647</v>
      </c>
      <c r="B4" s="20">
        <v>802.40163087722647</v>
      </c>
      <c r="C4" s="20">
        <v>802.41223665716632</v>
      </c>
      <c r="D4" s="20">
        <v>802.42991019835017</v>
      </c>
      <c r="E4" s="20">
        <v>802.45111389795545</v>
      </c>
      <c r="F4" s="20">
        <v>802.46524694156835</v>
      </c>
      <c r="G4" s="20">
        <v>802.53587911825207</v>
      </c>
      <c r="H4" s="20">
        <v>802.60645630431463</v>
      </c>
      <c r="I4" s="20">
        <v>802.6417243091762</v>
      </c>
      <c r="J4" s="20">
        <v>802.67697860631711</v>
      </c>
      <c r="K4" s="20">
        <v>802.74744613048551</v>
      </c>
      <c r="L4" s="20">
        <v>802.9585210932388</v>
      </c>
      <c r="M4" s="20">
        <v>803.09896577839515</v>
      </c>
      <c r="N4" s="20">
        <v>804.49163544306259</v>
      </c>
      <c r="O4" s="20">
        <v>805.86344945313454</v>
      </c>
      <c r="P4" s="20">
        <v>807.88371596595255</v>
      </c>
      <c r="Q4" s="20">
        <v>809.20661945468783</v>
      </c>
      <c r="R4" s="20">
        <v>810.51114133126123</v>
      </c>
      <c r="S4" s="20">
        <v>811.79790170105775</v>
      </c>
      <c r="T4" s="20">
        <v>813.06748737415512</v>
      </c>
      <c r="U4" s="20">
        <v>813.69601457743227</v>
      </c>
      <c r="V4" s="20">
        <v>814.32045430067046</v>
      </c>
      <c r="W4" s="20">
        <v>814.94087157852471</v>
      </c>
      <c r="X4" s="20">
        <v>815.55732978227547</v>
      </c>
      <c r="Y4" s="20">
        <v>816.16989067839484</v>
      </c>
      <c r="Z4" s="20">
        <v>816.77861448449448</v>
      </c>
      <c r="AA4" s="20">
        <v>817.38355992279708</v>
      </c>
      <c r="AB4" s="20">
        <v>817.9847842712619</v>
      </c>
      <c r="AC4" s="20">
        <v>818.58234341249135</v>
      </c>
      <c r="AD4" s="20">
        <v>819.1762918805365</v>
      </c>
      <c r="AE4" s="20">
        <v>819.76668290570296</v>
      </c>
      <c r="AF4" s="20">
        <v>820.35356845747231</v>
      </c>
      <c r="AG4" s="20">
        <f t="shared" si="1"/>
        <v>820.35356845747231</v>
      </c>
      <c r="AH4" s="13">
        <v>294</v>
      </c>
    </row>
    <row r="5" spans="1:36" ht="9.9499999999999993" customHeight="1" x14ac:dyDescent="0.2">
      <c r="A5" s="20">
        <f t="shared" si="0"/>
        <v>796.47201801125641</v>
      </c>
      <c r="B5" s="20">
        <v>796.47201801125641</v>
      </c>
      <c r="C5" s="20">
        <v>796.48304044801228</v>
      </c>
      <c r="D5" s="20">
        <v>796.50140816485919</v>
      </c>
      <c r="E5" s="20">
        <v>796.52344445916015</v>
      </c>
      <c r="F5" s="20">
        <v>796.53813231391734</v>
      </c>
      <c r="G5" s="20">
        <v>796.61153552717315</v>
      </c>
      <c r="H5" s="20">
        <v>796.68487872930029</v>
      </c>
      <c r="I5" s="20">
        <v>796.72152786435311</v>
      </c>
      <c r="J5" s="20">
        <v>796.75816204236742</v>
      </c>
      <c r="K5" s="20">
        <v>796.83138558803876</v>
      </c>
      <c r="L5" s="20">
        <v>797.05069883130443</v>
      </c>
      <c r="M5" s="20">
        <v>797.19661103568285</v>
      </c>
      <c r="N5" s="20">
        <v>798.6428976437719</v>
      </c>
      <c r="O5" s="20">
        <v>800.06648351457932</v>
      </c>
      <c r="P5" s="20">
        <v>802.16117731717191</v>
      </c>
      <c r="Q5" s="20">
        <v>803.53168452259683</v>
      </c>
      <c r="R5" s="20">
        <v>804.88230027232692</v>
      </c>
      <c r="S5" s="20">
        <v>806.21372451500906</v>
      </c>
      <c r="T5" s="20">
        <v>807.52661804554691</v>
      </c>
      <c r="U5" s="20">
        <v>808.17631232550821</v>
      </c>
      <c r="V5" s="20">
        <v>808.82160548547074</v>
      </c>
      <c r="W5" s="20">
        <v>809.46257039318709</v>
      </c>
      <c r="X5" s="20">
        <v>810.09927797849832</v>
      </c>
      <c r="Y5" s="20">
        <v>810.73179730423999</v>
      </c>
      <c r="Z5" s="20">
        <v>811.36019563384696</v>
      </c>
      <c r="AA5" s="20">
        <v>811.98453849586372</v>
      </c>
      <c r="AB5" s="20">
        <v>812.60488974550731</v>
      </c>
      <c r="AC5" s="20">
        <v>813.22131162346454</v>
      </c>
      <c r="AD5" s="20">
        <v>813.83386481206526</v>
      </c>
      <c r="AE5" s="20">
        <v>814.44260848897363</v>
      </c>
      <c r="AF5" s="20">
        <v>815.04760037852861</v>
      </c>
      <c r="AG5" s="20">
        <f t="shared" si="1"/>
        <v>815.04760037852861</v>
      </c>
      <c r="AH5" s="14">
        <v>302</v>
      </c>
    </row>
    <row r="6" spans="1:36" ht="9.9499999999999993" customHeight="1" x14ac:dyDescent="0.2">
      <c r="A6" s="20">
        <f t="shared" si="0"/>
        <v>790.53957427389867</v>
      </c>
      <c r="B6" s="20">
        <v>790.53957427389867</v>
      </c>
      <c r="C6" s="20">
        <v>790.55103601865756</v>
      </c>
      <c r="D6" s="20">
        <v>790.57013563608712</v>
      </c>
      <c r="E6" s="20">
        <v>790.59304975039129</v>
      </c>
      <c r="F6" s="20">
        <v>790.60832253950139</v>
      </c>
      <c r="G6" s="20">
        <v>790.68464708217471</v>
      </c>
      <c r="H6" s="20">
        <v>790.76090605640252</v>
      </c>
      <c r="I6" s="20">
        <v>790.79901099914559</v>
      </c>
      <c r="J6" s="20">
        <v>790.83709960227145</v>
      </c>
      <c r="K6" s="20">
        <v>790.91322785937973</v>
      </c>
      <c r="L6" s="20">
        <v>791.14122228689985</v>
      </c>
      <c r="M6" s="20">
        <v>791.29289466577006</v>
      </c>
      <c r="N6" s="20">
        <v>792.7956140821733</v>
      </c>
      <c r="O6" s="20">
        <v>794.27359880594292</v>
      </c>
      <c r="P6" s="20">
        <v>796.44634119633906</v>
      </c>
      <c r="Q6" s="20">
        <v>797.86667407380048</v>
      </c>
      <c r="R6" s="20">
        <v>799.26546640134688</v>
      </c>
      <c r="S6" s="20">
        <v>800.6435090299924</v>
      </c>
      <c r="T6" s="20">
        <v>802.00154671206917</v>
      </c>
      <c r="U6" s="20">
        <v>802.67328473462067</v>
      </c>
      <c r="V6" s="20">
        <v>803.34028175365859</v>
      </c>
      <c r="W6" s="20">
        <v>804.00261946478281</v>
      </c>
      <c r="X6" s="20">
        <v>804.66037730410369</v>
      </c>
      <c r="Y6" s="20">
        <v>805.31363253415634</v>
      </c>
      <c r="Z6" s="20">
        <v>805.96246032567183</v>
      </c>
      <c r="AA6" s="20">
        <v>806.60693383544651</v>
      </c>
      <c r="AB6" s="20">
        <v>807.24712428053215</v>
      </c>
      <c r="AC6" s="20">
        <v>807.88310100896297</v>
      </c>
      <c r="AD6" s="20">
        <v>808.51493156720596</v>
      </c>
      <c r="AE6" s="20">
        <v>809.14268176452549</v>
      </c>
      <c r="AF6" s="20">
        <v>809.76641573442896</v>
      </c>
      <c r="AG6" s="20">
        <f t="shared" si="1"/>
        <v>809.76641573442896</v>
      </c>
      <c r="AH6" s="13">
        <v>310</v>
      </c>
    </row>
    <row r="7" spans="1:36" ht="9.9499999999999993" customHeight="1" x14ac:dyDescent="0.2">
      <c r="A7" s="20">
        <f t="shared" si="0"/>
        <v>784.60009228719059</v>
      </c>
      <c r="B7" s="20">
        <v>784.60009228719059</v>
      </c>
      <c r="C7" s="20">
        <v>784.61201773214657</v>
      </c>
      <c r="D7" s="20">
        <v>784.63188987337151</v>
      </c>
      <c r="E7" s="20">
        <v>784.65573050535841</v>
      </c>
      <c r="F7" s="20">
        <v>784.67162066356832</v>
      </c>
      <c r="G7" s="20">
        <v>784.75102834582219</v>
      </c>
      <c r="H7" s="20">
        <v>784.83036429853996</v>
      </c>
      <c r="I7" s="20">
        <v>784.87000542667965</v>
      </c>
      <c r="J7" s="20">
        <v>784.90962868278973</v>
      </c>
      <c r="K7" s="20">
        <v>784.98882165905081</v>
      </c>
      <c r="L7" s="20">
        <v>785.22597373594238</v>
      </c>
      <c r="M7" s="20">
        <v>785.38372099654066</v>
      </c>
      <c r="N7" s="20">
        <v>786.94589618483019</v>
      </c>
      <c r="O7" s="20">
        <v>788.48109158021941</v>
      </c>
      <c r="P7" s="20">
        <v>790.73574515399923</v>
      </c>
      <c r="Q7" s="20">
        <v>792.20826584563554</v>
      </c>
      <c r="R7" s="20">
        <v>793.65744333069665</v>
      </c>
      <c r="S7" s="20">
        <v>795.0841720510939</v>
      </c>
      <c r="T7" s="20">
        <v>796.4892921082909</v>
      </c>
      <c r="U7" s="20">
        <v>797.18399767397261</v>
      </c>
      <c r="V7" s="20">
        <v>797.87359374545906</v>
      </c>
      <c r="W7" s="20">
        <v>798.55817197199485</v>
      </c>
      <c r="X7" s="20">
        <v>799.23782136645809</v>
      </c>
      <c r="Y7" s="20">
        <v>799.91262840955278</v>
      </c>
      <c r="Z7" s="20">
        <v>800.58267714877627</v>
      </c>
      <c r="AA7" s="20">
        <v>801.24804929249001</v>
      </c>
      <c r="AB7" s="20">
        <v>801.90882429937847</v>
      </c>
      <c r="AC7" s="20">
        <v>802.56507946356214</v>
      </c>
      <c r="AD7" s="20">
        <v>803.21688999563901</v>
      </c>
      <c r="AE7" s="20">
        <v>803.86432909986809</v>
      </c>
      <c r="AF7" s="20">
        <v>804.50746804773235</v>
      </c>
      <c r="AG7" s="20">
        <f t="shared" si="1"/>
        <v>804.50746804773235</v>
      </c>
      <c r="AH7" s="14">
        <v>318</v>
      </c>
    </row>
    <row r="8" spans="1:36" ht="9.9499999999999993" customHeight="1" x14ac:dyDescent="0.2">
      <c r="A8" s="20">
        <f t="shared" si="0"/>
        <v>778.64943852116642</v>
      </c>
      <c r="B8" s="20">
        <v>778.64943852116642</v>
      </c>
      <c r="C8" s="20">
        <v>778.66185396397555</v>
      </c>
      <c r="D8" s="20">
        <v>778.68254242409603</v>
      </c>
      <c r="E8" s="20">
        <v>778.70736207131381</v>
      </c>
      <c r="F8" s="20">
        <v>778.72390456274854</v>
      </c>
      <c r="G8" s="20">
        <v>778.80656979536911</v>
      </c>
      <c r="H8" s="20">
        <v>778.88915645688985</v>
      </c>
      <c r="I8" s="20">
        <v>778.93042038149974</v>
      </c>
      <c r="J8" s="20">
        <v>778.97166473286029</v>
      </c>
      <c r="K8" s="20">
        <v>779.05409480811932</v>
      </c>
      <c r="L8" s="20">
        <v>779.30091766741543</v>
      </c>
      <c r="M8" s="20">
        <v>779.4650785937464</v>
      </c>
      <c r="N8" s="20">
        <v>781.089957978445</v>
      </c>
      <c r="O8" s="20">
        <v>782.68537602950448</v>
      </c>
      <c r="P8" s="20">
        <v>785.02606308450515</v>
      </c>
      <c r="Q8" s="20">
        <v>786.55328369145604</v>
      </c>
      <c r="R8" s="20">
        <v>788.05518893233841</v>
      </c>
      <c r="S8" s="20">
        <v>789.53279141460268</v>
      </c>
      <c r="T8" s="20">
        <v>790.9870396137087</v>
      </c>
      <c r="U8" s="20">
        <v>791.7056860874776</v>
      </c>
      <c r="V8" s="20">
        <v>792.41882338086862</v>
      </c>
      <c r="W8" s="20">
        <v>793.12655437153114</v>
      </c>
      <c r="X8" s="20">
        <v>793.82897885883369</v>
      </c>
      <c r="Y8" s="20">
        <v>794.52619369031504</v>
      </c>
      <c r="Z8" s="20">
        <v>795.21829288156425</v>
      </c>
      <c r="AA8" s="20">
        <v>795.90536772992425</v>
      </c>
      <c r="AB8" s="20">
        <v>796.58750692241483</v>
      </c>
      <c r="AC8" s="20">
        <v>797.26479663822613</v>
      </c>
      <c r="AD8" s="20">
        <v>797.9373206461089</v>
      </c>
      <c r="AE8" s="20">
        <v>798.60516039697404</v>
      </c>
      <c r="AF8" s="20">
        <v>799.26839511198079</v>
      </c>
      <c r="AG8" s="20">
        <f t="shared" si="1"/>
        <v>799.26839511198079</v>
      </c>
      <c r="AH8" s="13">
        <v>326</v>
      </c>
    </row>
    <row r="9" spans="1:36" ht="9.9499999999999993" customHeight="1" x14ac:dyDescent="0.2">
      <c r="A9" s="20">
        <f t="shared" si="0"/>
        <v>772.68352002815914</v>
      </c>
      <c r="B9" s="20">
        <v>772.68352002815914</v>
      </c>
      <c r="C9" s="20">
        <v>772.69645385991919</v>
      </c>
      <c r="D9" s="20">
        <v>772.7180059186378</v>
      </c>
      <c r="E9" s="20">
        <v>772.74386125280421</v>
      </c>
      <c r="F9" s="20">
        <v>772.76109381991751</v>
      </c>
      <c r="G9" s="20">
        <v>772.84720485215166</v>
      </c>
      <c r="H9" s="20">
        <v>772.9332297030719</v>
      </c>
      <c r="I9" s="20">
        <v>772.9762098775069</v>
      </c>
      <c r="J9" s="20">
        <v>773.01916858686536</v>
      </c>
      <c r="K9" s="20">
        <v>773.10502171685505</v>
      </c>
      <c r="L9" s="20">
        <v>773.3620687043624</v>
      </c>
      <c r="M9" s="20">
        <v>773.53300846614513</v>
      </c>
      <c r="N9" s="20">
        <v>775.22408681444415</v>
      </c>
      <c r="O9" s="20">
        <v>776.8829570308867</v>
      </c>
      <c r="P9" s="20">
        <v>779.31408028945475</v>
      </c>
      <c r="Q9" s="20">
        <v>780.89867382428815</v>
      </c>
      <c r="R9" s="20">
        <v>782.455792537957</v>
      </c>
      <c r="S9" s="20">
        <v>783.98658396563508</v>
      </c>
      <c r="T9" s="20">
        <v>785.49211986434409</v>
      </c>
      <c r="U9" s="20">
        <v>786.23573287761087</v>
      </c>
      <c r="V9" s="20">
        <v>786.97340299000996</v>
      </c>
      <c r="W9" s="20">
        <v>787.70524575188995</v>
      </c>
      <c r="X9" s="20">
        <v>788.43137311685928</v>
      </c>
      <c r="Y9" s="20">
        <v>789.15189359537351</v>
      </c>
      <c r="Z9" s="20">
        <v>789.86691240003222</v>
      </c>
      <c r="AA9" s="20">
        <v>790.57653158310404</v>
      </c>
      <c r="AB9" s="20">
        <v>791.28085016679222</v>
      </c>
      <c r="AC9" s="20">
        <v>791.97996426669886</v>
      </c>
      <c r="AD9" s="20">
        <v>792.67396720891827</v>
      </c>
      <c r="AE9" s="20">
        <v>793.36294964115336</v>
      </c>
      <c r="AF9" s="20">
        <v>794.04699963822475</v>
      </c>
      <c r="AG9" s="20">
        <f t="shared" si="1"/>
        <v>794.04699963822475</v>
      </c>
      <c r="AH9" s="14">
        <v>334</v>
      </c>
    </row>
    <row r="10" spans="1:36" ht="9.9499999999999993" customHeight="1" x14ac:dyDescent="0.2">
      <c r="A10" s="20">
        <f t="shared" si="0"/>
        <v>766.69825302568108</v>
      </c>
      <c r="B10" s="20">
        <v>766.69825302568108</v>
      </c>
      <c r="C10" s="20">
        <v>766.71173594571053</v>
      </c>
      <c r="D10" s="20">
        <v>766.73420272461203</v>
      </c>
      <c r="E10" s="20">
        <v>766.76115501921379</v>
      </c>
      <c r="F10" s="20">
        <v>766.77911846717302</v>
      </c>
      <c r="G10" s="20">
        <v>766.86887880044662</v>
      </c>
      <c r="H10" s="20">
        <v>766.95854447183081</v>
      </c>
      <c r="I10" s="20">
        <v>767.00334188678153</v>
      </c>
      <c r="J10" s="20">
        <v>767.04811572908909</v>
      </c>
      <c r="K10" s="20">
        <v>767.13759281893294</v>
      </c>
      <c r="L10" s="20">
        <v>767.40546153544324</v>
      </c>
      <c r="M10" s="20">
        <v>767.58357431896957</v>
      </c>
      <c r="N10" s="20">
        <v>769.34461645737883</v>
      </c>
      <c r="O10" s="20">
        <v>771.07040547961208</v>
      </c>
      <c r="P10" s="20">
        <v>773.59667134148208</v>
      </c>
      <c r="Q10" s="20">
        <v>775.24148394547728</v>
      </c>
      <c r="R10" s="20">
        <v>776.85645507652339</v>
      </c>
      <c r="S10" s="20">
        <v>778.44288650181716</v>
      </c>
      <c r="T10" s="20">
        <v>780.00199034157777</v>
      </c>
      <c r="U10" s="20">
        <v>780.77165076704568</v>
      </c>
      <c r="V10" s="20">
        <v>781.53489741912301</v>
      </c>
      <c r="W10" s="20">
        <v>782.29186015832283</v>
      </c>
      <c r="X10" s="20">
        <v>783.04266463980616</v>
      </c>
      <c r="Y10" s="20">
        <v>783.78743250007392</v>
      </c>
      <c r="Z10" s="20">
        <v>784.52628153317926</v>
      </c>
      <c r="AA10" s="20">
        <v>785.2593258571568</v>
      </c>
      <c r="AB10" s="20">
        <v>785.98667607133177</v>
      </c>
      <c r="AC10" s="20">
        <v>786.70843940510713</v>
      </c>
      <c r="AD10" s="20">
        <v>787.42471985878592</v>
      </c>
      <c r="AE10" s="20">
        <v>788.1356183369445</v>
      </c>
      <c r="AF10" s="20">
        <v>788.8412327748307</v>
      </c>
      <c r="AG10" s="20">
        <f t="shared" si="1"/>
        <v>788.8412327748307</v>
      </c>
      <c r="AH10" s="13">
        <v>342</v>
      </c>
    </row>
    <row r="11" spans="1:36" ht="9.9499999999999993" customHeight="1" x14ac:dyDescent="0.2">
      <c r="A11" s="20">
        <f t="shared" si="0"/>
        <v>760.68953276695481</v>
      </c>
      <c r="B11" s="20">
        <v>760.68953276695481</v>
      </c>
      <c r="C11" s="20">
        <v>760.70359802831854</v>
      </c>
      <c r="D11" s="20">
        <v>760.72703489926062</v>
      </c>
      <c r="E11" s="20">
        <v>760.75515051827915</v>
      </c>
      <c r="F11" s="20">
        <v>760.77388903996473</v>
      </c>
      <c r="G11" s="20">
        <v>760.86751904319976</v>
      </c>
      <c r="H11" s="20">
        <v>760.96104491584617</v>
      </c>
      <c r="I11" s="20">
        <v>761.00776889301051</v>
      </c>
      <c r="J11" s="20">
        <v>761.05446694514058</v>
      </c>
      <c r="K11" s="20">
        <v>761.14778541703572</v>
      </c>
      <c r="L11" s="20">
        <v>761.42712232874226</v>
      </c>
      <c r="M11" s="20">
        <v>761.61283433490757</v>
      </c>
      <c r="N11" s="20">
        <v>763.44790207734081</v>
      </c>
      <c r="O11" s="20">
        <v>765.24433579102765</v>
      </c>
      <c r="P11" s="20">
        <v>767.87078036773107</v>
      </c>
      <c r="Q11" s="20">
        <v>769.57884489248784</v>
      </c>
      <c r="R11" s="20">
        <v>771.25447179299238</v>
      </c>
      <c r="S11" s="20">
        <v>772.89913933275011</v>
      </c>
      <c r="T11" s="20">
        <v>774.51421959154186</v>
      </c>
      <c r="U11" s="20">
        <v>775.31106679258971</v>
      </c>
      <c r="V11" s="20">
        <v>776.10098876759048</v>
      </c>
      <c r="W11" s="20">
        <v>776.88413154502598</v>
      </c>
      <c r="X11" s="20">
        <v>777.66063623316177</v>
      </c>
      <c r="Y11" s="20">
        <v>778.43063924714386</v>
      </c>
      <c r="Z11" s="20">
        <v>779.19427252283606</v>
      </c>
      <c r="AA11" s="20">
        <v>779.95166371833977</v>
      </c>
      <c r="AB11" s="20">
        <v>780.70293640404191</v>
      </c>
      <c r="AC11" s="20">
        <v>781.44821024198905</v>
      </c>
      <c r="AD11" s="20">
        <v>782.18760115529528</v>
      </c>
      <c r="AE11" s="20">
        <v>782.92122148826638</v>
      </c>
      <c r="AF11" s="20">
        <v>783.64918015784053</v>
      </c>
      <c r="AG11" s="20">
        <f t="shared" si="1"/>
        <v>783.64918015784053</v>
      </c>
      <c r="AH11" s="14">
        <v>350</v>
      </c>
    </row>
    <row r="12" spans="1:36" ht="9.9499999999999993" customHeight="1" x14ac:dyDescent="0.2">
      <c r="A12" s="20">
        <f t="shared" si="0"/>
        <v>754.65320406224623</v>
      </c>
      <c r="B12" s="20">
        <v>754.65320406224623</v>
      </c>
      <c r="C12" s="20">
        <v>754.66788775280929</v>
      </c>
      <c r="D12" s="20">
        <v>754.69235480537338</v>
      </c>
      <c r="E12" s="20">
        <v>754.72170576262317</v>
      </c>
      <c r="F12" s="20">
        <v>754.74126731055765</v>
      </c>
      <c r="G12" s="20">
        <v>754.83900606825819</v>
      </c>
      <c r="H12" s="20">
        <v>754.93663010170246</v>
      </c>
      <c r="I12" s="20">
        <v>754.98539920119356</v>
      </c>
      <c r="J12" s="20">
        <v>755.03413974466207</v>
      </c>
      <c r="K12" s="20">
        <v>755.13153532933745</v>
      </c>
      <c r="L12" s="20">
        <v>755.42304103225035</v>
      </c>
      <c r="M12" s="20">
        <v>755.61681389651244</v>
      </c>
      <c r="N12" s="20">
        <v>757.53029663750908</v>
      </c>
      <c r="O12" s="20">
        <v>759.40138511483087</v>
      </c>
      <c r="P12" s="20">
        <v>762.13340334525844</v>
      </c>
      <c r="Q12" s="20">
        <v>763.90795441784235</v>
      </c>
      <c r="R12" s="20">
        <v>765.64721717344537</v>
      </c>
      <c r="S12" s="20">
        <v>767.35287208956959</v>
      </c>
      <c r="T12" s="20">
        <v>769.02647371553689</v>
      </c>
      <c r="U12" s="20">
        <v>769.85170907420456</v>
      </c>
      <c r="V12" s="20">
        <v>770.669463400724</v>
      </c>
      <c r="W12" s="20">
        <v>771.47990100094603</v>
      </c>
      <c r="X12" s="20">
        <v>772.28318042031287</v>
      </c>
      <c r="Y12" s="20">
        <v>773.07945472029223</v>
      </c>
      <c r="Z12" s="20">
        <v>773.86887173804212</v>
      </c>
      <c r="AA12" s="20">
        <v>774.65157433054117</v>
      </c>
      <c r="AB12" s="20">
        <v>775.42770060429552</v>
      </c>
      <c r="AC12" s="20">
        <v>776.19738413165464</v>
      </c>
      <c r="AD12" s="20">
        <v>776.96075415467078</v>
      </c>
      <c r="AE12" s="20">
        <v>777.71793577736855</v>
      </c>
      <c r="AF12" s="20">
        <v>778.46905014722097</v>
      </c>
      <c r="AG12" s="20">
        <f t="shared" si="1"/>
        <v>778.46905014722097</v>
      </c>
      <c r="AH12" s="13">
        <v>358</v>
      </c>
    </row>
    <row r="13" spans="1:36" ht="9.9499999999999993" customHeight="1" x14ac:dyDescent="0.2">
      <c r="A13" s="20">
        <f t="shared" si="0"/>
        <v>748.58503177224929</v>
      </c>
      <c r="B13" s="20">
        <v>748.58503177224929</v>
      </c>
      <c r="C13" s="20">
        <v>748.60037313709745</v>
      </c>
      <c r="D13" s="20">
        <v>748.62593571479317</v>
      </c>
      <c r="E13" s="20">
        <v>748.65660031545588</v>
      </c>
      <c r="F13" s="20">
        <v>748.67703702833558</v>
      </c>
      <c r="G13" s="20">
        <v>748.77914445945714</v>
      </c>
      <c r="H13" s="20">
        <v>748.88112528804754</v>
      </c>
      <c r="I13" s="20">
        <v>748.93206834796945</v>
      </c>
      <c r="J13" s="20">
        <v>748.98297990290666</v>
      </c>
      <c r="K13" s="20">
        <v>749.0847086908982</v>
      </c>
      <c r="L13" s="20">
        <v>749.38914393358095</v>
      </c>
      <c r="M13" s="20">
        <v>749.59147863436817</v>
      </c>
      <c r="N13" s="20">
        <v>751.58812815632416</v>
      </c>
      <c r="O13" s="20">
        <v>753.53819380510538</v>
      </c>
      <c r="P13" s="20">
        <v>756.38157201076183</v>
      </c>
      <c r="Q13" s="20">
        <v>758.22606272536621</v>
      </c>
      <c r="R13" s="20">
        <v>760.03213171889581</v>
      </c>
      <c r="S13" s="20">
        <v>761.80169143772082</v>
      </c>
      <c r="T13" s="20">
        <v>763.5365047921257</v>
      </c>
      <c r="U13" s="20">
        <v>764.39139552264999</v>
      </c>
      <c r="V13" s="20">
        <v>765.23820090431298</v>
      </c>
      <c r="W13" s="20">
        <v>766.07710591731006</v>
      </c>
      <c r="X13" s="20">
        <v>766.90828879327671</v>
      </c>
      <c r="Y13" s="20">
        <v>767.73192135201418</v>
      </c>
      <c r="Z13" s="20">
        <v>768.54816931700032</v>
      </c>
      <c r="AA13" s="20">
        <v>769.357192611291</v>
      </c>
      <c r="AB13" s="20">
        <v>770.15914563528065</v>
      </c>
      <c r="AC13" s="20">
        <v>770.95417752765741</v>
      </c>
      <c r="AD13" s="20">
        <v>771.74243241077818</v>
      </c>
      <c r="AE13" s="20">
        <v>772.52404962158255</v>
      </c>
      <c r="AF13" s="20">
        <v>773.29916392907467</v>
      </c>
      <c r="AG13" s="20">
        <f t="shared" si="1"/>
        <v>773.29916392907467</v>
      </c>
      <c r="AH13" s="14">
        <v>366</v>
      </c>
    </row>
    <row r="14" spans="1:36" ht="9.9499999999999993" customHeight="1" x14ac:dyDescent="0.2">
      <c r="A14" s="20">
        <f>B14</f>
        <v>742.4806705655983</v>
      </c>
      <c r="B14" s="20">
        <v>742.4806705655983</v>
      </c>
      <c r="C14" s="20">
        <v>742.4967123779677</v>
      </c>
      <c r="D14" s="20">
        <v>742.52344169505034</v>
      </c>
      <c r="E14" s="20">
        <v>742.55550527356002</v>
      </c>
      <c r="F14" s="20">
        <v>742.57687396678909</v>
      </c>
      <c r="G14" s="20">
        <v>742.68363326086092</v>
      </c>
      <c r="H14" s="20">
        <v>742.79025260253809</v>
      </c>
      <c r="I14" s="20">
        <v>742.84350993322062</v>
      </c>
      <c r="J14" s="20">
        <v>742.89673244589551</v>
      </c>
      <c r="K14" s="20">
        <v>743.00307324262201</v>
      </c>
      <c r="L14" s="20">
        <v>743.32126583447632</v>
      </c>
      <c r="M14" s="20">
        <v>743.53270717104772</v>
      </c>
      <c r="N14" s="20">
        <v>745.6176773305491</v>
      </c>
      <c r="O14" s="20">
        <v>747.65138670931401</v>
      </c>
      <c r="P14" s="20">
        <v>750.6123390172578</v>
      </c>
      <c r="Q14" s="20">
        <v>752.53045942372171</v>
      </c>
      <c r="R14" s="20">
        <v>754.40671024588357</v>
      </c>
      <c r="S14" s="20">
        <v>756.24327038318995</v>
      </c>
      <c r="T14" s="20">
        <v>758.04214092929749</v>
      </c>
      <c r="U14" s="20">
        <v>758.92802418721328</v>
      </c>
      <c r="V14" s="20">
        <v>759.80516468496114</v>
      </c>
      <c r="W14" s="20">
        <v>760.67377080308279</v>
      </c>
      <c r="X14" s="20">
        <v>761.53404301056696</v>
      </c>
      <c r="Y14" s="20">
        <v>762.38617427532836</v>
      </c>
      <c r="Z14" s="20">
        <v>763.23035044780408</v>
      </c>
      <c r="AA14" s="20">
        <v>764.0667506197957</v>
      </c>
      <c r="AB14" s="20">
        <v>764.89554746047315</v>
      </c>
      <c r="AC14" s="20">
        <v>765.71690753128496</v>
      </c>
      <c r="AD14" s="20">
        <v>766.53099158137729</v>
      </c>
      <c r="AE14" s="20">
        <v>767.33795482496294</v>
      </c>
      <c r="AF14" s="20">
        <v>768.13794720197234</v>
      </c>
      <c r="AG14" s="20">
        <f t="shared" si="1"/>
        <v>768.13794720197234</v>
      </c>
      <c r="AH14" s="13">
        <v>374</v>
      </c>
    </row>
    <row r="15" spans="1:36" ht="9.9499999999999993" customHeight="1" x14ac:dyDescent="0.2">
      <c r="A15" s="20">
        <f t="shared" si="0"/>
        <v>736.33563319921234</v>
      </c>
      <c r="B15" s="20">
        <v>736.33563319921234</v>
      </c>
      <c r="C15" s="20">
        <v>736.35242218868598</v>
      </c>
      <c r="D15" s="20">
        <v>736.38039604213907</v>
      </c>
      <c r="E15" s="20">
        <v>736.41395181378505</v>
      </c>
      <c r="F15" s="20">
        <v>736.43631454554031</v>
      </c>
      <c r="G15" s="20">
        <v>736.54803497301339</v>
      </c>
      <c r="H15" s="20">
        <v>736.65960040669415</v>
      </c>
      <c r="I15" s="20">
        <v>736.71532516715752</v>
      </c>
      <c r="J15" s="20">
        <v>736.77101137835734</v>
      </c>
      <c r="K15" s="20">
        <v>736.88226841682467</v>
      </c>
      <c r="L15" s="20">
        <v>737.21512117743339</v>
      </c>
      <c r="M15" s="20">
        <v>737.43626291605995</v>
      </c>
      <c r="N15" s="20">
        <v>739.61515501639337</v>
      </c>
      <c r="O15" s="20">
        <v>741.73755486555183</v>
      </c>
      <c r="P15" s="20">
        <v>744.82276400814737</v>
      </c>
      <c r="Q15" s="20">
        <v>746.81846159871236</v>
      </c>
      <c r="R15" s="20">
        <v>748.76849143531228</v>
      </c>
      <c r="S15" s="20">
        <v>750.67533890648917</v>
      </c>
      <c r="T15" s="20">
        <v>752.54127768934188</v>
      </c>
      <c r="U15" s="20">
        <v>753.45956498917235</v>
      </c>
      <c r="V15" s="20">
        <v>754.3683939643347</v>
      </c>
      <c r="W15" s="20">
        <v>755.26799949850351</v>
      </c>
      <c r="X15" s="20">
        <v>756.15860719403895</v>
      </c>
      <c r="Y15" s="20">
        <v>757.04043387272884</v>
      </c>
      <c r="Z15" s="20">
        <v>757.91368804246474</v>
      </c>
      <c r="AA15" s="20">
        <v>758.77857033263547</v>
      </c>
      <c r="AB15" s="20">
        <v>759.63527390075762</v>
      </c>
      <c r="AC15" s="20">
        <v>760.48398481262836</v>
      </c>
      <c r="AD15" s="20">
        <v>761.32488239806537</v>
      </c>
      <c r="AE15" s="20">
        <v>762.15813958413503</v>
      </c>
      <c r="AF15" s="20">
        <v>762.9839232075625</v>
      </c>
      <c r="AG15" s="20">
        <f t="shared" si="1"/>
        <v>762.9839232075625</v>
      </c>
      <c r="AH15" s="14">
        <v>382</v>
      </c>
    </row>
    <row r="16" spans="1:36" ht="9.9499999999999993" customHeight="1" x14ac:dyDescent="0.2">
      <c r="A16" s="20">
        <f t="shared" si="0"/>
        <v>2.6628410755519747</v>
      </c>
      <c r="B16" s="20">
        <v>2.6628410755519747</v>
      </c>
      <c r="C16" s="20">
        <v>730.16284387839357</v>
      </c>
      <c r="D16" s="20">
        <v>730.19214747298611</v>
      </c>
      <c r="E16" s="20">
        <v>730.22729752062571</v>
      </c>
      <c r="F16" s="20">
        <v>730.25072224763062</v>
      </c>
      <c r="G16" s="20">
        <v>730.36774241455555</v>
      </c>
      <c r="H16" s="20">
        <v>730.48459059486538</v>
      </c>
      <c r="I16" s="20">
        <v>730.54295038537293</v>
      </c>
      <c r="J16" s="20">
        <v>730.60126741316685</v>
      </c>
      <c r="K16" s="20">
        <v>730.71777349039735</v>
      </c>
      <c r="L16" s="20">
        <v>731.06627343060438</v>
      </c>
      <c r="M16" s="20">
        <v>731.29776424010129</v>
      </c>
      <c r="N16" s="20">
        <v>733.5766790711757</v>
      </c>
      <c r="O16" s="20">
        <v>735.79323722124764</v>
      </c>
      <c r="P16" s="20">
        <v>739.0099003166988</v>
      </c>
      <c r="Q16" s="20">
        <v>741.0874027474174</v>
      </c>
      <c r="R16" s="20">
        <v>743.11504839445377</v>
      </c>
      <c r="S16" s="20">
        <v>745.09567570282115</v>
      </c>
      <c r="T16" s="20">
        <v>747.03187067310068</v>
      </c>
      <c r="U16" s="20">
        <v>747.98405263049722</v>
      </c>
      <c r="V16" s="20">
        <v>748.92599695901492</v>
      </c>
      <c r="W16" s="20">
        <v>749.85796858014896</v>
      </c>
      <c r="X16" s="20">
        <v>750.78022151953826</v>
      </c>
      <c r="Y16" s="20">
        <v>751.69299951828862</v>
      </c>
      <c r="Z16" s="20">
        <v>752.59653660108222</v>
      </c>
      <c r="AA16" s="20">
        <v>753.49105760473253</v>
      </c>
      <c r="AB16" s="20">
        <v>754.37677867049808</v>
      </c>
      <c r="AC16" s="20">
        <v>755.25390770313447</v>
      </c>
      <c r="AD16" s="20">
        <v>756.12264479938676</v>
      </c>
      <c r="AE16" s="20">
        <v>756.98318264836769</v>
      </c>
      <c r="AF16" s="20">
        <v>757.83570690603574</v>
      </c>
      <c r="AG16" s="20">
        <f t="shared" si="1"/>
        <v>757.83570690603574</v>
      </c>
      <c r="AH16" s="13">
        <v>390</v>
      </c>
    </row>
    <row r="17" spans="1:34" ht="9.9499999999999993" customHeight="1" x14ac:dyDescent="0.2">
      <c r="A17" s="20">
        <f t="shared" si="0"/>
        <v>1.1900747020362255</v>
      </c>
      <c r="B17" s="20">
        <v>1.1900747020362255</v>
      </c>
      <c r="C17" s="20">
        <v>723.92310630578697</v>
      </c>
      <c r="D17" s="20">
        <v>723.95383321436873</v>
      </c>
      <c r="E17" s="20">
        <v>723.99068963667673</v>
      </c>
      <c r="F17" s="20">
        <v>724.0152509772264</v>
      </c>
      <c r="G17" s="20">
        <v>724.13794261087094</v>
      </c>
      <c r="H17" s="20">
        <v>724.26044300508818</v>
      </c>
      <c r="I17" s="20">
        <v>724.32162171757875</v>
      </c>
      <c r="J17" s="20">
        <v>724.38275289583862</v>
      </c>
      <c r="K17" s="20">
        <v>724.50487301450437</v>
      </c>
      <c r="L17" s="20">
        <v>724.8701019839242</v>
      </c>
      <c r="M17" s="20">
        <v>725.11265230921492</v>
      </c>
      <c r="N17" s="20">
        <v>727.49825005125899</v>
      </c>
      <c r="O17" s="20">
        <v>729.81490200284179</v>
      </c>
      <c r="P17" s="20">
        <v>733.17078203190772</v>
      </c>
      <c r="Q17" s="20">
        <v>735.3346223548557</v>
      </c>
      <c r="R17" s="20">
        <v>737.44398003671017</v>
      </c>
      <c r="S17" s="20">
        <v>739.50210084711057</v>
      </c>
      <c r="T17" s="20">
        <v>741.51192909037127</v>
      </c>
      <c r="U17" s="20">
        <v>742.49958050713838</v>
      </c>
      <c r="V17" s="20">
        <v>743.47614507722903</v>
      </c>
      <c r="W17" s="20">
        <v>744.44192179015567</v>
      </c>
      <c r="X17" s="20">
        <v>745.39719683498902</v>
      </c>
      <c r="Y17" s="20">
        <v>746.34224434726673</v>
      </c>
      <c r="Z17" s="20">
        <v>747.27732710103658</v>
      </c>
      <c r="AA17" s="20">
        <v>748.20269715085328</v>
      </c>
      <c r="AB17" s="20">
        <v>749.11859642808304</v>
      </c>
      <c r="AC17" s="20">
        <v>750.02525729541651</v>
      </c>
      <c r="AD17" s="20">
        <v>750.92290306310224</v>
      </c>
      <c r="AE17" s="20">
        <v>751.81174847008003</v>
      </c>
      <c r="AF17" s="20">
        <v>752.69200013287866</v>
      </c>
      <c r="AG17" s="20">
        <f t="shared" si="1"/>
        <v>752.69200013287866</v>
      </c>
      <c r="AH17" s="14">
        <v>398</v>
      </c>
    </row>
    <row r="18" spans="1:34" ht="9.9499999999999993" customHeight="1" x14ac:dyDescent="0.2">
      <c r="A18" s="20">
        <f t="shared" si="0"/>
        <v>0.74471762522538532</v>
      </c>
      <c r="B18" s="20">
        <v>0.74471762522538532</v>
      </c>
      <c r="C18" s="20">
        <v>717.62808472477957</v>
      </c>
      <c r="D18" s="20">
        <v>717.66033801135063</v>
      </c>
      <c r="E18" s="20">
        <v>717.69902426547424</v>
      </c>
      <c r="F18" s="20">
        <v>717.72480439150115</v>
      </c>
      <c r="G18" s="20">
        <v>717.85357676447791</v>
      </c>
      <c r="H18" s="20">
        <v>717.98213601699842</v>
      </c>
      <c r="I18" s="20">
        <v>718.04633599522037</v>
      </c>
      <c r="J18" s="20">
        <v>718.11048301916742</v>
      </c>
      <c r="K18" s="20">
        <v>718.23861863534819</v>
      </c>
      <c r="L18" s="20">
        <v>718.6217657265579</v>
      </c>
      <c r="M18" s="20">
        <v>718.87615578375119</v>
      </c>
      <c r="N18" s="20">
        <v>721.375725238835</v>
      </c>
      <c r="O18" s="20">
        <v>723.79892737182774</v>
      </c>
      <c r="P18" s="20">
        <v>727.30241119789332</v>
      </c>
      <c r="Q18" s="20">
        <v>729.55745592564278</v>
      </c>
      <c r="R18" s="20">
        <v>731.75290311794424</v>
      </c>
      <c r="S18" s="20">
        <v>733.89246923750159</v>
      </c>
      <c r="T18" s="20">
        <v>735.97951017796095</v>
      </c>
      <c r="U18" s="20">
        <v>737.00429549068963</v>
      </c>
      <c r="V18" s="20">
        <v>738.01706799778083</v>
      </c>
      <c r="W18" s="20">
        <v>739.01816535594298</v>
      </c>
      <c r="X18" s="20">
        <v>740.00791017285087</v>
      </c>
      <c r="Y18" s="20">
        <v>740.98661092044983</v>
      </c>
      <c r="Z18" s="20">
        <v>741.95456277852668</v>
      </c>
      <c r="AA18" s="20">
        <v>742.91204841493266</v>
      </c>
      <c r="AB18" s="20">
        <v>743.85933870815813</v>
      </c>
      <c r="AC18" s="20">
        <v>744.79669341737383</v>
      </c>
      <c r="AD18" s="20">
        <v>745.72436180451928</v>
      </c>
      <c r="AE18" s="20">
        <v>746.64258321255193</v>
      </c>
      <c r="AF18" s="20">
        <v>747.55158760357358</v>
      </c>
      <c r="AG18" s="20">
        <f t="shared" si="1"/>
        <v>747.55158760357358</v>
      </c>
      <c r="AH18" s="13">
        <v>406</v>
      </c>
    </row>
    <row r="19" spans="1:34" ht="9.9499999999999993" customHeight="1" x14ac:dyDescent="0.2">
      <c r="A19" s="20">
        <f t="shared" si="0"/>
        <v>0.53384751389986751</v>
      </c>
      <c r="B19" s="20">
        <v>0.53384751389986751</v>
      </c>
      <c r="C19" s="20">
        <v>14.54798235473204</v>
      </c>
      <c r="D19" s="20">
        <v>711.30624791768264</v>
      </c>
      <c r="E19" s="20">
        <v>711.34690039737723</v>
      </c>
      <c r="F19" s="20">
        <v>711.37399008278862</v>
      </c>
      <c r="G19" s="20">
        <v>711.5092952100822</v>
      </c>
      <c r="H19" s="20">
        <v>711.64436226584485</v>
      </c>
      <c r="I19" s="20">
        <v>711.71180683982504</v>
      </c>
      <c r="J19" s="20">
        <v>711.7791922825237</v>
      </c>
      <c r="K19" s="20">
        <v>711.91378628533494</v>
      </c>
      <c r="L19" s="20">
        <v>712.31616235566673</v>
      </c>
      <c r="M19" s="20">
        <v>712.5832514762875</v>
      </c>
      <c r="N19" s="20">
        <v>715.20479042737611</v>
      </c>
      <c r="O19" s="20">
        <v>717.74158099648582</v>
      </c>
      <c r="P19" s="20">
        <v>721.40174493299116</v>
      </c>
      <c r="Q19" s="20">
        <v>723.75322530884171</v>
      </c>
      <c r="R19" s="20">
        <v>726.03944479675749</v>
      </c>
      <c r="S19" s="20">
        <v>728.26466470031903</v>
      </c>
      <c r="T19" s="20">
        <v>730.43271435605197</v>
      </c>
      <c r="U19" s="20">
        <v>731.49639347110849</v>
      </c>
      <c r="V19" s="20">
        <v>732.5470495250496</v>
      </c>
      <c r="W19" s="20">
        <v>733.58506409487063</v>
      </c>
      <c r="X19" s="20">
        <v>734.61080105153974</v>
      </c>
      <c r="Y19" s="20">
        <v>735.62460767768539</v>
      </c>
      <c r="Z19" s="20">
        <v>736.62681569659003</v>
      </c>
      <c r="AA19" s="20">
        <v>737.61774222092458</v>
      </c>
      <c r="AB19" s="20">
        <v>738.59769062872806</v>
      </c>
      <c r="AC19" s="20">
        <v>739.56695137331178</v>
      </c>
      <c r="AD19" s="20">
        <v>740.52580273307308</v>
      </c>
      <c r="AE19" s="20">
        <v>741.47451150655911</v>
      </c>
      <c r="AF19" s="20">
        <v>742.41333365757646</v>
      </c>
      <c r="AG19" s="20">
        <f t="shared" si="1"/>
        <v>742.41333365757646</v>
      </c>
      <c r="AH19" s="14">
        <v>414</v>
      </c>
    </row>
    <row r="20" spans="1:34" ht="9.9499999999999993" customHeight="1" x14ac:dyDescent="0.2">
      <c r="A20" s="20">
        <f t="shared" si="0"/>
        <v>0.45059898711217194</v>
      </c>
      <c r="B20" s="20">
        <v>0.45059898711217194</v>
      </c>
      <c r="C20" s="20">
        <v>3.7449834712653218</v>
      </c>
      <c r="D20" s="20">
        <v>704.88579751035786</v>
      </c>
      <c r="E20" s="20">
        <v>704.92856741132186</v>
      </c>
      <c r="F20" s="20">
        <v>704.95706727089123</v>
      </c>
      <c r="G20" s="20">
        <v>705.09940604878818</v>
      </c>
      <c r="H20" s="20">
        <v>705.24147820078531</v>
      </c>
      <c r="I20" s="20">
        <v>705.31241467677319</v>
      </c>
      <c r="J20" s="20">
        <v>705.38328495678047</v>
      </c>
      <c r="K20" s="20">
        <v>705.52482753751212</v>
      </c>
      <c r="L20" s="20">
        <v>705.94788230006441</v>
      </c>
      <c r="M20" s="20">
        <v>706.22861990856757</v>
      </c>
      <c r="N20" s="20">
        <v>708.98092883001664</v>
      </c>
      <c r="O20" s="20">
        <v>711.63899814972774</v>
      </c>
      <c r="P20" s="20">
        <v>715.46568226682791</v>
      </c>
      <c r="Q20" s="20">
        <v>717.91922917438126</v>
      </c>
      <c r="R20" s="20">
        <v>720.30123560962159</v>
      </c>
      <c r="S20" s="20">
        <v>722.61659466394906</v>
      </c>
      <c r="T20" s="20">
        <v>724.86968103780885</v>
      </c>
      <c r="U20" s="20">
        <v>725.97411557706903</v>
      </c>
      <c r="V20" s="20">
        <v>727.06442413740922</v>
      </c>
      <c r="W20" s="20">
        <v>728.14103822133961</v>
      </c>
      <c r="X20" s="20">
        <v>729.20436848302347</v>
      </c>
      <c r="Y20" s="20">
        <v>730.25480609724593</v>
      </c>
      <c r="Z20" s="20">
        <v>731.29272401547951</v>
      </c>
      <c r="AA20" s="20">
        <v>732.31847812019214</v>
      </c>
      <c r="AB20" s="20">
        <v>733.33240828726821</v>
      </c>
      <c r="AC20" s="20">
        <v>734.33483936530308</v>
      </c>
      <c r="AD20" s="20">
        <v>735.32608207956707</v>
      </c>
      <c r="AE20" s="20">
        <v>736.30643386757913</v>
      </c>
      <c r="AF20" s="20">
        <v>737.27617965249533</v>
      </c>
      <c r="AG20" s="20">
        <f t="shared" si="1"/>
        <v>737.27617965249533</v>
      </c>
      <c r="AH20" s="13">
        <v>422</v>
      </c>
    </row>
    <row r="21" spans="1:34" ht="9.9499999999999993" customHeight="1" x14ac:dyDescent="0.2">
      <c r="A21" s="20">
        <f t="shared" si="0"/>
        <v>0.44200571696885704</v>
      </c>
      <c r="B21" s="20">
        <v>0.44200571696885704</v>
      </c>
      <c r="C21" s="20">
        <v>2.0757399367140819</v>
      </c>
      <c r="D21" s="20">
        <v>698.39280887403993</v>
      </c>
      <c r="E21" s="20">
        <v>698.4378644120153</v>
      </c>
      <c r="F21" s="20">
        <v>698.4678863742738</v>
      </c>
      <c r="G21" s="20">
        <v>698.61781587531266</v>
      </c>
      <c r="H21" s="20">
        <v>698.76744594516015</v>
      </c>
      <c r="I21" s="20">
        <v>698.84214915363975</v>
      </c>
      <c r="J21" s="20">
        <v>698.91677805516088</v>
      </c>
      <c r="K21" s="20">
        <v>699.06581366499108</v>
      </c>
      <c r="L21" s="20">
        <v>699.51115591786834</v>
      </c>
      <c r="M21" s="20">
        <v>699.80659449942925</v>
      </c>
      <c r="N21" s="20">
        <v>702.69938638317296</v>
      </c>
      <c r="O21" s="20">
        <v>705.48715791107304</v>
      </c>
      <c r="P21" s="20">
        <v>709.49105049962941</v>
      </c>
      <c r="Q21" s="20">
        <v>712.05273351500421</v>
      </c>
      <c r="R21" s="20">
        <v>714.53590277125147</v>
      </c>
      <c r="S21" s="20">
        <v>716.9461853296109</v>
      </c>
      <c r="T21" s="20">
        <v>719.28858502733578</v>
      </c>
      <c r="U21" s="20">
        <v>720.43574501035619</v>
      </c>
      <c r="V21" s="20">
        <v>721.56757416580592</v>
      </c>
      <c r="W21" s="20">
        <v>722.68456079273074</v>
      </c>
      <c r="X21" s="20">
        <v>723.78716862220779</v>
      </c>
      <c r="Y21" s="20">
        <v>724.87583849556449</v>
      </c>
      <c r="Z21" s="20">
        <v>725.95098989873304</v>
      </c>
      <c r="AA21" s="20">
        <v>727.01302236749484</v>
      </c>
      <c r="AB21" s="20">
        <v>728.0623167766139</v>
      </c>
      <c r="AC21" s="20">
        <v>729.09923652434156</v>
      </c>
      <c r="AD21" s="20">
        <v>730.12412862246003</v>
      </c>
      <c r="AE21" s="20">
        <v>731.13732470088473</v>
      </c>
      <c r="AF21" s="20">
        <v>732.13914193485266</v>
      </c>
      <c r="AG21" s="20">
        <f t="shared" si="1"/>
        <v>732.13914193485266</v>
      </c>
      <c r="AH21" s="14">
        <v>430</v>
      </c>
    </row>
    <row r="22" spans="1:34" ht="9.9499999999999993" customHeight="1" x14ac:dyDescent="0.2">
      <c r="A22" s="20">
        <f>B22</f>
        <v>0.4337429245352924</v>
      </c>
      <c r="B22" s="20">
        <v>0.4337429245352924</v>
      </c>
      <c r="C22" s="20">
        <v>1.4021265102092337</v>
      </c>
      <c r="D22" s="20">
        <v>34.590613101294963</v>
      </c>
      <c r="E22" s="20">
        <v>691.86814937044085</v>
      </c>
      <c r="F22" s="20">
        <v>691.89981844010265</v>
      </c>
      <c r="G22" s="20">
        <v>692.05796063747937</v>
      </c>
      <c r="H22" s="20">
        <v>692.21576555559511</v>
      </c>
      <c r="I22" s="20">
        <v>692.29454208811455</v>
      </c>
      <c r="J22" s="20">
        <v>692.37323496276383</v>
      </c>
      <c r="K22" s="20">
        <v>692.53037061234488</v>
      </c>
      <c r="L22" s="20">
        <v>692.99979232847625</v>
      </c>
      <c r="M22" s="20">
        <v>693.31110283894463</v>
      </c>
      <c r="N22" s="20">
        <v>696.355132594363</v>
      </c>
      <c r="O22" s="20">
        <v>699.28185700389952</v>
      </c>
      <c r="P22" s="20">
        <v>703.47459088878611</v>
      </c>
      <c r="Q22" s="20">
        <v>706.15096205991858</v>
      </c>
      <c r="R22" s="20">
        <v>708.74106372719621</v>
      </c>
      <c r="S22" s="20">
        <v>711.25137728461539</v>
      </c>
      <c r="T22" s="20">
        <v>713.68763345832861</v>
      </c>
      <c r="U22" s="20">
        <v>714.879604447475</v>
      </c>
      <c r="V22" s="20">
        <v>716.05492755546709</v>
      </c>
      <c r="W22" s="20">
        <v>717.2141557462586</v>
      </c>
      <c r="X22" s="20">
        <v>718.35781300886322</v>
      </c>
      <c r="Y22" s="20">
        <v>719.48639641652437</v>
      </c>
      <c r="Z22" s="20">
        <v>720.60037800240127</v>
      </c>
      <c r="AA22" s="20">
        <v>721.70020647131491</v>
      </c>
      <c r="AB22" s="20">
        <v>722.78630876468947</v>
      </c>
      <c r="AC22" s="20">
        <v>723.85909149373822</v>
      </c>
      <c r="AD22" s="20">
        <v>724.91894225417116</v>
      </c>
      <c r="AE22" s="20">
        <v>725.96623083414522</v>
      </c>
      <c r="AF22" s="20">
        <v>727.00131032583056</v>
      </c>
      <c r="AG22" s="20">
        <f t="shared" si="1"/>
        <v>727.00131032583056</v>
      </c>
      <c r="AH22" s="13">
        <v>438</v>
      </c>
    </row>
    <row r="23" spans="1:34" ht="9.9499999999999993" customHeight="1" x14ac:dyDescent="0.2">
      <c r="A23" s="20">
        <f t="shared" si="0"/>
        <v>0.42579123210821285</v>
      </c>
      <c r="B23" s="20">
        <v>0.42579123210821285</v>
      </c>
      <c r="C23" s="20">
        <v>1.0752477736535775</v>
      </c>
      <c r="D23" s="20">
        <v>7.2983085194370183</v>
      </c>
      <c r="E23" s="20">
        <v>685.21221551304961</v>
      </c>
      <c r="F23" s="20">
        <v>685.24567189456798</v>
      </c>
      <c r="G23" s="20">
        <v>685.41272416827576</v>
      </c>
      <c r="H23" s="20">
        <v>685.57939529660825</v>
      </c>
      <c r="I23" s="20">
        <v>685.66258859948198</v>
      </c>
      <c r="J23" s="20">
        <v>685.74568741545875</v>
      </c>
      <c r="K23" s="20">
        <v>685.91160264142411</v>
      </c>
      <c r="L23" s="20">
        <v>686.40710784353973</v>
      </c>
      <c r="M23" s="20">
        <v>686.73559813804673</v>
      </c>
      <c r="N23" s="20">
        <v>689.9428159217847</v>
      </c>
      <c r="O23" s="20">
        <v>693.01868073637331</v>
      </c>
      <c r="P23" s="20">
        <v>697.41294346408574</v>
      </c>
      <c r="Q23" s="20">
        <v>700.21108649624614</v>
      </c>
      <c r="R23" s="20">
        <v>702.91431990050307</v>
      </c>
      <c r="S23" s="20">
        <v>705.53012151959354</v>
      </c>
      <c r="T23" s="20">
        <v>708.06506324092663</v>
      </c>
      <c r="U23" s="20">
        <v>709.30405397622337</v>
      </c>
      <c r="V23" s="20">
        <v>710.524956177641</v>
      </c>
      <c r="W23" s="20">
        <v>711.72839649211323</v>
      </c>
      <c r="X23" s="20">
        <v>712.91496736550823</v>
      </c>
      <c r="Y23" s="20">
        <v>714.08522957154025</v>
      </c>
      <c r="Z23" s="20">
        <v>715.23971450644353</v>
      </c>
      <c r="AA23" s="20">
        <v>716.37892627532119</v>
      </c>
      <c r="AB23" s="20">
        <v>717.50334359276133</v>
      </c>
      <c r="AC23" s="20">
        <v>718.61342151748079</v>
      </c>
      <c r="AD23" s="20">
        <v>719.70959303832069</v>
      </c>
      <c r="AE23" s="20">
        <v>720.79227052682916</v>
      </c>
      <c r="AF23" s="20">
        <v>721.86184706985364</v>
      </c>
      <c r="AG23" s="20">
        <f t="shared" si="1"/>
        <v>721.86184706985364</v>
      </c>
      <c r="AH23" s="14">
        <v>446</v>
      </c>
    </row>
    <row r="24" spans="1:34" ht="9.9499999999999993" customHeight="1" x14ac:dyDescent="0.2">
      <c r="A24" s="20">
        <f t="shared" si="0"/>
        <v>0.41813280388383794</v>
      </c>
      <c r="B24" s="20">
        <v>0.41813280388383794</v>
      </c>
      <c r="C24" s="20">
        <v>1.0552898439742096</v>
      </c>
      <c r="D24" s="20">
        <v>3.9444893420999358</v>
      </c>
      <c r="E24" s="20">
        <v>678.46219170542167</v>
      </c>
      <c r="F24" s="20">
        <v>678.49759338087142</v>
      </c>
      <c r="G24" s="20">
        <v>678.67434126371859</v>
      </c>
      <c r="H24" s="20">
        <v>678.85065690639908</v>
      </c>
      <c r="I24" s="20">
        <v>678.93865344929168</v>
      </c>
      <c r="J24" s="20">
        <v>679.02654290293174</v>
      </c>
      <c r="K24" s="20">
        <v>679.20200182225028</v>
      </c>
      <c r="L24" s="20">
        <v>679.72584143697384</v>
      </c>
      <c r="M24" s="20">
        <v>680.07297845907465</v>
      </c>
      <c r="N24" s="20">
        <v>683.45671246427844</v>
      </c>
      <c r="O24" s="20">
        <v>686.69297043370761</v>
      </c>
      <c r="P24" s="20">
        <v>691.30263076598646</v>
      </c>
      <c r="Q24" s="20">
        <v>694.23021640323759</v>
      </c>
      <c r="R24" s="20">
        <v>697.05325058858341</v>
      </c>
      <c r="S24" s="20">
        <v>699.78037582619982</v>
      </c>
      <c r="T24" s="20">
        <v>702.41913899831502</v>
      </c>
      <c r="U24" s="20">
        <v>703.70748954825501</v>
      </c>
      <c r="V24" s="20">
        <v>704.97617467076952</v>
      </c>
      <c r="W24" s="20">
        <v>706.22590503995741</v>
      </c>
      <c r="X24" s="20">
        <v>707.45735092561915</v>
      </c>
      <c r="Y24" s="20">
        <v>708.67114530196102</v>
      </c>
      <c r="Z24" s="20">
        <v>709.86788665698089</v>
      </c>
      <c r="AA24" s="20">
        <v>711.04814153691882</v>
      </c>
      <c r="AB24" s="20">
        <v>712.21244685559157</v>
      </c>
      <c r="AC24" s="20">
        <v>713.36131199456111</v>
      </c>
      <c r="AD24" s="20">
        <v>714.49522071675528</v>
      </c>
      <c r="AE24" s="20">
        <v>715.61463291335031</v>
      </c>
      <c r="AF24" s="20">
        <v>716.71998620127306</v>
      </c>
      <c r="AG24" s="20">
        <f t="shared" si="1"/>
        <v>716.71998620127306</v>
      </c>
      <c r="AH24" s="13">
        <v>454</v>
      </c>
    </row>
    <row r="25" spans="1:34" ht="9.9499999999999993" customHeight="1" x14ac:dyDescent="0.2">
      <c r="A25" s="20">
        <f t="shared" si="0"/>
        <v>0.41075119065336657</v>
      </c>
      <c r="B25" s="20">
        <v>0.41075119065336657</v>
      </c>
      <c r="C25" s="20">
        <v>1.0361006261248575</v>
      </c>
      <c r="D25" s="20">
        <v>2.6349476464324524</v>
      </c>
      <c r="E25" s="20">
        <v>15.157456091407219</v>
      </c>
      <c r="F25" s="20">
        <v>671.64694851653826</v>
      </c>
      <c r="G25" s="20">
        <v>671.83428128202524</v>
      </c>
      <c r="H25" s="20">
        <v>672.02112196823134</v>
      </c>
      <c r="I25" s="20">
        <v>672.11435877330086</v>
      </c>
      <c r="J25" s="20">
        <v>672.20747374445989</v>
      </c>
      <c r="K25" s="20">
        <v>672.39333974714316</v>
      </c>
      <c r="L25" s="20">
        <v>672.94805399494317</v>
      </c>
      <c r="M25" s="20">
        <v>673.31549068987499</v>
      </c>
      <c r="N25" s="20">
        <v>676.8906664709275</v>
      </c>
      <c r="O25" s="20">
        <v>680.29978664764735</v>
      </c>
      <c r="P25" s="20">
        <v>685.14004029164391</v>
      </c>
      <c r="Q25" s="20">
        <v>688.20538881325137</v>
      </c>
      <c r="R25" s="20">
        <v>691.15540698119707</v>
      </c>
      <c r="S25" s="20">
        <v>694.00010156702604</v>
      </c>
      <c r="T25" s="20">
        <v>696.74815148826417</v>
      </c>
      <c r="U25" s="20">
        <v>698.08834194132828</v>
      </c>
      <c r="V25" s="20">
        <v>699.40713980213536</v>
      </c>
      <c r="W25" s="20">
        <v>700.70535164655246</v>
      </c>
      <c r="X25" s="20">
        <v>701.98373627637739</v>
      </c>
      <c r="Y25" s="20">
        <v>703.24300854437342</v>
      </c>
      <c r="Z25" s="20">
        <v>704.48384279643494</v>
      </c>
      <c r="AA25" s="20">
        <v>705.70687597657047</v>
      </c>
      <c r="AB25" s="20">
        <v>706.91271043409017</v>
      </c>
      <c r="AC25" s="20">
        <v>708.10191646707256</v>
      </c>
      <c r="AD25" s="20">
        <v>709.27503463168227</v>
      </c>
      <c r="AE25" s="20">
        <v>710.43257784307332</v>
      </c>
      <c r="AF25" s="20">
        <v>711.57503329034273</v>
      </c>
      <c r="AG25" s="20">
        <f t="shared" si="1"/>
        <v>711.57503329034273</v>
      </c>
      <c r="AH25" s="14">
        <v>462</v>
      </c>
    </row>
    <row r="26" spans="1:34" ht="9.9499999999999993" customHeight="1" x14ac:dyDescent="0.2">
      <c r="A26" s="20">
        <f t="shared" si="0"/>
        <v>0.40363119339794029</v>
      </c>
      <c r="B26" s="20">
        <v>0.40363119339794029</v>
      </c>
      <c r="C26" s="20">
        <v>1.0176334696460991</v>
      </c>
      <c r="D26" s="20">
        <v>2.0650458175576691</v>
      </c>
      <c r="E26" s="20">
        <v>7.064562342228915</v>
      </c>
      <c r="F26" s="20">
        <v>23.395240610814664</v>
      </c>
      <c r="G26" s="20">
        <v>664.88310701977923</v>
      </c>
      <c r="H26" s="20">
        <v>665.08147433382385</v>
      </c>
      <c r="I26" s="20">
        <v>665.18044824387403</v>
      </c>
      <c r="J26" s="20">
        <v>665.27928296767482</v>
      </c>
      <c r="K26" s="20">
        <v>665.47653677555638</v>
      </c>
      <c r="L26" s="20">
        <v>666.06500714759613</v>
      </c>
      <c r="M26" s="20">
        <v>666.45461536387086</v>
      </c>
      <c r="N26" s="20">
        <v>670.23802083187104</v>
      </c>
      <c r="O26" s="20">
        <v>673.83386730225459</v>
      </c>
      <c r="P26" s="20">
        <v>678.92140542202606</v>
      </c>
      <c r="Q26" s="20">
        <v>682.13355732383275</v>
      </c>
      <c r="R26" s="20">
        <v>685.21830628686087</v>
      </c>
      <c r="S26" s="20">
        <v>688.18726082562148</v>
      </c>
      <c r="T26" s="20">
        <v>691.05041651873796</v>
      </c>
      <c r="U26" s="20">
        <v>692.44507623755646</v>
      </c>
      <c r="V26" s="20">
        <v>693.81645035240808</v>
      </c>
      <c r="W26" s="20">
        <v>695.16545498247513</v>
      </c>
      <c r="X26" s="20">
        <v>696.49294970927633</v>
      </c>
      <c r="Y26" s="20">
        <v>697.79974228756112</v>
      </c>
      <c r="Z26" s="20">
        <v>699.08659286598208</v>
      </c>
      <c r="AA26" s="20">
        <v>700.35421777830675</v>
      </c>
      <c r="AB26" s="20">
        <v>701.60329295723045</v>
      </c>
      <c r="AC26" s="20">
        <v>702.83445701557434</v>
      </c>
      <c r="AD26" s="20">
        <v>704.04831403351045</v>
      </c>
      <c r="AE26" s="20">
        <v>705.24543608527893</v>
      </c>
      <c r="AF26" s="20">
        <v>706.42636553445209</v>
      </c>
      <c r="AG26" s="20">
        <f t="shared" si="1"/>
        <v>706.42636553445209</v>
      </c>
      <c r="AH26" s="13">
        <v>470</v>
      </c>
    </row>
    <row r="27" spans="1:34" ht="9.9499999999999993" customHeight="1" x14ac:dyDescent="0.2">
      <c r="A27" s="20">
        <f t="shared" si="0"/>
        <v>0.39675874308302866</v>
      </c>
      <c r="B27" s="20">
        <v>0.39675874308302866</v>
      </c>
      <c r="C27" s="20">
        <v>0.99984567117144174</v>
      </c>
      <c r="D27" s="20">
        <v>2.0272835489504755</v>
      </c>
      <c r="E27" s="20">
        <v>4.472793071939873</v>
      </c>
      <c r="F27" s="20">
        <v>9.59083158963894</v>
      </c>
      <c r="G27" s="20">
        <v>657.81030194419316</v>
      </c>
      <c r="H27" s="20">
        <v>658.02134194326925</v>
      </c>
      <c r="I27" s="20">
        <v>658.12662113622753</v>
      </c>
      <c r="J27" s="20">
        <v>658.23174059010671</v>
      </c>
      <c r="K27" s="20">
        <v>658.44150265497058</v>
      </c>
      <c r="L27" s="20">
        <v>659.06701620992533</v>
      </c>
      <c r="M27" s="20">
        <v>659.48092726613504</v>
      </c>
      <c r="N27" s="20">
        <v>663.49153526128407</v>
      </c>
      <c r="O27" s="20">
        <v>667.28957977778191</v>
      </c>
      <c r="P27" s="20">
        <v>672.6427845914568</v>
      </c>
      <c r="Q27" s="20">
        <v>676.0115806984561</v>
      </c>
      <c r="R27" s="20">
        <v>679.23942597415169</v>
      </c>
      <c r="S27" s="20">
        <v>682.33981396254694</v>
      </c>
      <c r="T27" s="20">
        <v>685.32427438152786</v>
      </c>
      <c r="U27" s="20">
        <v>686.77619183711943</v>
      </c>
      <c r="V27" s="20">
        <v>688.20274753704473</v>
      </c>
      <c r="W27" s="20">
        <v>689.60498282599406</v>
      </c>
      <c r="X27" s="20">
        <v>690.98387208075951</v>
      </c>
      <c r="Y27" s="20">
        <v>692.3403285176405</v>
      </c>
      <c r="Z27" s="20">
        <v>693.67520937157508</v>
      </c>
      <c r="AA27" s="20">
        <v>694.98932052786915</v>
      </c>
      <c r="AB27" s="20">
        <v>696.2834206753904</v>
      </c>
      <c r="AC27" s="20">
        <v>697.5582250401103</v>
      </c>
      <c r="AD27" s="20">
        <v>698.81440874951249</v>
      </c>
      <c r="AE27" s="20">
        <v>700.0526098713724</v>
      </c>
      <c r="AF27" s="20">
        <v>701.27343216448742</v>
      </c>
      <c r="AG27" s="20">
        <f t="shared" si="1"/>
        <v>701.27343216448742</v>
      </c>
      <c r="AH27" s="14">
        <v>478</v>
      </c>
    </row>
    <row r="28" spans="1:34" ht="9.9499999999999993" customHeight="1" x14ac:dyDescent="0.2">
      <c r="A28" s="20">
        <f t="shared" si="0"/>
        <v>0.39012079439869229</v>
      </c>
      <c r="B28" s="20">
        <v>0.39012079439869229</v>
      </c>
      <c r="C28" s="20">
        <v>0.9826980453555122</v>
      </c>
      <c r="D28" s="20">
        <v>1.9910053232357572</v>
      </c>
      <c r="E28" s="20">
        <v>3.2427201616456007</v>
      </c>
      <c r="F28" s="20">
        <v>5.8486845945012238</v>
      </c>
      <c r="G28" s="20">
        <v>650.60405652523298</v>
      </c>
      <c r="H28" s="20">
        <v>650.82908915997291</v>
      </c>
      <c r="I28" s="20">
        <v>650.94132759868035</v>
      </c>
      <c r="J28" s="20">
        <v>651.05338178161151</v>
      </c>
      <c r="K28" s="20">
        <v>651.2769403410299</v>
      </c>
      <c r="L28" s="20">
        <v>651.9432700090739</v>
      </c>
      <c r="M28" s="20">
        <v>652.38392517672901</v>
      </c>
      <c r="N28" s="20">
        <v>656.64328929564442</v>
      </c>
      <c r="O28" s="20">
        <v>660.66086573954453</v>
      </c>
      <c r="P28" s="20">
        <v>666.3000384495673</v>
      </c>
      <c r="Q28" s="20">
        <v>669.8362109110758</v>
      </c>
      <c r="R28" s="20">
        <v>673.21619815748772</v>
      </c>
      <c r="S28" s="20">
        <v>676.45571762403063</v>
      </c>
      <c r="T28" s="20">
        <v>679.56808984404972</v>
      </c>
      <c r="U28" s="20">
        <v>681.0802230409015</v>
      </c>
      <c r="V28" s="20">
        <v>682.56471599051304</v>
      </c>
      <c r="W28" s="20">
        <v>684.02275330240445</v>
      </c>
      <c r="X28" s="20">
        <v>685.45544019376132</v>
      </c>
      <c r="Y28" s="20">
        <v>686.86380965529133</v>
      </c>
      <c r="Z28" s="20">
        <v>688.24882881111364</v>
      </c>
      <c r="AA28" s="20">
        <v>689.61140458041723</v>
      </c>
      <c r="AB28" s="20">
        <v>690.9523887320471</v>
      </c>
      <c r="AC28" s="20">
        <v>692.2725824094681</v>
      </c>
      <c r="AD28" s="20">
        <v>693.57274019216538</v>
      </c>
      <c r="AE28" s="20">
        <v>694.853573750039</v>
      </c>
      <c r="AF28" s="20">
        <v>696.11575513938419</v>
      </c>
      <c r="AG28" s="20">
        <f t="shared" si="1"/>
        <v>696.11575513938419</v>
      </c>
      <c r="AH28" s="13">
        <v>486</v>
      </c>
    </row>
    <row r="29" spans="1:34" ht="9.9499999999999993" customHeight="1" x14ac:dyDescent="0.2">
      <c r="A29" s="20">
        <f t="shared" si="0"/>
        <v>0.38370523155361747</v>
      </c>
      <c r="B29" s="20">
        <v>0.38370523155361747</v>
      </c>
      <c r="C29" s="20">
        <v>0.96615455237625048</v>
      </c>
      <c r="D29" s="20">
        <v>1.9561160104741784</v>
      </c>
      <c r="E29" s="20">
        <v>3.1778856944694356</v>
      </c>
      <c r="F29" s="20">
        <v>4.1430224730297764</v>
      </c>
      <c r="G29" s="20">
        <v>643.25100110946357</v>
      </c>
      <c r="H29" s="20">
        <v>643.49155760011263</v>
      </c>
      <c r="I29" s="20">
        <v>643.61151336650028</v>
      </c>
      <c r="J29" s="20">
        <v>643.73125540174544</v>
      </c>
      <c r="K29" s="20">
        <v>643.97010200352611</v>
      </c>
      <c r="L29" s="20">
        <v>644.68160793965001</v>
      </c>
      <c r="M29" s="20">
        <v>645.15182190278063</v>
      </c>
      <c r="N29" s="20">
        <v>649.68456645756476</v>
      </c>
      <c r="O29" s="20">
        <v>653.94117727717139</v>
      </c>
      <c r="P29" s="20">
        <v>659.88880475679605</v>
      </c>
      <c r="Q29" s="20">
        <v>663.60408061367309</v>
      </c>
      <c r="R29" s="20">
        <v>667.14600418549844</v>
      </c>
      <c r="S29" s="20">
        <v>670.53292327387351</v>
      </c>
      <c r="T29" s="20">
        <v>673.78025275750645</v>
      </c>
      <c r="U29" s="20">
        <v>675.35574025076255</v>
      </c>
      <c r="V29" s="20">
        <v>676.90108535206093</v>
      </c>
      <c r="W29" s="20">
        <v>678.41763669773025</v>
      </c>
      <c r="X29" s="20">
        <v>679.90664871981642</v>
      </c>
      <c r="Y29" s="20">
        <v>681.36929049629737</v>
      </c>
      <c r="Z29" s="20">
        <v>682.80665356641077</v>
      </c>
      <c r="AA29" s="20">
        <v>684.21975885477639</v>
      </c>
      <c r="AB29" s="20">
        <v>685.6095628250398</v>
      </c>
      <c r="AC29" s="20">
        <v>686.97696296495076</v>
      </c>
      <c r="AD29" s="20">
        <v>688.32280268925513</v>
      </c>
      <c r="AE29" s="20">
        <v>689.64787573392664</v>
      </c>
      <c r="AF29" s="20">
        <v>690.95293010456362</v>
      </c>
      <c r="AG29" s="20">
        <f t="shared" si="1"/>
        <v>690.95293010456362</v>
      </c>
      <c r="AH29" s="14">
        <v>494</v>
      </c>
    </row>
    <row r="30" spans="1:34" ht="9.9499999999999993" customHeight="1" x14ac:dyDescent="0.2">
      <c r="A30" s="20">
        <f t="shared" si="0"/>
        <v>0.37750078452590935</v>
      </c>
      <c r="B30" s="20">
        <v>0.37750078452590935</v>
      </c>
      <c r="C30" s="20">
        <v>0.95018197328232001</v>
      </c>
      <c r="D30" s="20">
        <v>1.9225291687696064</v>
      </c>
      <c r="E30" s="20">
        <v>3.1206880402691115</v>
      </c>
      <c r="F30" s="20">
        <v>3.939778016783682</v>
      </c>
      <c r="G30" s="20">
        <v>49.874589167161034</v>
      </c>
      <c r="H30" s="20">
        <v>635.99373893635186</v>
      </c>
      <c r="I30" s="20">
        <v>636.1222977780501</v>
      </c>
      <c r="J30" s="20">
        <v>636.2506071410138</v>
      </c>
      <c r="K30" s="20">
        <v>636.50648216221714</v>
      </c>
      <c r="L30" s="20">
        <v>637.26824114720091</v>
      </c>
      <c r="M30" s="20">
        <v>637.77128266046225</v>
      </c>
      <c r="N30" s="20">
        <v>642.60571491005624</v>
      </c>
      <c r="O30" s="20">
        <v>647.12340261962731</v>
      </c>
      <c r="P30" s="20">
        <v>653.40447075080533</v>
      </c>
      <c r="Q30" s="20">
        <v>657.31169003904108</v>
      </c>
      <c r="R30" s="20">
        <v>661.02616952563289</v>
      </c>
      <c r="S30" s="20">
        <v>664.5693763477434</v>
      </c>
      <c r="T30" s="20">
        <v>667.95917935994157</v>
      </c>
      <c r="U30" s="20">
        <v>669.60135185294496</v>
      </c>
      <c r="V30" s="20">
        <v>671.21063250546274</v>
      </c>
      <c r="W30" s="20">
        <v>672.78855788679766</v>
      </c>
      <c r="X30" s="20">
        <v>674.33655269034693</v>
      </c>
      <c r="Y30" s="20">
        <v>675.85594067380475</v>
      </c>
      <c r="Z30" s="20">
        <v>677.34795426940047</v>
      </c>
      <c r="AA30" s="20">
        <v>678.81374305591203</v>
      </c>
      <c r="AB30" s="20">
        <v>680.25438125244614</v>
      </c>
      <c r="AC30" s="20">
        <v>681.67087436810675</v>
      </c>
      <c r="AD30" s="20">
        <v>683.06416512052374</v>
      </c>
      <c r="AE30" s="20">
        <v>684.43513871879975</v>
      </c>
      <c r="AF30" s="20">
        <v>685.78462759205604</v>
      </c>
      <c r="AG30" s="20">
        <f t="shared" si="1"/>
        <v>685.78462759205604</v>
      </c>
      <c r="AH30" s="13">
        <v>502</v>
      </c>
    </row>
    <row r="31" spans="1:34" ht="9.9499999999999993" customHeight="1" x14ac:dyDescent="0.2">
      <c r="A31" s="20">
        <f t="shared" si="0"/>
        <v>0.37149695441617037</v>
      </c>
      <c r="B31" s="20">
        <v>0.37149695441617037</v>
      </c>
      <c r="C31" s="20">
        <v>0.93474962600301348</v>
      </c>
      <c r="D31" s="20">
        <v>1.8901660175517609</v>
      </c>
      <c r="E31" s="20">
        <v>3.0657674162245461</v>
      </c>
      <c r="F31" s="20">
        <v>3.8682867289442227</v>
      </c>
      <c r="G31" s="20">
        <v>18.533550301821421</v>
      </c>
      <c r="H31" s="20">
        <v>628.31835658661646</v>
      </c>
      <c r="I31" s="20">
        <v>628.45656256691495</v>
      </c>
      <c r="J31" s="20">
        <v>628.59447528866247</v>
      </c>
      <c r="K31" s="20">
        <v>628.86942703294937</v>
      </c>
      <c r="L31" s="20">
        <v>629.68739979616385</v>
      </c>
      <c r="M31" s="20">
        <v>630.22709545674547</v>
      </c>
      <c r="N31" s="20">
        <v>635.39597855174441</v>
      </c>
      <c r="O31" s="20">
        <v>640.19977931800213</v>
      </c>
      <c r="P31" s="20">
        <v>646.84214272613008</v>
      </c>
      <c r="Q31" s="20">
        <v>650.95539339628817</v>
      </c>
      <c r="R31" s="20">
        <v>654.85395908307498</v>
      </c>
      <c r="S31" s="20">
        <v>658.56301616264682</v>
      </c>
      <c r="T31" s="20">
        <v>662.1033143756564</v>
      </c>
      <c r="U31" s="20">
        <v>663.81570686857424</v>
      </c>
      <c r="V31" s="20">
        <v>665.49218453985691</v>
      </c>
      <c r="W31" s="20">
        <v>667.13449942727914</v>
      </c>
      <c r="X31" s="20">
        <v>668.7442705947924</v>
      </c>
      <c r="Y31" s="20">
        <v>670.3229976677361</v>
      </c>
      <c r="Z31" s="20">
        <v>671.87207265747327</v>
      </c>
      <c r="AA31" s="20">
        <v>673.39279033154833</v>
      </c>
      <c r="AB31" s="20">
        <v>674.8863573414452</v>
      </c>
      <c r="AC31" s="20">
        <v>676.35390028451945</v>
      </c>
      <c r="AD31" s="20">
        <v>677.79647284780845</v>
      </c>
      <c r="AE31" s="20">
        <v>679.21506215789896</v>
      </c>
      <c r="AF31" s="20">
        <v>680.61059444170439</v>
      </c>
      <c r="AG31" s="20">
        <f t="shared" si="1"/>
        <v>680.61059444170439</v>
      </c>
      <c r="AH31" s="14">
        <v>510</v>
      </c>
    </row>
    <row r="32" spans="1:34" ht="9.9499999999999993" customHeight="1" x14ac:dyDescent="0.2">
      <c r="A32" s="20">
        <f t="shared" si="0"/>
        <v>0.36568394674908211</v>
      </c>
      <c r="B32" s="20">
        <v>0.36568394674908211</v>
      </c>
      <c r="C32" s="20">
        <v>0.91982911607287987</v>
      </c>
      <c r="D32" s="20">
        <v>1.8589545579195745</v>
      </c>
      <c r="E32" s="20">
        <v>3.0129723147067522</v>
      </c>
      <c r="F32" s="20">
        <v>3.7997210594774304</v>
      </c>
      <c r="G32" s="20">
        <v>11.023213409905933</v>
      </c>
      <c r="H32" s="20">
        <v>620.44532341318495</v>
      </c>
      <c r="I32" s="20">
        <v>620.59441940922591</v>
      </c>
      <c r="J32" s="20">
        <v>620.74316793769901</v>
      </c>
      <c r="K32" s="20">
        <v>621.03963049257516</v>
      </c>
      <c r="L32" s="20">
        <v>621.92088114463706</v>
      </c>
      <c r="M32" s="20">
        <v>622.50175071138096</v>
      </c>
      <c r="N32" s="20">
        <v>628.04329064117871</v>
      </c>
      <c r="O32" s="20">
        <v>633.16179232222203</v>
      </c>
      <c r="P32" s="20">
        <v>640.19661258850033</v>
      </c>
      <c r="Q32" s="20">
        <v>644.53138487824424</v>
      </c>
      <c r="R32" s="20">
        <v>648.62657314767057</v>
      </c>
      <c r="S32" s="20">
        <v>652.51177675434565</v>
      </c>
      <c r="T32" s="20">
        <v>656.21113403836785</v>
      </c>
      <c r="U32" s="20">
        <v>657.99749847557462</v>
      </c>
      <c r="V32" s="20">
        <v>659.74462251456555</v>
      </c>
      <c r="W32" s="20">
        <v>661.45450538333876</v>
      </c>
      <c r="X32" s="20">
        <v>663.12898813238019</v>
      </c>
      <c r="Y32" s="20">
        <v>664.76977039366454</v>
      </c>
      <c r="Z32" s="20">
        <v>666.37842493795154</v>
      </c>
      <c r="AA32" s="20">
        <v>667.95641037262931</v>
      </c>
      <c r="AB32" s="20">
        <v>669.50508226134468</v>
      </c>
      <c r="AC32" s="20">
        <v>671.0257028978541</v>
      </c>
      <c r="AD32" s="20">
        <v>672.51944992721178</v>
      </c>
      <c r="AE32" s="20">
        <v>673.98742397557464</v>
      </c>
      <c r="AF32" s="20">
        <v>675.4306554239613</v>
      </c>
      <c r="AG32" s="20">
        <f t="shared" si="1"/>
        <v>675.4306554239613</v>
      </c>
      <c r="AH32" s="13">
        <v>518</v>
      </c>
    </row>
    <row r="33" spans="1:34" ht="9.9499999999999993" customHeight="1" x14ac:dyDescent="0.2">
      <c r="A33" s="20">
        <f t="shared" si="0"/>
        <v>0.36005261173665143</v>
      </c>
      <c r="B33" s="20">
        <v>0.36005261173665143</v>
      </c>
      <c r="C33" s="20">
        <v>0.90539411711737805</v>
      </c>
      <c r="D33" s="20">
        <v>1.8288288154988801</v>
      </c>
      <c r="E33" s="20">
        <v>2.9621657608004441</v>
      </c>
      <c r="F33" s="20">
        <v>3.7338781275639921</v>
      </c>
      <c r="G33" s="20">
        <v>7.8111960704283314</v>
      </c>
      <c r="H33" s="20">
        <v>48.069751155912563</v>
      </c>
      <c r="I33" s="20">
        <v>612.51250976776726</v>
      </c>
      <c r="J33" s="20">
        <v>612.67357645808136</v>
      </c>
      <c r="K33" s="20">
        <v>612.99447396387109</v>
      </c>
      <c r="L33" s="20">
        <v>613.94746234456977</v>
      </c>
      <c r="M33" s="20">
        <v>614.57489786246333</v>
      </c>
      <c r="N33" s="20">
        <v>620.53401948430178</v>
      </c>
      <c r="O33" s="20">
        <v>626.00005379579784</v>
      </c>
      <c r="P33" s="20">
        <v>633.46232118628416</v>
      </c>
      <c r="Q33" s="20">
        <v>638.035684483566</v>
      </c>
      <c r="R33" s="20">
        <v>642.34114423205642</v>
      </c>
      <c r="S33" s="20">
        <v>646.41358886265562</v>
      </c>
      <c r="T33" s="20">
        <v>650.28115019452309</v>
      </c>
      <c r="U33" s="20">
        <v>652.14546852848503</v>
      </c>
      <c r="V33" s="20">
        <v>653.96688612745504</v>
      </c>
      <c r="W33" s="20">
        <v>655.74768595488229</v>
      </c>
      <c r="X33" s="20">
        <v>657.48996267330051</v>
      </c>
      <c r="Y33" s="20">
        <v>659.19564340984857</v>
      </c>
      <c r="Z33" s="20">
        <v>660.86650568619177</v>
      </c>
      <c r="AA33" s="20">
        <v>662.50419297043379</v>
      </c>
      <c r="AB33" s="20">
        <v>664.11022822405039</v>
      </c>
      <c r="AC33" s="20">
        <v>665.68602574977513</v>
      </c>
      <c r="AD33" s="20">
        <v>667.2329015928425</v>
      </c>
      <c r="AE33" s="20">
        <v>668.75208270492658</v>
      </c>
      <c r="AF33" s="20">
        <v>670.24471504534381</v>
      </c>
      <c r="AG33" s="20">
        <f t="shared" si="1"/>
        <v>670.24471504534381</v>
      </c>
      <c r="AH33" s="14">
        <v>526</v>
      </c>
    </row>
    <row r="34" spans="1:34" ht="9.9499999999999993" customHeight="1" x14ac:dyDescent="0.2">
      <c r="A34" s="20">
        <f t="shared" si="0"/>
        <v>0.35459439065596882</v>
      </c>
      <c r="B34" s="20">
        <v>0.35459439065596882</v>
      </c>
      <c r="C34" s="20">
        <v>0.89142017695189402</v>
      </c>
      <c r="D34" s="20">
        <v>1.7997281859347072</v>
      </c>
      <c r="E34" s="20">
        <v>2.9132235048072186</v>
      </c>
      <c r="F34" s="20">
        <v>3.6705754173124783</v>
      </c>
      <c r="G34" s="20">
        <v>7.6591516105770578</v>
      </c>
      <c r="H34" s="20">
        <v>22.011334771943915</v>
      </c>
      <c r="I34" s="20">
        <v>62.026777038785561</v>
      </c>
      <c r="J34" s="20">
        <v>604.35825831930674</v>
      </c>
      <c r="K34" s="20">
        <v>604.70714722203729</v>
      </c>
      <c r="L34" s="20">
        <v>605.7421253780368</v>
      </c>
      <c r="M34" s="20">
        <v>606.42263231545985</v>
      </c>
      <c r="N34" s="20">
        <v>612.85265217065717</v>
      </c>
      <c r="O34" s="20">
        <v>618.70416078459584</v>
      </c>
      <c r="P34" s="20">
        <v>626.63331829567517</v>
      </c>
      <c r="Q34" s="20">
        <v>631.46412396883989</v>
      </c>
      <c r="R34" s="20">
        <v>635.99473515058116</v>
      </c>
      <c r="S34" s="20">
        <v>640.26638333994777</v>
      </c>
      <c r="T34" s="20">
        <v>644.31191567543738</v>
      </c>
      <c r="U34" s="20">
        <v>646.2584132265622</v>
      </c>
      <c r="V34" s="20">
        <v>648.15797940373784</v>
      </c>
      <c r="W34" s="20">
        <v>650.01322300071865</v>
      </c>
      <c r="X34" s="20">
        <v>651.82652849361273</v>
      </c>
      <c r="Y34" s="20">
        <v>653.60008178688406</v>
      </c>
      <c r="Z34" s="20">
        <v>655.33589230552013</v>
      </c>
      <c r="AA34" s="20">
        <v>657.03581204538546</v>
      </c>
      <c r="AB34" s="20">
        <v>658.70155207651896</v>
      </c>
      <c r="AC34" s="20">
        <v>660.33469690197148</v>
      </c>
      <c r="AD34" s="20">
        <v>661.93671700186655</v>
      </c>
      <c r="AE34" s="20">
        <v>663.50897983423727</v>
      </c>
      <c r="AF34" s="20">
        <v>665.0527595175746</v>
      </c>
      <c r="AG34" s="20">
        <f t="shared" si="1"/>
        <v>665.0527595175746</v>
      </c>
      <c r="AH34" s="13">
        <v>534</v>
      </c>
    </row>
    <row r="35" spans="1:34" ht="9.9499999999999993" customHeight="1" x14ac:dyDescent="0.2">
      <c r="A35" s="20">
        <f t="shared" si="0"/>
        <v>0.34930126761169999</v>
      </c>
      <c r="B35" s="20">
        <v>0.34930126761169999</v>
      </c>
      <c r="C35" s="20">
        <v>0.87788454580469077</v>
      </c>
      <c r="D35" s="20">
        <v>1.7715968668066169</v>
      </c>
      <c r="E35" s="20">
        <v>2.8660324869370903</v>
      </c>
      <c r="F35" s="20">
        <v>3.6096481297481353</v>
      </c>
      <c r="G35" s="20">
        <v>7.5143511494286717</v>
      </c>
      <c r="H35" s="20">
        <v>13.84471296891374</v>
      </c>
      <c r="I35" s="20">
        <v>26.596202864758766</v>
      </c>
      <c r="J35" s="20">
        <v>68.404754116977742</v>
      </c>
      <c r="K35" s="20">
        <v>596.1454548087537</v>
      </c>
      <c r="L35" s="20">
        <v>597.27501565970704</v>
      </c>
      <c r="M35" s="20">
        <v>598.01654377042973</v>
      </c>
      <c r="N35" s="20">
        <v>604.98139734369545</v>
      </c>
      <c r="O35" s="20">
        <v>611.26252594533639</v>
      </c>
      <c r="P35" s="20">
        <v>619.70321925969563</v>
      </c>
      <c r="Q35" s="20">
        <v>624.81233339642426</v>
      </c>
      <c r="R35" s="20">
        <v>629.58433879555901</v>
      </c>
      <c r="S35" s="20">
        <v>634.06809632266788</v>
      </c>
      <c r="T35" s="20">
        <v>638.30203116215341</v>
      </c>
      <c r="U35" s="20">
        <v>640.33519010574685</v>
      </c>
      <c r="V35" s="20">
        <v>642.31697753968717</v>
      </c>
      <c r="W35" s="20">
        <v>644.25037655578581</v>
      </c>
      <c r="X35" s="20">
        <v>646.13810285583043</v>
      </c>
      <c r="Y35" s="20">
        <v>647.98263668904644</v>
      </c>
      <c r="Z35" s="20">
        <v>649.78625007972528</v>
      </c>
      <c r="AA35" s="20">
        <v>651.55103016372595</v>
      </c>
      <c r="AB35" s="20">
        <v>653.27889928992147</v>
      </c>
      <c r="AC35" s="20">
        <v>654.97163241614635</v>
      </c>
      <c r="AD35" s="20">
        <v>656.63087222996819</v>
      </c>
      <c r="AE35" s="20">
        <v>658.25814234621021</v>
      </c>
      <c r="AF35" s="20">
        <v>659.85485887073082</v>
      </c>
      <c r="AG35" s="20">
        <f t="shared" si="1"/>
        <v>659.85485887073082</v>
      </c>
      <c r="AH35" s="14">
        <v>542</v>
      </c>
    </row>
    <row r="36" spans="1:34" ht="9.9499999999999993" customHeight="1" x14ac:dyDescent="0.2">
      <c r="A36" s="20">
        <f t="shared" si="0"/>
        <v>0.34416572605265933</v>
      </c>
      <c r="B36" s="20">
        <v>0.34416572605265933</v>
      </c>
      <c r="C36" s="20">
        <v>0.86476602371521938</v>
      </c>
      <c r="D36" s="20">
        <v>1.7443833626663616</v>
      </c>
      <c r="E36" s="20">
        <v>2.8204895264574756</v>
      </c>
      <c r="F36" s="20">
        <v>3.5509469510991201</v>
      </c>
      <c r="G36" s="20">
        <v>7.3761850253449559</v>
      </c>
      <c r="H36" s="20">
        <v>11.539415936462444</v>
      </c>
      <c r="I36" s="20">
        <v>16.399927614042394</v>
      </c>
      <c r="J36" s="20">
        <v>29.542732902221282</v>
      </c>
      <c r="K36" s="20">
        <v>587.27015965799058</v>
      </c>
      <c r="L36" s="20">
        <v>588.51001406158548</v>
      </c>
      <c r="M36" s="20">
        <v>589.32242133607201</v>
      </c>
      <c r="N36" s="20">
        <v>596.89968083504289</v>
      </c>
      <c r="O36" s="20">
        <v>603.6621754039445</v>
      </c>
      <c r="P36" s="20">
        <v>612.66515847685275</v>
      </c>
      <c r="Q36" s="20">
        <v>618.0757289435038</v>
      </c>
      <c r="R36" s="20">
        <v>623.10688019864097</v>
      </c>
      <c r="S36" s="20">
        <v>627.81667657981723</v>
      </c>
      <c r="T36" s="20">
        <v>632.25015380473144</v>
      </c>
      <c r="U36" s="20">
        <v>634.37472655594593</v>
      </c>
      <c r="V36" s="20">
        <v>636.4430350527839</v>
      </c>
      <c r="W36" s="20">
        <v>638.45849245329373</v>
      </c>
      <c r="X36" s="20">
        <v>640.42419301333473</v>
      </c>
      <c r="Y36" s="20">
        <v>642.34295171946133</v>
      </c>
      <c r="Z36" s="20">
        <v>644.21733784977596</v>
      </c>
      <c r="AA36" s="20">
        <v>646.04970355780404</v>
      </c>
      <c r="AB36" s="20">
        <v>647.84220834904261</v>
      </c>
      <c r="AC36" s="20">
        <v>649.59684014624122</v>
      </c>
      <c r="AD36" s="20">
        <v>651.31543350459629</v>
      </c>
      <c r="AE36" s="20">
        <v>652.99968543239152</v>
      </c>
      <c r="AF36" s="20">
        <v>654.6511691892407</v>
      </c>
      <c r="AG36" s="20">
        <f t="shared" si="1"/>
        <v>654.6511691892407</v>
      </c>
      <c r="AH36" s="13">
        <v>550</v>
      </c>
    </row>
    <row r="37" spans="1:34" ht="9.9499999999999993" customHeight="1" x14ac:dyDescent="0.2">
      <c r="A37" s="20">
        <f t="shared" si="0"/>
        <v>0.33918070949583029</v>
      </c>
      <c r="B37" s="20">
        <v>0.33918070949583029</v>
      </c>
      <c r="C37" s="20">
        <v>0.85204482460625852</v>
      </c>
      <c r="D37" s="20">
        <v>1.7180400522254156</v>
      </c>
      <c r="E37" s="20">
        <v>2.7765001970915675</v>
      </c>
      <c r="F37" s="20">
        <v>3.4943361611986896</v>
      </c>
      <c r="G37" s="20">
        <v>7.2441180254406667</v>
      </c>
      <c r="H37" s="20">
        <v>11.30438923146335</v>
      </c>
      <c r="I37" s="20">
        <v>13.474105478104411</v>
      </c>
      <c r="J37" s="20">
        <v>18.250224495949332</v>
      </c>
      <c r="K37" s="20">
        <v>60.91868161910422</v>
      </c>
      <c r="L37" s="20">
        <v>579.40273240539227</v>
      </c>
      <c r="M37" s="20">
        <v>580.29845216386741</v>
      </c>
      <c r="N37" s="20">
        <v>588.58349757896087</v>
      </c>
      <c r="O37" s="20">
        <v>595.8885064054997</v>
      </c>
      <c r="P37" s="20">
        <v>605.51174023634417</v>
      </c>
      <c r="Q37" s="20">
        <v>611.24950290120739</v>
      </c>
      <c r="R37" s="20">
        <v>616.55922162487684</v>
      </c>
      <c r="S37" s="20">
        <v>621.51009553634219</v>
      </c>
      <c r="T37" s="20">
        <v>626.15500789698831</v>
      </c>
      <c r="U37" s="20">
        <v>628.37603009052089</v>
      </c>
      <c r="V37" s="20">
        <v>630.53539540536622</v>
      </c>
      <c r="W37" s="20">
        <v>632.63701117124583</v>
      </c>
      <c r="X37" s="20">
        <v>634.68440422062554</v>
      </c>
      <c r="Y37" s="20">
        <v>636.68077008199396</v>
      </c>
      <c r="Z37" s="20">
        <v>638.62901434526077</v>
      </c>
      <c r="AA37" s="20">
        <v>640.53178766343387</v>
      </c>
      <c r="AB37" s="20">
        <v>642.39151554258547</v>
      </c>
      <c r="AC37" s="20">
        <v>644.21042383413896</v>
      </c>
      <c r="AD37" s="20">
        <v>645.99056066044125</v>
      </c>
      <c r="AE37" s="20">
        <v>647.7338153624645</v>
      </c>
      <c r="AF37" s="20">
        <v>649.44193494725846</v>
      </c>
      <c r="AG37" s="20">
        <f t="shared" si="1"/>
        <v>649.44193494725846</v>
      </c>
      <c r="AH37" s="14">
        <v>558</v>
      </c>
    </row>
    <row r="38" spans="1:34" ht="9.9499999999999993" customHeight="1" x14ac:dyDescent="0.2">
      <c r="A38" s="20">
        <f t="shared" si="0"/>
        <v>0.3343395859826816</v>
      </c>
      <c r="B38" s="20">
        <v>0.3343395859826816</v>
      </c>
      <c r="C38" s="20">
        <v>0.83970245489952433</v>
      </c>
      <c r="D38" s="20">
        <v>1.6925228085933057</v>
      </c>
      <c r="E38" s="20">
        <v>2.7339778578687732</v>
      </c>
      <c r="F38" s="20">
        <v>3.439692021711064</v>
      </c>
      <c r="G38" s="20">
        <v>7.1176777013538599</v>
      </c>
      <c r="H38" s="20">
        <v>11.081693627793637</v>
      </c>
      <c r="I38" s="20">
        <v>13.190635064742297</v>
      </c>
      <c r="J38" s="20">
        <v>15.397824650450907</v>
      </c>
      <c r="K38" s="20">
        <v>30.526747665793945</v>
      </c>
      <c r="L38" s="20">
        <v>569.8976215782194</v>
      </c>
      <c r="M38" s="20">
        <v>570.89265012555609</v>
      </c>
      <c r="N38" s="20">
        <v>580.00456778609293</v>
      </c>
      <c r="O38" s="20">
        <v>587.92499569005054</v>
      </c>
      <c r="P38" s="20">
        <v>598.23498784984156</v>
      </c>
      <c r="Q38" s="20">
        <v>604.32861713744228</v>
      </c>
      <c r="R38" s="20">
        <v>609.93817163939514</v>
      </c>
      <c r="S38" s="20">
        <v>615.14636056272104</v>
      </c>
      <c r="T38" s="20">
        <v>620.01539794712403</v>
      </c>
      <c r="U38" s="20">
        <v>622.33820061846654</v>
      </c>
      <c r="V38" s="20">
        <v>624.59340228154224</v>
      </c>
      <c r="W38" s="20">
        <v>626.78547802818093</v>
      </c>
      <c r="X38" s="20">
        <v>628.9184488321041</v>
      </c>
      <c r="Y38" s="20">
        <v>630.99594261051857</v>
      </c>
      <c r="Z38" s="20">
        <v>633.02124519713948</v>
      </c>
      <c r="AA38" s="20">
        <v>634.99734318308458</v>
      </c>
      <c r="AB38" s="20">
        <v>636.92696015015588</v>
      </c>
      <c r="AC38" s="20">
        <v>638.81258749534129</v>
      </c>
      <c r="AD38" s="20">
        <v>640.656510797235</v>
      </c>
      <c r="AE38" s="20">
        <v>642.46083248427647</v>
      </c>
      <c r="AF38" s="20">
        <v>644.22749141668146</v>
      </c>
      <c r="AG38" s="20">
        <f t="shared" si="1"/>
        <v>644.22749141668146</v>
      </c>
      <c r="AH38" s="13">
        <v>566</v>
      </c>
    </row>
    <row r="39" spans="1:34" ht="9.9499999999999993" customHeight="1" x14ac:dyDescent="0.2">
      <c r="A39" s="20">
        <f t="shared" si="0"/>
        <v>0.32963611585366093</v>
      </c>
      <c r="B39" s="20">
        <v>0.32963611585366093</v>
      </c>
      <c r="C39" s="20">
        <v>0.82772160485389301</v>
      </c>
      <c r="D39" s="20">
        <v>1.6677906649827159</v>
      </c>
      <c r="E39" s="20">
        <v>2.692842814431351</v>
      </c>
      <c r="F39" s="20">
        <v>3.3869013960733017</v>
      </c>
      <c r="G39" s="20">
        <v>6.9964448888540307</v>
      </c>
      <c r="H39" s="20">
        <v>10.870168317790451</v>
      </c>
      <c r="I39" s="20">
        <v>12.922901720294147</v>
      </c>
      <c r="J39" s="20">
        <v>15.064301598634199</v>
      </c>
      <c r="K39" s="20">
        <v>19.784045475640639</v>
      </c>
      <c r="L39" s="20">
        <v>559.9236621490362</v>
      </c>
      <c r="M39" s="20">
        <v>561.03907253070986</v>
      </c>
      <c r="N39" s="20">
        <v>571.12922200397827</v>
      </c>
      <c r="O39" s="20">
        <v>579.75284745228896</v>
      </c>
      <c r="P39" s="20">
        <v>590.82629270138943</v>
      </c>
      <c r="Q39" s="20">
        <v>597.30780174480185</v>
      </c>
      <c r="R39" s="20">
        <v>603.24049931509933</v>
      </c>
      <c r="S39" s="20">
        <v>608.72353222306288</v>
      </c>
      <c r="T39" s="20">
        <v>613.83022452179659</v>
      </c>
      <c r="U39" s="20">
        <v>616.26044498927115</v>
      </c>
      <c r="V39" s="20">
        <v>618.61651270508821</v>
      </c>
      <c r="W39" s="20">
        <v>620.90355485364341</v>
      </c>
      <c r="X39" s="20">
        <v>623.12615656831179</v>
      </c>
      <c r="Y39" s="20">
        <v>625.28843671001243</v>
      </c>
      <c r="Z39" s="20">
        <v>627.39411065108527</v>
      </c>
      <c r="AA39" s="20">
        <v>629.4465426760861</v>
      </c>
      <c r="AB39" s="20">
        <v>631.44879001437926</v>
      </c>
      <c r="AC39" s="20">
        <v>633.40364007441804</v>
      </c>
      <c r="AD39" s="20">
        <v>635.31364211401717</v>
      </c>
      <c r="AE39" s="20">
        <v>637.18113432534722</v>
      </c>
      <c r="AF39" s="20">
        <v>639.00826711682771</v>
      </c>
      <c r="AG39" s="20">
        <f t="shared" si="1"/>
        <v>639.00826711682771</v>
      </c>
      <c r="AH39" s="14">
        <v>574</v>
      </c>
    </row>
    <row r="40" spans="1:34" ht="9.9499999999999993" customHeight="1" x14ac:dyDescent="0.2">
      <c r="A40" s="20">
        <f t="shared" si="0"/>
        <v>0.32506442247900291</v>
      </c>
      <c r="B40" s="20">
        <v>0.32506442247900291</v>
      </c>
      <c r="C40" s="20">
        <v>0.81608605106459509</v>
      </c>
      <c r="D40" s="20">
        <v>1.6438055195291248</v>
      </c>
      <c r="E40" s="20">
        <v>2.6530215903721532</v>
      </c>
      <c r="F40" s="20">
        <v>3.3358605624563582</v>
      </c>
      <c r="G40" s="20">
        <v>6.8800459505199694</v>
      </c>
      <c r="H40" s="20">
        <v>10.668810488418757</v>
      </c>
      <c r="I40" s="20">
        <v>12.669330390025651</v>
      </c>
      <c r="J40" s="20">
        <v>14.750239371686716</v>
      </c>
      <c r="K40" s="20">
        <v>19.190413098621558</v>
      </c>
      <c r="L40" s="20">
        <v>549.38768784500007</v>
      </c>
      <c r="M40" s="20">
        <v>550.65204859895118</v>
      </c>
      <c r="N40" s="20">
        <v>561.91690357068501</v>
      </c>
      <c r="O40" s="20">
        <v>571.35056733786439</v>
      </c>
      <c r="P40" s="20">
        <v>583.27636581930881</v>
      </c>
      <c r="Q40" s="20">
        <v>590.18156117050046</v>
      </c>
      <c r="R40" s="20">
        <v>596.46295501632687</v>
      </c>
      <c r="S40" s="20">
        <v>602.23974627947405</v>
      </c>
      <c r="T40" s="20">
        <v>607.59850327270271</v>
      </c>
      <c r="U40" s="20">
        <v>610.14209409310251</v>
      </c>
      <c r="V40" s="20">
        <v>612.60431218701399</v>
      </c>
      <c r="W40" s="20">
        <v>614.99103325294777</v>
      </c>
      <c r="X40" s="20">
        <v>617.3074860189264</v>
      </c>
      <c r="Y40" s="20">
        <v>619.55834624270892</v>
      </c>
      <c r="Z40" s="20">
        <v>621.74781398915047</v>
      </c>
      <c r="AA40" s="20">
        <v>623.87967766597774</v>
      </c>
      <c r="AB40" s="20">
        <v>625.95736747649698</v>
      </c>
      <c r="AC40" s="20">
        <v>627.984000341041</v>
      </c>
      <c r="AD40" s="20">
        <v>629.96241788628936</v>
      </c>
      <c r="AE40" s="20">
        <v>631.89521876011702</v>
      </c>
      <c r="AF40" s="20">
        <v>633.78478626944911</v>
      </c>
      <c r="AG40" s="20">
        <f t="shared" si="1"/>
        <v>633.78478626944911</v>
      </c>
      <c r="AH40" s="13">
        <v>582</v>
      </c>
    </row>
    <row r="41" spans="1:34" ht="9.9499999999999993" customHeight="1" x14ac:dyDescent="0.2">
      <c r="A41" s="20">
        <f t="shared" si="0"/>
        <v>0.32061896562890552</v>
      </c>
      <c r="B41" s="20">
        <v>0.32061896562890552</v>
      </c>
      <c r="C41" s="20">
        <v>0.80478056877963244</v>
      </c>
      <c r="D41" s="20">
        <v>1.6205318738796826</v>
      </c>
      <c r="E41" s="20">
        <v>2.614446291806277</v>
      </c>
      <c r="F41" s="20">
        <v>3.2864741883805522</v>
      </c>
      <c r="G41" s="20">
        <v>6.7681463792905383</v>
      </c>
      <c r="H41" s="20">
        <v>10.476747792863502</v>
      </c>
      <c r="I41" s="20">
        <v>12.428573267497219</v>
      </c>
      <c r="J41" s="20">
        <v>14.453584552114535</v>
      </c>
      <c r="K41" s="20">
        <v>18.754093160970935</v>
      </c>
      <c r="L41" s="20">
        <v>85.42268333261957</v>
      </c>
      <c r="M41" s="20">
        <v>539.61697898152977</v>
      </c>
      <c r="N41" s="20">
        <v>552.31811969359489</v>
      </c>
      <c r="O41" s="20">
        <v>562.69344633395394</v>
      </c>
      <c r="P41" s="20">
        <v>575.57519599468333</v>
      </c>
      <c r="Q41" s="20">
        <v>582.94419085605807</v>
      </c>
      <c r="R41" s="20">
        <v>589.60229949699954</v>
      </c>
      <c r="S41" s="20">
        <v>595.69324135452382</v>
      </c>
      <c r="T41" s="20">
        <v>601.319387575929</v>
      </c>
      <c r="U41" s="20">
        <v>603.98262280092092</v>
      </c>
      <c r="V41" s="20">
        <v>606.5565320824428</v>
      </c>
      <c r="W41" s="20">
        <v>609.04784957109894</v>
      </c>
      <c r="X41" s="20">
        <v>611.46253743476746</v>
      </c>
      <c r="Y41" s="20">
        <v>613.80590237513422</v>
      </c>
      <c r="Z41" s="20">
        <v>616.08269065095578</v>
      </c>
      <c r="AA41" s="20">
        <v>618.2971662400746</v>
      </c>
      <c r="AB41" s="20">
        <v>620.45317564050276</v>
      </c>
      <c r="AC41" s="20">
        <v>622.55420198602144</v>
      </c>
      <c r="AD41" s="20">
        <v>624.60341054286346</v>
      </c>
      <c r="AE41" s="20">
        <v>626.60368719926453</v>
      </c>
      <c r="AF41" s="20">
        <v>628.557671216372</v>
      </c>
      <c r="AG41" s="20">
        <f t="shared" si="1"/>
        <v>628.557671216372</v>
      </c>
      <c r="AH41" s="14">
        <v>590</v>
      </c>
    </row>
    <row r="42" spans="1:34" ht="9.9499999999999993" customHeight="1" x14ac:dyDescent="0.2">
      <c r="A42" s="20">
        <f t="shared" si="0"/>
        <v>0.31629451720478052</v>
      </c>
      <c r="B42" s="20">
        <v>0.31629451720478052</v>
      </c>
      <c r="C42" s="20">
        <v>0.7937908528736638</v>
      </c>
      <c r="D42" s="20">
        <v>1.5979366010343106</v>
      </c>
      <c r="E42" s="20">
        <v>2.5770540512830378</v>
      </c>
      <c r="F42" s="20">
        <v>3.2386544413894471</v>
      </c>
      <c r="G42" s="20">
        <v>6.6604454865464184</v>
      </c>
      <c r="H42" s="20">
        <v>10.293216577410043</v>
      </c>
      <c r="I42" s="20">
        <v>12.199467922601935</v>
      </c>
      <c r="J42" s="20">
        <v>14.172595183747283</v>
      </c>
      <c r="K42" s="20">
        <v>18.345384999605855</v>
      </c>
      <c r="L42" s="20">
        <v>43.768063899819005</v>
      </c>
      <c r="M42" s="20">
        <v>527.77484494992711</v>
      </c>
      <c r="N42" s="20">
        <v>542.27157902714453</v>
      </c>
      <c r="O42" s="20">
        <v>553.75293602587021</v>
      </c>
      <c r="P42" s="20">
        <v>567.71202050118541</v>
      </c>
      <c r="Q42" s="20">
        <v>575.58980832665702</v>
      </c>
      <c r="R42" s="20">
        <v>582.65534338579755</v>
      </c>
      <c r="S42" s="20">
        <v>589.08239324708234</v>
      </c>
      <c r="T42" s="20">
        <v>594.99219521884106</v>
      </c>
      <c r="U42" s="20">
        <v>597.78167301549922</v>
      </c>
      <c r="V42" s="20">
        <v>600.47306931382911</v>
      </c>
      <c r="W42" s="20">
        <v>603.07410163459394</v>
      </c>
      <c r="X42" s="20">
        <v>605.59156683463516</v>
      </c>
      <c r="Y42" s="20">
        <v>608.03148537695836</v>
      </c>
      <c r="Z42" s="20">
        <v>610.39921802313211</v>
      </c>
      <c r="AA42" s="20">
        <v>612.69956109666134</v>
      </c>
      <c r="AB42" s="20">
        <v>614.93682491406867</v>
      </c>
      <c r="AC42" s="20">
        <v>617.11489886264064</v>
      </c>
      <c r="AD42" s="20">
        <v>619.23730578759285</v>
      </c>
      <c r="AE42" s="20">
        <v>621.3072477480099</v>
      </c>
      <c r="AF42" s="20">
        <v>623.32764474956946</v>
      </c>
      <c r="AG42" s="20">
        <f t="shared" si="1"/>
        <v>623.32764474956946</v>
      </c>
      <c r="AH42" s="13">
        <v>598</v>
      </c>
    </row>
    <row r="43" spans="1:34" ht="9.9499999999999993" customHeight="1" x14ac:dyDescent="0.2">
      <c r="A43" s="20">
        <f t="shared" si="0"/>
        <v>0.31208613908671795</v>
      </c>
      <c r="B43" s="20">
        <v>0.31208613908671795</v>
      </c>
      <c r="C43" s="20">
        <v>0.78310344647541541</v>
      </c>
      <c r="D43" s="20">
        <v>1.5759887386069402</v>
      </c>
      <c r="E43" s="20">
        <v>2.5407865394873919</v>
      </c>
      <c r="F43" s="20">
        <v>3.1923202147686154</v>
      </c>
      <c r="G43" s="20">
        <v>6.5566719615886724</v>
      </c>
      <c r="H43" s="20">
        <v>10.117544475197251</v>
      </c>
      <c r="I43" s="20">
        <v>11.981004675646775</v>
      </c>
      <c r="J43" s="20">
        <v>13.905780570326504</v>
      </c>
      <c r="K43" s="20">
        <v>17.96111947590385</v>
      </c>
      <c r="L43" s="20">
        <v>32.365835089397791</v>
      </c>
      <c r="M43" s="20">
        <v>105.52916147765735</v>
      </c>
      <c r="N43" s="20">
        <v>531.70009666379804</v>
      </c>
      <c r="O43" s="20">
        <v>544.49589545921901</v>
      </c>
      <c r="P43" s="20">
        <v>559.67531733308579</v>
      </c>
      <c r="Q43" s="20">
        <v>568.1124037828539</v>
      </c>
      <c r="R43" s="20">
        <v>575.61899947987774</v>
      </c>
      <c r="S43" s="20">
        <v>582.40575696571443</v>
      </c>
      <c r="T43" s="20">
        <v>588.61643954885892</v>
      </c>
      <c r="U43" s="20">
        <v>591.53908006917345</v>
      </c>
      <c r="V43" s="20">
        <v>594.35400857706577</v>
      </c>
      <c r="W43" s="20">
        <v>597.07006730935814</v>
      </c>
      <c r="X43" s="20">
        <v>599.6950014151297</v>
      </c>
      <c r="Y43" s="20">
        <v>602.23563732900402</v>
      </c>
      <c r="Z43" s="20">
        <v>604.69802583664625</v>
      </c>
      <c r="AA43" s="20">
        <v>607.0875579705596</v>
      </c>
      <c r="AB43" s="20">
        <v>609.40905975397561</v>
      </c>
      <c r="AC43" s="20">
        <v>611.66687030174455</v>
      </c>
      <c r="AD43" s="20">
        <v>613.86490669756552</v>
      </c>
      <c r="AE43" s="20">
        <v>616.00671826951168</v>
      </c>
      <c r="AF43" s="20">
        <v>618.09553229503388</v>
      </c>
      <c r="AG43" s="20">
        <f t="shared" si="1"/>
        <v>618.09553229503388</v>
      </c>
      <c r="AH43" s="14">
        <v>606</v>
      </c>
    </row>
    <row r="44" spans="1:34" ht="9.9499999999999993" customHeight="1" x14ac:dyDescent="0.2">
      <c r="A44" s="20">
        <f t="shared" si="0"/>
        <v>0.30798916288121392</v>
      </c>
      <c r="B44" s="20">
        <v>0.30798916288121392</v>
      </c>
      <c r="C44" s="20">
        <v>0.77270567637725918</v>
      </c>
      <c r="D44" s="20">
        <v>1.5546593042442565</v>
      </c>
      <c r="E44" s="20">
        <v>2.5055895350833706</v>
      </c>
      <c r="F44" s="20">
        <v>3.1473964509663985</v>
      </c>
      <c r="G44" s="20">
        <v>6.4565801365950408</v>
      </c>
      <c r="H44" s="20">
        <v>9.9491363541016309</v>
      </c>
      <c r="I44" s="20">
        <v>11.772300863163705</v>
      </c>
      <c r="J44" s="20">
        <v>13.651854999629595</v>
      </c>
      <c r="K44" s="20">
        <v>17.598647802157238</v>
      </c>
      <c r="L44" s="20">
        <v>31.424380785747381</v>
      </c>
      <c r="M44" s="20">
        <v>53.409501901021024</v>
      </c>
      <c r="N44" s="20">
        <v>520.50457420388557</v>
      </c>
      <c r="O44" s="20">
        <v>534.88369182062229</v>
      </c>
      <c r="P44" s="20">
        <v>551.45283184513232</v>
      </c>
      <c r="Q44" s="20">
        <v>560.50591656061476</v>
      </c>
      <c r="R44" s="20">
        <v>568.49035060315896</v>
      </c>
      <c r="S44" s="20">
        <v>575.66211756806365</v>
      </c>
      <c r="T44" s="20">
        <v>582.19186544256195</v>
      </c>
      <c r="U44" s="20">
        <v>585.25490264015798</v>
      </c>
      <c r="V44" s="20">
        <v>588.19964708387863</v>
      </c>
      <c r="W44" s="20">
        <v>591.03622485509948</v>
      </c>
      <c r="X44" s="20">
        <v>593.77345620061328</v>
      </c>
      <c r="Y44" s="20">
        <v>596.41907565415283</v>
      </c>
      <c r="Z44" s="20">
        <v>598.97990707513657</v>
      </c>
      <c r="AA44" s="20">
        <v>601.46200433774857</v>
      </c>
      <c r="AB44" s="20">
        <v>603.87076551931227</v>
      </c>
      <c r="AC44" s="20">
        <v>606.21102640946322</v>
      </c>
      <c r="AD44" s="20">
        <v>608.48713771384291</v>
      </c>
      <c r="AE44" s="20">
        <v>610.70302927737191</v>
      </c>
      <c r="AF44" s="20">
        <v>612.86226388254977</v>
      </c>
      <c r="AG44" s="20">
        <f t="shared" si="1"/>
        <v>612.86226388254977</v>
      </c>
      <c r="AH44" s="13">
        <v>614</v>
      </c>
    </row>
    <row r="45" spans="1:34" ht="9.9499999999999993" customHeight="1" x14ac:dyDescent="0.2">
      <c r="A45" s="20">
        <f t="shared" si="0"/>
        <v>0.30399917137834925</v>
      </c>
      <c r="B45" s="20">
        <v>0.30399917137834925</v>
      </c>
      <c r="C45" s="20">
        <v>0.7625855944685872</v>
      </c>
      <c r="D45" s="20">
        <v>1.5339211304147058</v>
      </c>
      <c r="E45" s="20">
        <v>2.4714125446074666</v>
      </c>
      <c r="F45" s="20">
        <v>3.1038135483338753</v>
      </c>
      <c r="G45" s="20">
        <v>6.3599468268169801</v>
      </c>
      <c r="H45" s="20">
        <v>9.787462870088234</v>
      </c>
      <c r="I45" s="20">
        <v>11.572580313216852</v>
      </c>
      <c r="J45" s="20">
        <v>13.40970168199547</v>
      </c>
      <c r="K45" s="20">
        <v>17.255733073399515</v>
      </c>
      <c r="L45" s="20">
        <v>30.567232044112547</v>
      </c>
      <c r="M45" s="20">
        <v>41.667842702339712</v>
      </c>
      <c r="N45" s="20">
        <v>508.55486776940006</v>
      </c>
      <c r="O45" s="20">
        <v>524.8711465932671</v>
      </c>
      <c r="P45" s="20">
        <v>543.03165605239587</v>
      </c>
      <c r="Q45" s="20">
        <v>552.76434530085362</v>
      </c>
      <c r="R45" s="20">
        <v>561.26673605571887</v>
      </c>
      <c r="S45" s="20">
        <v>568.85055084684109</v>
      </c>
      <c r="T45" s="20">
        <v>575.71849034964566</v>
      </c>
      <c r="U45" s="20">
        <v>578.92945625831726</v>
      </c>
      <c r="V45" s="20">
        <v>582.01052180290628</v>
      </c>
      <c r="W45" s="20">
        <v>584.97327497776485</v>
      </c>
      <c r="X45" s="20">
        <v>587.82775180444037</v>
      </c>
      <c r="Y45" s="20">
        <v>590.58270733046697</v>
      </c>
      <c r="Z45" s="20">
        <v>593.24582925319044</v>
      </c>
      <c r="AA45" s="20">
        <v>595.82390826423807</v>
      </c>
      <c r="AB45" s="20">
        <v>598.32297530759797</v>
      </c>
      <c r="AC45" s="20">
        <v>600.7484132343543</v>
      </c>
      <c r="AD45" s="20">
        <v>603.10504842371381</v>
      </c>
      <c r="AE45" s="20">
        <v>605.39722656819447</v>
      </c>
      <c r="AF45" s="20">
        <v>607.62887582365579</v>
      </c>
      <c r="AG45" s="20">
        <f t="shared" si="1"/>
        <v>607.62887582365579</v>
      </c>
      <c r="AH45" s="14">
        <v>622</v>
      </c>
    </row>
    <row r="46" spans="1:34" ht="9.9499999999999993" customHeight="1" x14ac:dyDescent="0.2">
      <c r="A46" s="20">
        <f t="shared" si="0"/>
        <v>0.30011198154943919</v>
      </c>
      <c r="B46" s="20">
        <v>0.30011198154943919</v>
      </c>
      <c r="C46" s="20">
        <v>0.7527319245313443</v>
      </c>
      <c r="D46" s="20">
        <v>1.5137487161789218</v>
      </c>
      <c r="E46" s="20">
        <v>2.4382084655972833</v>
      </c>
      <c r="F46" s="20">
        <v>3.0615068392012894</v>
      </c>
      <c r="G46" s="20">
        <v>6.2665686429907863</v>
      </c>
      <c r="H46" s="20">
        <v>9.6320510658486587</v>
      </c>
      <c r="I46" s="20">
        <v>11.381156809810394</v>
      </c>
      <c r="J46" s="20">
        <v>13.17834430086396</v>
      </c>
      <c r="K46" s="20">
        <v>16.930468774430569</v>
      </c>
      <c r="L46" s="20">
        <v>29.78076281544055</v>
      </c>
      <c r="M46" s="20">
        <v>40.266080551989369</v>
      </c>
      <c r="N46" s="20">
        <v>495.67542000665759</v>
      </c>
      <c r="O46" s="20">
        <v>514.40534435040888</v>
      </c>
      <c r="P46" s="20">
        <v>534.39838589788121</v>
      </c>
      <c r="Q46" s="20">
        <v>544.88190119766773</v>
      </c>
      <c r="R46" s="20">
        <v>553.94585980949569</v>
      </c>
      <c r="S46" s="20">
        <v>561.97049474701146</v>
      </c>
      <c r="T46" s="20">
        <v>569.19665049977539</v>
      </c>
      <c r="U46" s="20">
        <v>572.56335032462721</v>
      </c>
      <c r="V46" s="20">
        <v>575.78743903795214</v>
      </c>
      <c r="W46" s="20">
        <v>578.88216437980509</v>
      </c>
      <c r="X46" s="20">
        <v>581.8589330901068</v>
      </c>
      <c r="Y46" s="20">
        <v>584.72764358004383</v>
      </c>
      <c r="Z46" s="20">
        <v>587.49694587152146</v>
      </c>
      <c r="AA46" s="20">
        <v>590.1744472237757</v>
      </c>
      <c r="AB46" s="20">
        <v>592.76687661747087</v>
      </c>
      <c r="AC46" s="20">
        <v>595.28021766661197</v>
      </c>
      <c r="AD46" s="20">
        <v>597.71981701513198</v>
      </c>
      <c r="AE46" s="20">
        <v>600.09047349146738</v>
      </c>
      <c r="AF46" s="20">
        <v>602.39651201007348</v>
      </c>
      <c r="AG46" s="20">
        <f t="shared" si="1"/>
        <v>602.39651201007348</v>
      </c>
      <c r="AH46" s="13">
        <v>630</v>
      </c>
    </row>
    <row r="47" spans="1:34" ht="9.9499999999999993" customHeight="1" x14ac:dyDescent="0.2">
      <c r="A47" s="20">
        <f t="shared" si="0"/>
        <v>0.29632362893525377</v>
      </c>
      <c r="B47" s="20">
        <v>0.29632362893525377</v>
      </c>
      <c r="C47" s="20">
        <v>0.74313401381901534</v>
      </c>
      <c r="D47" s="20">
        <v>1.4941180938878427</v>
      </c>
      <c r="E47" s="20">
        <v>2.4059332871938204</v>
      </c>
      <c r="F47" s="20">
        <v>3.0204161292635163</v>
      </c>
      <c r="G47" s="20">
        <v>6.1762596938895191</v>
      </c>
      <c r="H47" s="20">
        <v>9.4824765905805393</v>
      </c>
      <c r="I47" s="20">
        <v>11.197420648180117</v>
      </c>
      <c r="J47" s="20">
        <v>12.956924318041459</v>
      </c>
      <c r="K47" s="20">
        <v>16.621216553918018</v>
      </c>
      <c r="L47" s="20">
        <v>29.05443244510483</v>
      </c>
      <c r="M47" s="20">
        <v>39.015919979885588</v>
      </c>
      <c r="N47" s="20">
        <v>481.62166702287578</v>
      </c>
      <c r="O47" s="20">
        <v>503.42437977607966</v>
      </c>
      <c r="P47" s="20">
        <v>525.53939060174673</v>
      </c>
      <c r="Q47" s="20">
        <v>536.8532150490048</v>
      </c>
      <c r="R47" s="20">
        <v>546.52592347799907</v>
      </c>
      <c r="S47" s="20">
        <v>555.02183208987526</v>
      </c>
      <c r="T47" s="20">
        <v>562.62705211597472</v>
      </c>
      <c r="U47" s="20">
        <v>566.1575283675993</v>
      </c>
      <c r="V47" s="20">
        <v>569.53150602069013</v>
      </c>
      <c r="W47" s="20">
        <v>572.76411048064188</v>
      </c>
      <c r="X47" s="20">
        <v>575.86828842158513</v>
      </c>
      <c r="Y47" s="20">
        <v>578.85521475016708</v>
      </c>
      <c r="Z47" s="20">
        <v>581.73460779692493</v>
      </c>
      <c r="AA47" s="20">
        <v>584.51497666391822</v>
      </c>
      <c r="AB47" s="20">
        <v>587.20381764757076</v>
      </c>
      <c r="AC47" s="20">
        <v>589.80777190652827</v>
      </c>
      <c r="AD47" s="20">
        <v>592.33275326520106</v>
      </c>
      <c r="AE47" s="20">
        <v>594.78405274039801</v>
      </c>
      <c r="AF47" s="20">
        <v>597.16642473519767</v>
      </c>
      <c r="AG47" s="20">
        <f t="shared" si="1"/>
        <v>597.16642473519767</v>
      </c>
      <c r="AH47" s="14">
        <v>638</v>
      </c>
    </row>
    <row r="48" spans="1:34" ht="9.9499999999999993" customHeight="1" x14ac:dyDescent="0.2">
      <c r="A48" s="20">
        <f t="shared" si="0"/>
        <v>0.29263035329154841</v>
      </c>
      <c r="B48" s="20">
        <v>0.29263035329154841</v>
      </c>
      <c r="C48" s="20">
        <v>0.73378178891172796</v>
      </c>
      <c r="D48" s="20">
        <v>1.4750067090375387</v>
      </c>
      <c r="E48" s="20">
        <v>2.3745458233280861</v>
      </c>
      <c r="F48" s="20">
        <v>2.9804852898474272</v>
      </c>
      <c r="G48" s="20">
        <v>6.0888496130640464</v>
      </c>
      <c r="H48" s="20">
        <v>9.3383572164977409</v>
      </c>
      <c r="I48" s="20">
        <v>11.020827611475886</v>
      </c>
      <c r="J48" s="20">
        <v>12.744682687310032</v>
      </c>
      <c r="K48" s="20">
        <v>16.32655802319513</v>
      </c>
      <c r="L48" s="20">
        <v>28.379913393734107</v>
      </c>
      <c r="M48" s="20">
        <v>37.888067834023694</v>
      </c>
      <c r="N48" s="20">
        <v>466.03930538791462</v>
      </c>
      <c r="O48" s="20">
        <v>491.85624177961188</v>
      </c>
      <c r="P48" s="20">
        <v>516.44123835565642</v>
      </c>
      <c r="Q48" s="20">
        <v>528.67360960754627</v>
      </c>
      <c r="R48" s="20">
        <v>539.00578654616095</v>
      </c>
      <c r="S48" s="20">
        <v>548.00498466600311</v>
      </c>
      <c r="T48" s="20">
        <v>556.01082714109475</v>
      </c>
      <c r="U48" s="20">
        <v>559.71331099783436</v>
      </c>
      <c r="V48" s="20">
        <v>563.24416399393533</v>
      </c>
      <c r="W48" s="20">
        <v>566.62062682674434</v>
      </c>
      <c r="X48" s="20">
        <v>569.85736907650937</v>
      </c>
      <c r="Y48" s="20">
        <v>572.96698501652054</v>
      </c>
      <c r="Z48" s="20">
        <v>575.96037425007239</v>
      </c>
      <c r="AA48" s="20">
        <v>578.84703805194397</v>
      </c>
      <c r="AB48" s="20">
        <v>581.63531300589193</v>
      </c>
      <c r="AC48" s="20">
        <v>584.33255731369491</v>
      </c>
      <c r="AD48" s="20">
        <v>586.94530090616706</v>
      </c>
      <c r="AE48" s="20">
        <v>589.47936753440706</v>
      </c>
      <c r="AF48" s="20">
        <v>591.93997493247832</v>
      </c>
      <c r="AG48" s="20">
        <f t="shared" si="1"/>
        <v>591.93997493247832</v>
      </c>
      <c r="AH48" s="13">
        <v>646</v>
      </c>
    </row>
    <row r="49" spans="1:34" ht="9.9499999999999993" customHeight="1" x14ac:dyDescent="0.2">
      <c r="A49" s="20">
        <f t="shared" si="0"/>
        <v>0.28902858537324078</v>
      </c>
      <c r="B49" s="20">
        <v>0.28902858537324078</v>
      </c>
      <c r="C49" s="20">
        <v>0.72466571540165681</v>
      </c>
      <c r="D49" s="20">
        <v>1.4563933117491699</v>
      </c>
      <c r="E49" s="20">
        <v>2.3440074743253025</v>
      </c>
      <c r="F49" s="20">
        <v>2.9416618959426515</v>
      </c>
      <c r="G49" s="20">
        <v>6.0041818565707299</v>
      </c>
      <c r="H49" s="20">
        <v>9.1993474011008463</v>
      </c>
      <c r="I49" s="20">
        <v>10.850889863160578</v>
      </c>
      <c r="J49" s="20">
        <v>12.54094498515677</v>
      </c>
      <c r="K49" s="20">
        <v>16.045256937054322</v>
      </c>
      <c r="L49" s="20">
        <v>27.750508614840637</v>
      </c>
      <c r="M49" s="20">
        <v>36.861056136622501</v>
      </c>
      <c r="N49" s="20">
        <v>448.38974487945711</v>
      </c>
      <c r="O49" s="20">
        <v>479.61827882427872</v>
      </c>
      <c r="P49" s="20">
        <v>507.09133265867791</v>
      </c>
      <c r="Q49" s="20">
        <v>520.33944826109644</v>
      </c>
      <c r="R49" s="20">
        <v>531.38515518809675</v>
      </c>
      <c r="S49" s="20">
        <v>540.92101798583917</v>
      </c>
      <c r="T49" s="20">
        <v>549.34959254286935</v>
      </c>
      <c r="U49" s="20">
        <v>553.23244069490829</v>
      </c>
      <c r="V49" s="20">
        <v>556.92722202067864</v>
      </c>
      <c r="W49" s="20">
        <v>560.45354853389745</v>
      </c>
      <c r="X49" s="20">
        <v>563.82800826658536</v>
      </c>
      <c r="Y49" s="20">
        <v>567.06476644406234</v>
      </c>
      <c r="Z49" s="20">
        <v>570.17602301596958</v>
      </c>
      <c r="AA49" s="20">
        <v>573.17236608298799</v>
      </c>
      <c r="AB49" s="20">
        <v>576.06304856892348</v>
      </c>
      <c r="AC49" s="20">
        <v>578.85620742387675</v>
      </c>
      <c r="AD49" s="20">
        <v>581.55903919549337</v>
      </c>
      <c r="AE49" s="20">
        <v>584.17794205276675</v>
      </c>
      <c r="AF49" s="20">
        <v>586.71863171740858</v>
      </c>
      <c r="AG49" s="20">
        <f t="shared" si="1"/>
        <v>586.71863171740858</v>
      </c>
      <c r="AH49" s="14">
        <v>654</v>
      </c>
    </row>
    <row r="50" spans="1:34" ht="9.9499999999999993" customHeight="1" x14ac:dyDescent="0.2">
      <c r="A50" s="20">
        <f t="shared" si="0"/>
        <v>0.28551493475136736</v>
      </c>
      <c r="B50" s="20">
        <v>0.28551493475136736</v>
      </c>
      <c r="C50" s="20">
        <v>0.71577676101612664</v>
      </c>
      <c r="D50" s="20">
        <v>1.4382578585460966</v>
      </c>
      <c r="E50" s="20">
        <v>2.3142820133767503</v>
      </c>
      <c r="F50" s="20">
        <v>2.903896903998755</v>
      </c>
      <c r="G50" s="20">
        <v>5.9221122283148979</v>
      </c>
      <c r="H50" s="20">
        <v>9.0651336993406311</v>
      </c>
      <c r="I50" s="20">
        <v>10.687168369030273</v>
      </c>
      <c r="J50" s="20">
        <v>12.345109219199831</v>
      </c>
      <c r="K50" s="20">
        <v>15.776229176919108</v>
      </c>
      <c r="L50" s="20">
        <v>27.160749793087465</v>
      </c>
      <c r="M50" s="20">
        <v>35.918661389680807</v>
      </c>
      <c r="N50" s="20">
        <v>427.80455053695778</v>
      </c>
      <c r="O50" s="20">
        <v>466.61814805672572</v>
      </c>
      <c r="P50" s="20">
        <v>497.47882011661477</v>
      </c>
      <c r="Q50" s="20">
        <v>511.84856838026985</v>
      </c>
      <c r="R50" s="20">
        <v>523.66479898935074</v>
      </c>
      <c r="S50" s="20">
        <v>533.77175489605236</v>
      </c>
      <c r="T50" s="20">
        <v>542.64551171417259</v>
      </c>
      <c r="U50" s="20">
        <v>546.71712717142952</v>
      </c>
      <c r="V50" s="20">
        <v>550.5828904780833</v>
      </c>
      <c r="W50" s="20">
        <v>554.26505690883243</v>
      </c>
      <c r="X50" s="20">
        <v>557.78233907148979</v>
      </c>
      <c r="Y50" s="20">
        <v>561.15063184386202</v>
      </c>
      <c r="Z50" s="20">
        <v>564.38355942380406</v>
      </c>
      <c r="AA50" s="20">
        <v>567.49289468555173</v>
      </c>
      <c r="AB50" s="20">
        <v>570.48888519760715</v>
      </c>
      <c r="AC50" s="20">
        <v>573.3805098989211</v>
      </c>
      <c r="AD50" s="20">
        <v>576.17568350267493</v>
      </c>
      <c r="AE50" s="20">
        <v>578.88142097037894</v>
      </c>
      <c r="AF50" s="20">
        <v>581.50397111521931</v>
      </c>
      <c r="AG50" s="20">
        <f t="shared" si="1"/>
        <v>581.50397111521931</v>
      </c>
      <c r="AH50" s="13">
        <v>662</v>
      </c>
    </row>
    <row r="51" spans="1:34" ht="9.9499999999999993" customHeight="1" x14ac:dyDescent="0.2">
      <c r="A51" s="20">
        <f t="shared" si="0"/>
        <v>0.2820861785682065</v>
      </c>
      <c r="B51" s="20">
        <v>0.2820861785682065</v>
      </c>
      <c r="C51" s="20">
        <v>0.70710636183201991</v>
      </c>
      <c r="D51" s="20">
        <v>1.4205814232687712</v>
      </c>
      <c r="E51" s="20">
        <v>2.2853353948083077</v>
      </c>
      <c r="F51" s="20">
        <v>2.8671443643078383</v>
      </c>
      <c r="G51" s="20">
        <v>5.842507597553916</v>
      </c>
      <c r="H51" s="20">
        <v>8.9354308713558641</v>
      </c>
      <c r="I51" s="20">
        <v>10.529266550785096</v>
      </c>
      <c r="J51" s="20">
        <v>12.156635755595689</v>
      </c>
      <c r="K51" s="20">
        <v>15.518518677607522</v>
      </c>
      <c r="L51" s="20">
        <v>26.606112706913756</v>
      </c>
      <c r="M51" s="20">
        <v>35.048313227288254</v>
      </c>
      <c r="N51" s="20">
        <v>402.7842562281121</v>
      </c>
      <c r="O51" s="20">
        <v>452.75793182554179</v>
      </c>
      <c r="P51" s="20">
        <v>487.59582705843115</v>
      </c>
      <c r="Q51" s="20">
        <v>503.20080145612451</v>
      </c>
      <c r="R51" s="20">
        <v>515.8467917912991</v>
      </c>
      <c r="S51" s="20">
        <v>526.5598948544158</v>
      </c>
      <c r="T51" s="20">
        <v>535.90135583726214</v>
      </c>
      <c r="U51" s="20">
        <v>540.17009161860904</v>
      </c>
      <c r="V51" s="20">
        <v>544.21381289546412</v>
      </c>
      <c r="W51" s="20">
        <v>548.05770219266969</v>
      </c>
      <c r="X51" s="20">
        <v>551.72281045315128</v>
      </c>
      <c r="Y51" s="20">
        <v>555.22692576984991</v>
      </c>
      <c r="Z51" s="20">
        <v>558.58522357959419</v>
      </c>
      <c r="AA51" s="20">
        <v>561.81076141775054</v>
      </c>
      <c r="AB51" s="20">
        <v>564.91486099027134</v>
      </c>
      <c r="AC51" s="20">
        <v>567.90740715851121</v>
      </c>
      <c r="AD51" s="20">
        <v>570.79708471602362</v>
      </c>
      <c r="AE51" s="20">
        <v>573.59156794214641</v>
      </c>
      <c r="AF51" s="20">
        <v>576.29767385513514</v>
      </c>
      <c r="AG51" s="20">
        <f t="shared" si="1"/>
        <v>576.29767385513514</v>
      </c>
      <c r="AH51" s="14">
        <v>670</v>
      </c>
    </row>
    <row r="52" spans="1:34" ht="9.9499999999999993" customHeight="1" x14ac:dyDescent="0.2">
      <c r="A52" s="20">
        <f t="shared" si="0"/>
        <v>0.27873925114586412</v>
      </c>
      <c r="B52" s="20">
        <v>0.27873925114586412</v>
      </c>
      <c r="C52" s="20">
        <v>0.69864639127379957</v>
      </c>
      <c r="D52" s="20">
        <v>1.403346116136805</v>
      </c>
      <c r="E52" s="20">
        <v>2.2571355815409766</v>
      </c>
      <c r="F52" s="20">
        <v>2.8313611636629989</v>
      </c>
      <c r="G52" s="20">
        <v>5.7652447793568271</v>
      </c>
      <c r="H52" s="20">
        <v>8.8099785632098229</v>
      </c>
      <c r="I52" s="20">
        <v>10.376824938806537</v>
      </c>
      <c r="J52" s="20">
        <v>11.975038938438281</v>
      </c>
      <c r="K52" s="20">
        <v>15.271277937363973</v>
      </c>
      <c r="L52" s="20">
        <v>26.082810830637005</v>
      </c>
      <c r="M52" s="20">
        <v>34.240067516249105</v>
      </c>
      <c r="N52" s="20">
        <v>370.58843369915434</v>
      </c>
      <c r="O52" s="20">
        <v>437.94421612108943</v>
      </c>
      <c r="P52" s="20">
        <v>477.43905827845816</v>
      </c>
      <c r="Q52" s="20">
        <v>494.39857094266057</v>
      </c>
      <c r="R52" s="20">
        <v>507.93476852451732</v>
      </c>
      <c r="S52" s="20">
        <v>519.28913392226525</v>
      </c>
      <c r="T52" s="20">
        <v>529.12056236178751</v>
      </c>
      <c r="U52" s="20">
        <v>533.59460766969585</v>
      </c>
      <c r="V52" s="20">
        <v>537.82309448957585</v>
      </c>
      <c r="W52" s="20">
        <v>541.83442316900278</v>
      </c>
      <c r="X52" s="20">
        <v>545.65220038760128</v>
      </c>
      <c r="Y52" s="20">
        <v>549.29627291603651</v>
      </c>
      <c r="Z52" s="20">
        <v>552.78349528255569</v>
      </c>
      <c r="AA52" s="20">
        <v>556.12830981575007</v>
      </c>
      <c r="AB52" s="20">
        <v>559.34319173451468</v>
      </c>
      <c r="AC52" s="20">
        <v>562.43899543347595</v>
      </c>
      <c r="AD52" s="20">
        <v>565.4252272694921</v>
      </c>
      <c r="AE52" s="20">
        <v>568.31026288305702</v>
      </c>
      <c r="AF52" s="20">
        <v>571.10152211507648</v>
      </c>
      <c r="AG52" s="20">
        <f t="shared" si="1"/>
        <v>571.10152211507648</v>
      </c>
      <c r="AH52" s="13">
        <v>678</v>
      </c>
    </row>
    <row r="53" spans="1:34" ht="9.9499999999999993" customHeight="1" x14ac:dyDescent="0.2">
      <c r="A53" s="20">
        <f t="shared" si="0"/>
        <v>0.27547123437241611</v>
      </c>
      <c r="B53" s="20">
        <v>0.27547123437241611</v>
      </c>
      <c r="C53" s="20">
        <v>0.69038913162777571</v>
      </c>
      <c r="D53" s="20">
        <v>1.3865350100470546</v>
      </c>
      <c r="E53" s="20">
        <v>2.2296523894642792</v>
      </c>
      <c r="F53" s="20">
        <v>2.7965067945063571</v>
      </c>
      <c r="G53" s="20">
        <v>5.6902095538519548</v>
      </c>
      <c r="H53" s="20">
        <v>8.6885384625168083</v>
      </c>
      <c r="I53" s="20">
        <v>10.229516641400409</v>
      </c>
      <c r="J53" s="20">
        <v>11.799880071404528</v>
      </c>
      <c r="K53" s="20">
        <v>15.033752101578738</v>
      </c>
      <c r="L53" s="20">
        <v>25.587642616677687</v>
      </c>
      <c r="M53" s="20">
        <v>33.485918474238538</v>
      </c>
      <c r="N53" s="20">
        <v>326.67702092936673</v>
      </c>
      <c r="O53" s="20">
        <v>422.10786742229408</v>
      </c>
      <c r="P53" s="20">
        <v>467.01173238340448</v>
      </c>
      <c r="Q53" s="20">
        <v>485.44754132205412</v>
      </c>
      <c r="R53" s="20">
        <v>499.9341843149146</v>
      </c>
      <c r="S53" s="20">
        <v>511.96427856765172</v>
      </c>
      <c r="T53" s="20">
        <v>522.30728700927682</v>
      </c>
      <c r="U53" s="20">
        <v>526.9945364607654</v>
      </c>
      <c r="V53" s="20">
        <v>531.41432546710064</v>
      </c>
      <c r="W53" s="20">
        <v>535.59856220465622</v>
      </c>
      <c r="X53" s="20">
        <v>539.57362504543698</v>
      </c>
      <c r="Y53" s="20">
        <v>543.36158311228849</v>
      </c>
      <c r="Z53" s="20">
        <v>546.98109602139414</v>
      </c>
      <c r="AA53" s="20">
        <v>550.44808923876815</v>
      </c>
      <c r="AB53" s="20">
        <v>553.77626921397155</v>
      </c>
      <c r="AC53" s="20">
        <v>556.97752198112835</v>
      </c>
      <c r="AD53" s="20">
        <v>560.06222559443563</v>
      </c>
      <c r="AE53" s="20">
        <v>563.03949789817489</v>
      </c>
      <c r="AF53" s="20">
        <v>565.91739510888328</v>
      </c>
      <c r="AG53" s="20">
        <f t="shared" si="1"/>
        <v>565.91739510888328</v>
      </c>
      <c r="AH53" s="14">
        <v>686</v>
      </c>
    </row>
    <row r="54" spans="1:34" ht="9.9499999999999993" customHeight="1" x14ac:dyDescent="0.2">
      <c r="A54" s="20">
        <f t="shared" si="0"/>
        <v>0.2722793487973188</v>
      </c>
      <c r="B54" s="20">
        <v>0.2722793487973188</v>
      </c>
      <c r="C54" s="20">
        <v>0.68232724782386411</v>
      </c>
      <c r="D54" s="20">
        <v>1.3701320733701947</v>
      </c>
      <c r="E54" s="20">
        <v>2.2028573467668631</v>
      </c>
      <c r="F54" s="20">
        <v>2.7625431473640956</v>
      </c>
      <c r="G54" s="20">
        <v>5.6172958041599754</v>
      </c>
      <c r="H54" s="20">
        <v>8.5708918498791746</v>
      </c>
      <c r="I54" s="20">
        <v>10.087043485590966</v>
      </c>
      <c r="J54" s="20">
        <v>11.630761504556391</v>
      </c>
      <c r="K54" s="20">
        <v>14.805265861288472</v>
      </c>
      <c r="L54" s="20">
        <v>25.117876475147632</v>
      </c>
      <c r="M54" s="20">
        <v>32.779323236729489</v>
      </c>
      <c r="N54" s="20">
        <v>270.36278587551675</v>
      </c>
      <c r="O54" s="20">
        <v>405.23617573645146</v>
      </c>
      <c r="P54" s="20">
        <v>456.32572130149094</v>
      </c>
      <c r="Q54" s="20">
        <v>476.35726825687482</v>
      </c>
      <c r="R54" s="20">
        <v>491.85255568891074</v>
      </c>
      <c r="S54" s="20">
        <v>504.59134435891934</v>
      </c>
      <c r="T54" s="20">
        <v>515.46644504455139</v>
      </c>
      <c r="U54" s="20">
        <v>520.37435277789177</v>
      </c>
      <c r="V54" s="20">
        <v>524.99159693994829</v>
      </c>
      <c r="W54" s="20">
        <v>529.35387416595165</v>
      </c>
      <c r="X54" s="20">
        <v>533.49054288614184</v>
      </c>
      <c r="Y54" s="20">
        <v>537.42605208648433</v>
      </c>
      <c r="Z54" s="20">
        <v>541.18098743754103</v>
      </c>
      <c r="AA54" s="20">
        <v>544.77285175799273</v>
      </c>
      <c r="AB54" s="20">
        <v>548.21665703563178</v>
      </c>
      <c r="AC54" s="20">
        <v>551.52538021624605</v>
      </c>
      <c r="AD54" s="20">
        <v>554.71031881566978</v>
      </c>
      <c r="AE54" s="20">
        <v>557.78137173133007</v>
      </c>
      <c r="AF54" s="20">
        <v>560.74726342216263</v>
      </c>
      <c r="AG54" s="20">
        <f t="shared" si="1"/>
        <v>560.74726342216263</v>
      </c>
      <c r="AH54" s="13">
        <v>694</v>
      </c>
    </row>
    <row r="55" spans="1:34" ht="9.9499999999999993" customHeight="1" x14ac:dyDescent="0.2">
      <c r="A55" s="20">
        <f t="shared" si="0"/>
        <v>0.26916094537481744</v>
      </c>
      <c r="B55" s="20">
        <v>0.26916094537481744</v>
      </c>
      <c r="C55" s="20">
        <v>0.67445376327822282</v>
      </c>
      <c r="D55" s="20">
        <v>1.3541221085472717</v>
      </c>
      <c r="E55" s="20">
        <v>2.1767235665224911</v>
      </c>
      <c r="F55" s="20">
        <v>2.7294343237939929</v>
      </c>
      <c r="G55" s="20">
        <v>5.5464047562134438</v>
      </c>
      <c r="H55" s="20">
        <v>8.4568374819766188</v>
      </c>
      <c r="I55" s="20">
        <v>9.9491327136743504</v>
      </c>
      <c r="J55" s="20">
        <v>11.467321624093314</v>
      </c>
      <c r="K55" s="20">
        <v>14.585212589460705</v>
      </c>
      <c r="L55" s="20">
        <v>24.671162775074794</v>
      </c>
      <c r="M55" s="20">
        <v>32.114864394871375</v>
      </c>
      <c r="N55" s="20">
        <v>219.91407331675956</v>
      </c>
      <c r="O55" s="20">
        <v>387.41336766411285</v>
      </c>
      <c r="P55" s="20">
        <v>445.40360586293139</v>
      </c>
      <c r="Q55" s="20">
        <v>467.14177211615572</v>
      </c>
      <c r="R55" s="20">
        <v>483.69965723002247</v>
      </c>
      <c r="S55" s="20">
        <v>497.17762887071359</v>
      </c>
      <c r="T55" s="20">
        <v>508.60373706002605</v>
      </c>
      <c r="U55" s="20">
        <v>513.73915902619456</v>
      </c>
      <c r="V55" s="20">
        <v>518.55950717846622</v>
      </c>
      <c r="W55" s="20">
        <v>523.10452760624537</v>
      </c>
      <c r="X55" s="20">
        <v>527.40675252442304</v>
      </c>
      <c r="Y55" s="20">
        <v>531.49315717479021</v>
      </c>
      <c r="Z55" s="20">
        <v>535.38636566642651</v>
      </c>
      <c r="AA55" s="20">
        <v>539.10554566491066</v>
      </c>
      <c r="AB55" s="20">
        <v>542.66708367213494</v>
      </c>
      <c r="AC55" s="20">
        <v>546.08510253883992</v>
      </c>
      <c r="AD55" s="20">
        <v>549.3718635366514</v>
      </c>
      <c r="AE55" s="20">
        <v>552.53808262429084</v>
      </c>
      <c r="AF55" s="20">
        <v>555.593182023292</v>
      </c>
      <c r="AG55" s="20">
        <f t="shared" si="1"/>
        <v>555.593182023292</v>
      </c>
      <c r="AH55" s="14">
        <v>702</v>
      </c>
    </row>
    <row r="56" spans="1:34" ht="9.9499999999999993" customHeight="1" x14ac:dyDescent="0.2">
      <c r="A56" s="20">
        <f t="shared" si="0"/>
        <v>0.26611349780002075</v>
      </c>
      <c r="B56" s="20">
        <v>0.26611349780002075</v>
      </c>
      <c r="C56" s="20">
        <v>0.66676203760058406</v>
      </c>
      <c r="D56" s="20">
        <v>1.3384906958976461</v>
      </c>
      <c r="E56" s="20">
        <v>2.1512256310513611</v>
      </c>
      <c r="F56" s="20">
        <v>2.6971464674494947</v>
      </c>
      <c r="G56" s="20">
        <v>5.4774443063629308</v>
      </c>
      <c r="H56" s="20">
        <v>8.3461897539374821</v>
      </c>
      <c r="I56" s="20">
        <v>9.8155341423545241</v>
      </c>
      <c r="J56" s="20">
        <v>11.309230584719367</v>
      </c>
      <c r="K56" s="20">
        <v>14.373045271560636</v>
      </c>
      <c r="L56" s="20">
        <v>24.245465569005173</v>
      </c>
      <c r="M56" s="20">
        <v>31.488004908006882</v>
      </c>
      <c r="N56" s="20">
        <v>187.36870277588076</v>
      </c>
      <c r="O56" s="20">
        <v>368.85170944108643</v>
      </c>
      <c r="P56" s="20">
        <v>434.28018622352437</v>
      </c>
      <c r="Q56" s="20">
        <v>457.81993170648582</v>
      </c>
      <c r="R56" s="20">
        <v>475.48764200507168</v>
      </c>
      <c r="S56" s="20">
        <v>489.73174704043089</v>
      </c>
      <c r="T56" s="20">
        <v>501.72565433835155</v>
      </c>
      <c r="U56" s="20">
        <v>507.0946837200558</v>
      </c>
      <c r="V56" s="20">
        <v>512.12315595922041</v>
      </c>
      <c r="W56" s="20">
        <v>516.85509668095608</v>
      </c>
      <c r="X56" s="20">
        <v>521.3263832964077</v>
      </c>
      <c r="Y56" s="20">
        <v>525.56664723099698</v>
      </c>
      <c r="Z56" s="20">
        <v>529.6006510321514</v>
      </c>
      <c r="AA56" s="20">
        <v>533.44930523204698</v>
      </c>
      <c r="AB56" s="20">
        <v>537.13043246385564</v>
      </c>
      <c r="AC56" s="20">
        <v>540.65935068343379</v>
      </c>
      <c r="AD56" s="20">
        <v>544.04932459590759</v>
      </c>
      <c r="AE56" s="20">
        <v>547.31191950997766</v>
      </c>
      <c r="AF56" s="20">
        <v>550.45728190308387</v>
      </c>
      <c r="AG56" s="20">
        <f t="shared" si="1"/>
        <v>550.45728190308387</v>
      </c>
      <c r="AH56" s="13">
        <v>710</v>
      </c>
    </row>
    <row r="57" spans="1:34" ht="9.9499999999999993" customHeight="1" x14ac:dyDescent="0.2">
      <c r="A57" s="20">
        <f t="shared" si="0"/>
        <v>0.26313459538778733</v>
      </c>
      <c r="B57" s="20">
        <v>0.26313459538778733</v>
      </c>
      <c r="C57" s="20">
        <v>0.65924574599717423</v>
      </c>
      <c r="D57" s="20">
        <v>1.3232241421114741</v>
      </c>
      <c r="E57" s="20">
        <v>2.1263394867656711</v>
      </c>
      <c r="F57" s="20">
        <v>2.6656476111837075</v>
      </c>
      <c r="G57" s="20">
        <v>5.4103284248858392</v>
      </c>
      <c r="H57" s="20">
        <v>8.2387770979999271</v>
      </c>
      <c r="I57" s="20">
        <v>9.6860177089883308</v>
      </c>
      <c r="J57" s="20">
        <v>11.15618665653081</v>
      </c>
      <c r="K57" s="20">
        <v>14.168268886282007</v>
      </c>
      <c r="L57" s="20">
        <v>23.839008950768218</v>
      </c>
      <c r="M57" s="20">
        <v>30.894906513364443</v>
      </c>
      <c r="N57" s="20">
        <v>166.61472577714048</v>
      </c>
      <c r="O57" s="20">
        <v>349.88559983110292</v>
      </c>
      <c r="P57" s="20">
        <v>423.00287468176282</v>
      </c>
      <c r="Q57" s="20">
        <v>448.41558186774341</v>
      </c>
      <c r="R57" s="20">
        <v>467.23105245530223</v>
      </c>
      <c r="S57" s="20">
        <v>482.26361729298674</v>
      </c>
      <c r="T57" s="20">
        <v>494.83945913470438</v>
      </c>
      <c r="U57" s="20">
        <v>500.44726145476079</v>
      </c>
      <c r="V57" s="20">
        <v>505.68812499318204</v>
      </c>
      <c r="W57" s="20">
        <v>510.61054244055902</v>
      </c>
      <c r="X57" s="20">
        <v>515.25387761524007</v>
      </c>
      <c r="Y57" s="20">
        <v>519.65052611921897</v>
      </c>
      <c r="Z57" s="20">
        <v>523.82747268033711</v>
      </c>
      <c r="AA57" s="20">
        <v>527.80743644876964</v>
      </c>
      <c r="AB57" s="20">
        <v>531.60972839900501</v>
      </c>
      <c r="AC57" s="20">
        <v>535.25090347471814</v>
      </c>
      <c r="AD57" s="20">
        <v>538.74526372621324</v>
      </c>
      <c r="AE57" s="20">
        <v>542.10525150382887</v>
      </c>
      <c r="AF57" s="20">
        <v>545.34176032997686</v>
      </c>
      <c r="AG57" s="20">
        <f t="shared" si="1"/>
        <v>545.34176032997686</v>
      </c>
      <c r="AH57" s="14">
        <v>718</v>
      </c>
    </row>
    <row r="58" spans="1:34" ht="9.9499999999999993" customHeight="1" x14ac:dyDescent="0.2">
      <c r="A58" s="20">
        <f t="shared" si="0"/>
        <v>0.26022193644935954</v>
      </c>
      <c r="B58" s="20">
        <v>0.26022193644935954</v>
      </c>
      <c r="C58" s="20">
        <v>0.65189886021620536</v>
      </c>
      <c r="D58" s="20">
        <v>1.3083094329619818</v>
      </c>
      <c r="E58" s="20">
        <v>2.1020423483705057</v>
      </c>
      <c r="F58" s="20">
        <v>2.6349075383887368</v>
      </c>
      <c r="G58" s="20">
        <v>5.3449766253422402</v>
      </c>
      <c r="H58" s="20">
        <v>8.1344405829792361</v>
      </c>
      <c r="I58" s="20">
        <v>9.5603713434289119</v>
      </c>
      <c r="J58" s="20">
        <v>11.007913083364379</v>
      </c>
      <c r="K58" s="20">
        <v>13.970433966955992</v>
      </c>
      <c r="L58" s="20">
        <v>23.450234428732315</v>
      </c>
      <c r="M58" s="20">
        <v>30.332292798576649</v>
      </c>
      <c r="N58" s="20">
        <v>152.18747013731547</v>
      </c>
      <c r="O58" s="20">
        <v>330.91796256323789</v>
      </c>
      <c r="P58" s="20">
        <v>411.63046429262459</v>
      </c>
      <c r="Q58" s="20">
        <v>438.95721006785845</v>
      </c>
      <c r="R58" s="20">
        <v>458.94669233649557</v>
      </c>
      <c r="S58" s="20">
        <v>474.78438846139426</v>
      </c>
      <c r="T58" s="20">
        <v>487.95313607306065</v>
      </c>
      <c r="U58" s="20">
        <v>493.80379194150311</v>
      </c>
      <c r="V58" s="20">
        <v>499.26044288060308</v>
      </c>
      <c r="W58" s="20">
        <v>504.37618249780922</v>
      </c>
      <c r="X58" s="20">
        <v>509.19396446844024</v>
      </c>
      <c r="Y58" s="20">
        <v>513.74902937608533</v>
      </c>
      <c r="Z58" s="20">
        <v>518.07064789042522</v>
      </c>
      <c r="AA58" s="20">
        <v>522.1833985770852</v>
      </c>
      <c r="AB58" s="20">
        <v>526.10812158621775</v>
      </c>
      <c r="AC58" s="20">
        <v>529.86264195068463</v>
      </c>
      <c r="AD58" s="20">
        <v>533.46232610871061</v>
      </c>
      <c r="AE58" s="20">
        <v>536.92051570600847</v>
      </c>
      <c r="AF58" s="20">
        <v>540.24886974663082</v>
      </c>
      <c r="AG58" s="20">
        <f t="shared" si="1"/>
        <v>540.24886974663082</v>
      </c>
      <c r="AH58" s="13">
        <v>726</v>
      </c>
    </row>
    <row r="59" spans="1:34" ht="9.9499999999999993" customHeight="1" x14ac:dyDescent="0.2">
      <c r="A59" s="20">
        <f t="shared" si="0"/>
        <v>0.25737332212596631</v>
      </c>
      <c r="B59" s="20">
        <v>0.25737332212596631</v>
      </c>
      <c r="C59" s="20">
        <v>0.6447156308990224</v>
      </c>
      <c r="D59" s="20">
        <v>1.2937341898258645</v>
      </c>
      <c r="E59" s="20">
        <v>2.0783126114304213</v>
      </c>
      <c r="F59" s="20">
        <v>2.6048976569978759</v>
      </c>
      <c r="G59" s="20">
        <v>5.281313491236781</v>
      </c>
      <c r="H59" s="20">
        <v>8.0330326851058231</v>
      </c>
      <c r="I59" s="20">
        <v>9.4383991150436621</v>
      </c>
      <c r="J59" s="20">
        <v>10.864155369141097</v>
      </c>
      <c r="K59" s="20">
        <v>13.779131130838479</v>
      </c>
      <c r="L59" s="20">
        <v>23.077766701925018</v>
      </c>
      <c r="M59" s="20">
        <v>29.797344332742906</v>
      </c>
      <c r="N59" s="20">
        <v>141.40233098965501</v>
      </c>
      <c r="O59" s="20">
        <v>312.34764006409188</v>
      </c>
      <c r="P59" s="20">
        <v>400.23009340924864</v>
      </c>
      <c r="Q59" s="20">
        <v>429.47719260303433</v>
      </c>
      <c r="R59" s="20">
        <v>450.65334118978501</v>
      </c>
      <c r="S59" s="20">
        <v>467.3063011662075</v>
      </c>
      <c r="T59" s="20">
        <v>481.07531234399823</v>
      </c>
      <c r="U59" s="20">
        <v>487.17167669810789</v>
      </c>
      <c r="V59" s="20">
        <v>492.84653374192624</v>
      </c>
      <c r="W59" s="20">
        <v>498.15764856615135</v>
      </c>
      <c r="X59" s="20">
        <v>503.15162377299856</v>
      </c>
      <c r="Y59" s="20">
        <v>507.86659389707364</v>
      </c>
      <c r="Z59" s="20">
        <v>512.3341560097814</v>
      </c>
      <c r="AA59" s="20">
        <v>516.58078152483461</v>
      </c>
      <c r="AB59" s="20">
        <v>520.62886745092226</v>
      </c>
      <c r="AC59" s="20">
        <v>524.49753190466276</v>
      </c>
      <c r="AD59" s="20">
        <v>528.20322488455156</v>
      </c>
      <c r="AE59" s="20">
        <v>531.76020338234173</v>
      </c>
      <c r="AF59" s="20">
        <v>535.18090537736771</v>
      </c>
      <c r="AG59" s="20">
        <f t="shared" si="1"/>
        <v>535.18090537736771</v>
      </c>
      <c r="AH59" s="14">
        <v>734</v>
      </c>
    </row>
    <row r="60" spans="1:34" ht="9.9499999999999993" customHeight="1" x14ac:dyDescent="0.2">
      <c r="A60" s="20">
        <f t="shared" si="0"/>
        <v>0.2545866506424509</v>
      </c>
      <c r="B60" s="20">
        <v>0.2545866506424509</v>
      </c>
      <c r="C60" s="20">
        <v>0.63769057121402628</v>
      </c>
      <c r="D60" s="20">
        <v>1.2794866296464289</v>
      </c>
      <c r="E60" s="20">
        <v>2.0551297724322621</v>
      </c>
      <c r="F60" s="20">
        <v>2.5755908847771205</v>
      </c>
      <c r="G60" s="20">
        <v>5.219268252706355</v>
      </c>
      <c r="H60" s="20">
        <v>7.9344162056987111</v>
      </c>
      <c r="I60" s="20">
        <v>9.3199196133458742</v>
      </c>
      <c r="J60" s="20">
        <v>10.724678924189581</v>
      </c>
      <c r="K60" s="20">
        <v>13.593986406917779</v>
      </c>
      <c r="L60" s="20">
        <v>22.720385923478229</v>
      </c>
      <c r="M60" s="20">
        <v>29.287617227036211</v>
      </c>
      <c r="N60" s="20">
        <v>132.91017693202448</v>
      </c>
      <c r="O60" s="20">
        <v>294.51930336912278</v>
      </c>
      <c r="P60" s="20">
        <v>388.87276381603419</v>
      </c>
      <c r="Q60" s="20">
        <v>420.01058942062099</v>
      </c>
      <c r="R60" s="20">
        <v>442.37131069522826</v>
      </c>
      <c r="S60" s="20">
        <v>459.8424828384077</v>
      </c>
      <c r="T60" s="20">
        <v>474.21514649266845</v>
      </c>
      <c r="U60" s="20">
        <v>480.55873336078798</v>
      </c>
      <c r="V60" s="20">
        <v>486.45314959895114</v>
      </c>
      <c r="W60" s="20">
        <v>491.96083200563754</v>
      </c>
      <c r="X60" s="20">
        <v>497.13204175603738</v>
      </c>
      <c r="Y60" s="20">
        <v>502.00782082706513</v>
      </c>
      <c r="Z60" s="20">
        <v>506.62210719020203</v>
      </c>
      <c r="AA60" s="20">
        <v>511.00327921053633</v>
      </c>
      <c r="AB60" s="20">
        <v>515.17530381967185</v>
      </c>
      <c r="AC60" s="20">
        <v>519.15860399857172</v>
      </c>
      <c r="AD60" s="20">
        <v>522.97072376391884</v>
      </c>
      <c r="AE60" s="20">
        <v>526.62684465152313</v>
      </c>
      <c r="AF60" s="20">
        <v>530.14019166221328</v>
      </c>
      <c r="AG60" s="20">
        <f t="shared" si="1"/>
        <v>530.14019166221328</v>
      </c>
      <c r="AH60" s="13">
        <v>742</v>
      </c>
    </row>
    <row r="61" spans="1:34" ht="9.9499999999999993" customHeight="1" x14ac:dyDescent="0.2">
      <c r="A61" s="20">
        <f t="shared" si="0"/>
        <v>0.25185991194740548</v>
      </c>
      <c r="B61" s="20">
        <v>0.25185991194740548</v>
      </c>
      <c r="C61" s="20">
        <v>0.63081844166286072</v>
      </c>
      <c r="D61" s="20">
        <v>1.2655555280145083</v>
      </c>
      <c r="E61" s="20">
        <v>2.0324743555785436</v>
      </c>
      <c r="F61" s="20">
        <v>2.5469615447031702</v>
      </c>
      <c r="G61" s="20">
        <v>5.1587744070062831</v>
      </c>
      <c r="H61" s="20">
        <v>7.838463315130328</v>
      </c>
      <c r="I61" s="20">
        <v>9.2047645278064145</v>
      </c>
      <c r="J61" s="20">
        <v>10.58926701579909</v>
      </c>
      <c r="K61" s="20">
        <v>13.41465722646951</v>
      </c>
      <c r="L61" s="20">
        <v>22.377005027372444</v>
      </c>
      <c r="M61" s="20">
        <v>28.800979096547895</v>
      </c>
      <c r="N61" s="20">
        <v>125.96898562014417</v>
      </c>
      <c r="O61" s="20">
        <v>277.70526841664349</v>
      </c>
      <c r="P61" s="20">
        <v>377.6282913848496</v>
      </c>
      <c r="Q61" s="20">
        <v>410.59361114465872</v>
      </c>
      <c r="R61" s="20">
        <v>434.12186480400698</v>
      </c>
      <c r="S61" s="20">
        <v>452.40668247393251</v>
      </c>
      <c r="T61" s="20">
        <v>467.38218814026635</v>
      </c>
      <c r="U61" s="20">
        <v>473.9730892242805</v>
      </c>
      <c r="V61" s="20">
        <v>480.08728766806286</v>
      </c>
      <c r="W61" s="20">
        <v>485.79181825191506</v>
      </c>
      <c r="X61" s="20">
        <v>491.14055804273568</v>
      </c>
      <c r="Y61" s="20">
        <v>496.17743219938183</v>
      </c>
      <c r="Z61" s="20">
        <v>500.93870636990084</v>
      </c>
      <c r="AA61" s="20">
        <v>505.45465928611463</v>
      </c>
      <c r="AB61" s="20">
        <v>509.7508251988009</v>
      </c>
      <c r="AC61" s="20">
        <v>513.84893170617022</v>
      </c>
      <c r="AD61" s="20">
        <v>517.76761795276082</v>
      </c>
      <c r="AE61" s="20">
        <v>521.52299186743005</v>
      </c>
      <c r="AF61" s="20">
        <v>525.12906768030507</v>
      </c>
      <c r="AG61" s="20">
        <f t="shared" si="1"/>
        <v>525.12906768030507</v>
      </c>
      <c r="AH61" s="14">
        <v>750</v>
      </c>
    </row>
    <row r="62" spans="1:34" ht="9.9499999999999993" customHeight="1" x14ac:dyDescent="0.2">
      <c r="A62" s="20">
        <f t="shared" si="0"/>
        <v>0.24919118270935275</v>
      </c>
      <c r="B62" s="20">
        <v>0.24919118270935275</v>
      </c>
      <c r="C62" s="20">
        <v>0.62409423595937497</v>
      </c>
      <c r="D62" s="20">
        <v>1.251930185077591</v>
      </c>
      <c r="E62" s="20">
        <v>2.0103278456357141</v>
      </c>
      <c r="F62" s="20">
        <v>2.5189852693721506</v>
      </c>
      <c r="G62" s="20">
        <v>5.0997693774510777</v>
      </c>
      <c r="H62" s="20">
        <v>7.7450547058059351</v>
      </c>
      <c r="I62" s="20">
        <v>9.0927773981778497</v>
      </c>
      <c r="J62" s="20">
        <v>10.457718977054794</v>
      </c>
      <c r="K62" s="20">
        <v>13.24082896676404</v>
      </c>
      <c r="L62" s="20">
        <v>22.046651047553048</v>
      </c>
      <c r="M62" s="20">
        <v>28.335558134793839</v>
      </c>
      <c r="N62" s="20">
        <v>120.13594592174965</v>
      </c>
      <c r="O62" s="20">
        <v>262.10003200209076</v>
      </c>
      <c r="P62" s="20">
        <v>366.5607823834892</v>
      </c>
      <c r="Q62" s="20">
        <v>401.26195254198848</v>
      </c>
      <c r="R62" s="20">
        <v>425.92654820320018</v>
      </c>
      <c r="S62" s="20">
        <v>445.01295850953801</v>
      </c>
      <c r="T62" s="20">
        <v>460.58621371117067</v>
      </c>
      <c r="U62" s="20">
        <v>467.42305736752695</v>
      </c>
      <c r="V62" s="20">
        <v>473.75609488030528</v>
      </c>
      <c r="W62" s="20">
        <v>479.65681178203442</v>
      </c>
      <c r="X62" s="20">
        <v>485.18260566964739</v>
      </c>
      <c r="Y62" s="20">
        <v>490.38022224432774</v>
      </c>
      <c r="Z62" s="20">
        <v>495.28821321300217</v>
      </c>
      <c r="AA62" s="20">
        <v>499.93872977846115</v>
      </c>
      <c r="AB62" s="20">
        <v>504.35885469651708</v>
      </c>
      <c r="AC62" s="20">
        <v>508.57160745083945</v>
      </c>
      <c r="AD62" s="20">
        <v>512.59671369663499</v>
      </c>
      <c r="AE62" s="20">
        <v>516.45120194495735</v>
      </c>
      <c r="AF62" s="20">
        <v>520.14987177059788</v>
      </c>
      <c r="AG62" s="20">
        <f t="shared" si="1"/>
        <v>520.14987177059788</v>
      </c>
      <c r="AH62" s="13">
        <v>758</v>
      </c>
    </row>
    <row r="63" spans="1:34" ht="9.9499999999999993" customHeight="1" x14ac:dyDescent="0.2">
      <c r="A63" s="20">
        <f t="shared" si="0"/>
        <v>0.24657862164128153</v>
      </c>
      <c r="B63" s="20">
        <v>0.24657862164128153</v>
      </c>
      <c r="C63" s="20">
        <v>0.61751316789160671</v>
      </c>
      <c r="D63" s="20">
        <v>1.2386003940187307</v>
      </c>
      <c r="E63" s="20">
        <v>1.9886726262396779</v>
      </c>
      <c r="F63" s="20">
        <v>2.4916389135102501</v>
      </c>
      <c r="G63" s="20">
        <v>5.0421942062094702</v>
      </c>
      <c r="H63" s="20">
        <v>7.6540788395691237</v>
      </c>
      <c r="I63" s="20">
        <v>8.9838125113523972</v>
      </c>
      <c r="J63" s="20">
        <v>10.329848635890411</v>
      </c>
      <c r="K63" s="20">
        <v>13.072211958892902</v>
      </c>
      <c r="L63" s="20">
        <v>21.728449613562653</v>
      </c>
      <c r="M63" s="20">
        <v>27.889702199747116</v>
      </c>
      <c r="N63" s="20">
        <v>115.12886110250483</v>
      </c>
      <c r="O63" s="20">
        <v>247.81476874325907</v>
      </c>
      <c r="P63" s="20">
        <v>355.72549969025363</v>
      </c>
      <c r="Q63" s="20">
        <v>392.04922241620545</v>
      </c>
      <c r="R63" s="20">
        <v>417.80648470391372</v>
      </c>
      <c r="S63" s="20">
        <v>437.67533959446172</v>
      </c>
      <c r="T63" s="20">
        <v>453.83704576748562</v>
      </c>
      <c r="U63" s="20">
        <v>460.91700036640248</v>
      </c>
      <c r="V63" s="20">
        <v>467.46676303480479</v>
      </c>
      <c r="W63" s="20">
        <v>473.56205401009504</v>
      </c>
      <c r="X63" s="20">
        <v>479.26364575126894</v>
      </c>
      <c r="Y63" s="20">
        <v>484.62100464542914</v>
      </c>
      <c r="Z63" s="20">
        <v>489.67489897251102</v>
      </c>
      <c r="AA63" s="20">
        <v>494.45930339367538</v>
      </c>
      <c r="AB63" s="20">
        <v>499.00281417073177</v>
      </c>
      <c r="AC63" s="20">
        <v>503.32971740037982</v>
      </c>
      <c r="AD63" s="20">
        <v>507.46080681366419</v>
      </c>
      <c r="AE63" s="20">
        <v>511.41401793196053</v>
      </c>
      <c r="AF63" s="20">
        <v>515.20492559843046</v>
      </c>
      <c r="AG63" s="20">
        <f t="shared" si="1"/>
        <v>515.20492559843046</v>
      </c>
      <c r="AH63" s="14">
        <v>766</v>
      </c>
    </row>
    <row r="64" spans="1:34" ht="9.9499999999999993" customHeight="1" x14ac:dyDescent="0.2">
      <c r="A64" s="20">
        <f t="shared" si="0"/>
        <v>0.24402046512829884</v>
      </c>
      <c r="B64" s="20">
        <v>0.24402046512829884</v>
      </c>
      <c r="C64" s="20">
        <v>0.61107065908570923</v>
      </c>
      <c r="D64" s="20">
        <v>1.2255564118740281</v>
      </c>
      <c r="E64" s="20">
        <v>1.9674919231289643</v>
      </c>
      <c r="F64" s="20">
        <v>2.464900473767238</v>
      </c>
      <c r="G64" s="20">
        <v>4.9859932769813442</v>
      </c>
      <c r="H64" s="20">
        <v>7.5654312771666543</v>
      </c>
      <c r="I64" s="20">
        <v>8.877733924610002</v>
      </c>
      <c r="J64" s="20">
        <v>10.205482932667973</v>
      </c>
      <c r="K64" s="20">
        <v>12.908538886947682</v>
      </c>
      <c r="L64" s="20">
        <v>21.421611995605062</v>
      </c>
      <c r="M64" s="20">
        <v>27.461945635006128</v>
      </c>
      <c r="N64" s="20">
        <v>110.75823363131349</v>
      </c>
      <c r="O64" s="20">
        <v>234.87682187417533</v>
      </c>
      <c r="P64" s="20">
        <v>345.16744780425284</v>
      </c>
      <c r="Q64" s="20">
        <v>382.98567520963337</v>
      </c>
      <c r="R64" s="20">
        <v>409.7817136083047</v>
      </c>
      <c r="S64" s="20">
        <v>430.40748216619471</v>
      </c>
      <c r="T64" s="20">
        <v>447.14436548088617</v>
      </c>
      <c r="U64" s="20">
        <v>454.46318790174678</v>
      </c>
      <c r="V64" s="20">
        <v>461.22641888421629</v>
      </c>
      <c r="W64" s="20">
        <v>467.51373712121676</v>
      </c>
      <c r="X64" s="20">
        <v>473.38909895715261</v>
      </c>
      <c r="Y64" s="20">
        <v>478.90455732464329</v>
      </c>
      <c r="Z64" s="20">
        <v>484.10300145891807</v>
      </c>
      <c r="AA64" s="20">
        <v>489.02016038354498</v>
      </c>
      <c r="AB64" s="20">
        <v>493.68609329806543</v>
      </c>
      <c r="AC64" s="20">
        <v>498.12631546410967</v>
      </c>
      <c r="AD64" s="20">
        <v>502.36266064960074</v>
      </c>
      <c r="AE64" s="20">
        <v>506.41395017502361</v>
      </c>
      <c r="AF64" s="20">
        <v>510.29651795000012</v>
      </c>
      <c r="AG64" s="20">
        <f t="shared" si="1"/>
        <v>510.29651795000012</v>
      </c>
      <c r="AH64" s="13">
        <v>774</v>
      </c>
    </row>
    <row r="65" spans="1:34" ht="9.9499999999999993" customHeight="1" x14ac:dyDescent="0.2">
      <c r="A65" s="20">
        <f t="shared" si="0"/>
        <v>0.24151502313539491</v>
      </c>
      <c r="B65" s="20">
        <v>0.24151502313539491</v>
      </c>
      <c r="C65" s="20">
        <v>0.6047623275984797</v>
      </c>
      <c r="D65" s="20">
        <v>1.2127889324816239</v>
      </c>
      <c r="E65" s="20">
        <v>1.9467697518352385</v>
      </c>
      <c r="F65" s="20">
        <v>2.4387490150692512</v>
      </c>
      <c r="G65" s="20">
        <v>4.9311140641167155</v>
      </c>
      <c r="H65" s="20">
        <v>7.4790140792499207</v>
      </c>
      <c r="I65" s="20">
        <v>8.7744145982628279</v>
      </c>
      <c r="J65" s="20">
        <v>10.084460699779685</v>
      </c>
      <c r="K65" s="20">
        <v>12.749562518740886</v>
      </c>
      <c r="L65" s="20">
        <v>21.125424211811204</v>
      </c>
      <c r="M65" s="20">
        <v>27.050982133233308</v>
      </c>
      <c r="N65" s="20">
        <v>106.89134330710125</v>
      </c>
      <c r="O65" s="20">
        <v>223.24161869512452</v>
      </c>
      <c r="P65" s="20">
        <v>334.92146110272898</v>
      </c>
      <c r="Q65" s="20">
        <v>374.09737368379825</v>
      </c>
      <c r="R65" s="20">
        <v>401.87062584202221</v>
      </c>
      <c r="S65" s="20">
        <v>423.22234965294803</v>
      </c>
      <c r="T65" s="20">
        <v>440.5175287550955</v>
      </c>
      <c r="U65" s="20">
        <v>448.06965533353224</v>
      </c>
      <c r="V65" s="20">
        <v>455.04201401698617</v>
      </c>
      <c r="W65" s="20">
        <v>461.51791726502853</v>
      </c>
      <c r="X65" s="20">
        <v>467.56427625576561</v>
      </c>
      <c r="Y65" s="20">
        <v>473.23556655410857</v>
      </c>
      <c r="Z65" s="20">
        <v>478.57667945342507</v>
      </c>
      <c r="AA65" s="20">
        <v>483.62501098787141</v>
      </c>
      <c r="AB65" s="20">
        <v>488.41201834266803</v>
      </c>
      <c r="AC65" s="20">
        <v>492.9643970984169</v>
      </c>
      <c r="AD65" s="20">
        <v>497.30498393256784</v>
      </c>
      <c r="AE65" s="20">
        <v>501.45345745943013</v>
      </c>
      <c r="AF65" s="20">
        <v>505.42688856070993</v>
      </c>
      <c r="AG65" s="20">
        <f t="shared" si="1"/>
        <v>505.42688856070993</v>
      </c>
      <c r="AH65" s="14">
        <v>782</v>
      </c>
    </row>
    <row r="66" spans="1:34" ht="9.9499999999999993" customHeight="1" x14ac:dyDescent="0.2">
      <c r="A66" s="20">
        <f t="shared" ref="A66:A129" si="2">B66</f>
        <v>0.23906067537431758</v>
      </c>
      <c r="B66" s="20">
        <v>0.23906067537431758</v>
      </c>
      <c r="C66" s="20">
        <v>0.59858397727204082</v>
      </c>
      <c r="D66" s="20">
        <v>1.2002890613763502</v>
      </c>
      <c r="E66" s="20">
        <v>1.9264908694126577</v>
      </c>
      <c r="F66" s="20">
        <v>2.4131646028899256</v>
      </c>
      <c r="G66" s="20">
        <v>4.8775069051896072</v>
      </c>
      <c r="H66" s="20">
        <v>7.3947352699278603</v>
      </c>
      <c r="I66" s="20">
        <v>8.6737356233034646</v>
      </c>
      <c r="J66" s="20">
        <v>9.96663158100543</v>
      </c>
      <c r="K66" s="20">
        <v>12.595053718643998</v>
      </c>
      <c r="L66" s="20">
        <v>20.83923781588248</v>
      </c>
      <c r="M66" s="20">
        <v>26.655642366225756</v>
      </c>
      <c r="N66" s="20">
        <v>103.43198295274235</v>
      </c>
      <c r="O66" s="20">
        <v>212.81480351622406</v>
      </c>
      <c r="P66" s="20">
        <v>325.01326171083485</v>
      </c>
      <c r="Q66" s="20">
        <v>365.40581403497561</v>
      </c>
      <c r="R66" s="20">
        <v>394.08954425274715</v>
      </c>
      <c r="S66" s="20">
        <v>416.13193553384224</v>
      </c>
      <c r="T66" s="20">
        <v>433.9653963514354</v>
      </c>
      <c r="U66" s="20">
        <v>441.74407039487704</v>
      </c>
      <c r="V66" s="20">
        <v>448.92021955169838</v>
      </c>
      <c r="W66" s="20">
        <v>455.58043068093934</v>
      </c>
      <c r="X66" s="20">
        <v>461.79431151085623</v>
      </c>
      <c r="Y66" s="20">
        <v>467.61857229575969</v>
      </c>
      <c r="Z66" s="20">
        <v>473.099967984942</v>
      </c>
      <c r="AA66" s="20">
        <v>478.27745852689657</v>
      </c>
      <c r="AB66" s="20">
        <v>483.18382144871953</v>
      </c>
      <c r="AC66" s="20">
        <v>487.84687356024745</v>
      </c>
      <c r="AD66" s="20">
        <v>492.29040902937402</v>
      </c>
      <c r="AE66" s="20">
        <v>496.53492852123469</v>
      </c>
      <c r="AF66" s="20">
        <v>500.59821229572731</v>
      </c>
      <c r="AG66" s="20">
        <f t="shared" ref="AG66:AG129" si="3">AF66</f>
        <v>500.59821229572731</v>
      </c>
      <c r="AH66" s="13">
        <v>790</v>
      </c>
    </row>
    <row r="67" spans="1:34" ht="9.9499999999999993" customHeight="1" x14ac:dyDescent="0.2">
      <c r="A67" s="20">
        <f t="shared" si="2"/>
        <v>0.23665586771035471</v>
      </c>
      <c r="B67" s="20">
        <v>0.23665586771035471</v>
      </c>
      <c r="C67" s="20">
        <v>0.5925315877903865</v>
      </c>
      <c r="D67" s="20">
        <v>1.1880482924629394</v>
      </c>
      <c r="E67" s="20">
        <v>1.9066407298330716</v>
      </c>
      <c r="F67" s="20">
        <v>2.3881282408714126</v>
      </c>
      <c r="G67" s="20">
        <v>4.8251247944256628</v>
      </c>
      <c r="H67" s="20">
        <v>7.31250835517291</v>
      </c>
      <c r="I67" s="20">
        <v>8.5755855318209999</v>
      </c>
      <c r="J67" s="20">
        <v>9.8518550718419657</v>
      </c>
      <c r="K67" s="20">
        <v>12.444799701493496</v>
      </c>
      <c r="L67" s="20">
        <v>20.562462063353472</v>
      </c>
      <c r="M67" s="20">
        <v>26.274875410326981</v>
      </c>
      <c r="N67" s="20">
        <v>100.3083947873828</v>
      </c>
      <c r="O67" s="20">
        <v>203.47615717781895</v>
      </c>
      <c r="P67" s="20">
        <v>315.46091299887331</v>
      </c>
      <c r="Q67" s="20">
        <v>356.92795793669683</v>
      </c>
      <c r="R67" s="20">
        <v>386.45246875757857</v>
      </c>
      <c r="S67" s="20">
        <v>409.14704689813601</v>
      </c>
      <c r="T67" s="20">
        <v>427.49618706433625</v>
      </c>
      <c r="U67" s="20">
        <v>435.49361453120281</v>
      </c>
      <c r="V67" s="20">
        <v>442.86733036017307</v>
      </c>
      <c r="W67" s="20">
        <v>449.70681618949158</v>
      </c>
      <c r="X67" s="20">
        <v>456.08409845575864</v>
      </c>
      <c r="Y67" s="20">
        <v>462.0579166465763</v>
      </c>
      <c r="Z67" s="20">
        <v>467.676735883086</v>
      </c>
      <c r="AA67" s="20">
        <v>472.98096421800426</v>
      </c>
      <c r="AB67" s="20">
        <v>478.00461128258996</v>
      </c>
      <c r="AC67" s="20">
        <v>482.77654725025542</v>
      </c>
      <c r="AD67" s="20">
        <v>487.3214711068</v>
      </c>
      <c r="AE67" s="20">
        <v>491.66066432988833</v>
      </c>
      <c r="AF67" s="20">
        <v>495.81258400077371</v>
      </c>
      <c r="AG67" s="20">
        <f t="shared" si="3"/>
        <v>495.81258400077371</v>
      </c>
      <c r="AH67" s="14">
        <v>798</v>
      </c>
    </row>
    <row r="68" spans="1:34" ht="9.9499999999999993" customHeight="1" x14ac:dyDescent="0.2">
      <c r="A68" s="20">
        <f t="shared" si="2"/>
        <v>0.23429910879146168</v>
      </c>
      <c r="B68" s="20">
        <v>0.23429910879146168</v>
      </c>
      <c r="C68" s="20">
        <v>0.58660130538301514</v>
      </c>
      <c r="D68" s="20">
        <v>1.1760584863174015</v>
      </c>
      <c r="E68" s="20">
        <v>1.8872054427138238</v>
      </c>
      <c r="F68" s="20">
        <v>2.363621813289587</v>
      </c>
      <c r="G68" s="20">
        <v>4.7739231947129088</v>
      </c>
      <c r="H68" s="20">
        <v>7.2322518894622068</v>
      </c>
      <c r="I68" s="20">
        <v>8.4798596797446422</v>
      </c>
      <c r="J68" s="20">
        <v>9.7399996648947447</v>
      </c>
      <c r="K68" s="20">
        <v>12.298602493308239</v>
      </c>
      <c r="L68" s="20">
        <v>20.294557216129341</v>
      </c>
      <c r="M68" s="20">
        <v>25.907733219380216</v>
      </c>
      <c r="N68" s="20">
        <v>97.465756861080578</v>
      </c>
      <c r="O68" s="20">
        <v>195.09861954389123</v>
      </c>
      <c r="P68" s="20">
        <v>306.27624027862868</v>
      </c>
      <c r="Q68" s="20">
        <v>348.67656240087047</v>
      </c>
      <c r="R68" s="20">
        <v>378.97098302878555</v>
      </c>
      <c r="S68" s="20">
        <v>402.27715771095421</v>
      </c>
      <c r="T68" s="20">
        <v>421.11736074754901</v>
      </c>
      <c r="U68" s="20">
        <v>429.32488415299167</v>
      </c>
      <c r="V68" s="20">
        <v>436.88918281993381</v>
      </c>
      <c r="W68" s="20">
        <v>443.90224706747398</v>
      </c>
      <c r="X68" s="20">
        <v>450.43823432280607</v>
      </c>
      <c r="Y68" s="20">
        <v>456.55769711520679</v>
      </c>
      <c r="Z68" s="20">
        <v>462.31064692344324</v>
      </c>
      <c r="AA68" s="20">
        <v>467.73881472814753</v>
      </c>
      <c r="AB68" s="20">
        <v>472.87734580806602</v>
      </c>
      <c r="AC68" s="20">
        <v>477.75608875723822</v>
      </c>
      <c r="AD68" s="20">
        <v>482.4005886790884</v>
      </c>
      <c r="AE68" s="20">
        <v>486.83286152287229</v>
      </c>
      <c r="AF68" s="20">
        <v>491.07200432761567</v>
      </c>
      <c r="AG68" s="20">
        <f t="shared" si="3"/>
        <v>491.07200432761567</v>
      </c>
      <c r="AH68" s="13">
        <v>806</v>
      </c>
    </row>
    <row r="69" spans="1:34" ht="9.9499999999999993" customHeight="1" x14ac:dyDescent="0.2">
      <c r="A69" s="20">
        <f t="shared" si="2"/>
        <v>0.23198896688363507</v>
      </c>
      <c r="B69" s="20">
        <v>0.23198896688363507</v>
      </c>
      <c r="C69" s="20">
        <v>0.5807894341258294</v>
      </c>
      <c r="D69" s="20">
        <v>1.1643118499808547</v>
      </c>
      <c r="E69" s="20">
        <v>1.8681717350801068</v>
      </c>
      <c r="F69" s="20">
        <v>2.3396280319133154</v>
      </c>
      <c r="G69" s="20">
        <v>4.7238598662083122</v>
      </c>
      <c r="H69" s="20">
        <v>7.153889084948136</v>
      </c>
      <c r="I69" s="20">
        <v>8.3864596929766808</v>
      </c>
      <c r="J69" s="20">
        <v>9.630942086806872</v>
      </c>
      <c r="K69" s="20">
        <v>12.156277570100482</v>
      </c>
      <c r="L69" s="20">
        <v>20.03502879246928</v>
      </c>
      <c r="M69" s="20">
        <v>25.553357564062892</v>
      </c>
      <c r="N69" s="20">
        <v>94.861320810952662</v>
      </c>
      <c r="O69" s="20">
        <v>187.56035115164443</v>
      </c>
      <c r="P69" s="20">
        <v>297.46599432687663</v>
      </c>
      <c r="Q69" s="20">
        <v>340.66068292982516</v>
      </c>
      <c r="R69" s="20">
        <v>371.65430029600395</v>
      </c>
      <c r="S69" s="20">
        <v>395.53033316748315</v>
      </c>
      <c r="T69" s="20">
        <v>414.83553516594986</v>
      </c>
      <c r="U69" s="20">
        <v>423.24381536591272</v>
      </c>
      <c r="V69" s="20">
        <v>430.99108905466215</v>
      </c>
      <c r="W69" s="20">
        <v>438.17147467628547</v>
      </c>
      <c r="X69" s="20">
        <v>444.86097199348444</v>
      </c>
      <c r="Y69" s="20">
        <v>451.12172618851071</v>
      </c>
      <c r="Z69" s="20">
        <v>457.00512570360507</v>
      </c>
      <c r="AA69" s="20">
        <v>462.5540933522413</v>
      </c>
      <c r="AB69" s="20">
        <v>467.80480789321263</v>
      </c>
      <c r="AC69" s="20">
        <v>472.78801615453125</v>
      </c>
      <c r="AD69" s="20">
        <v>477.53004597795103</v>
      </c>
      <c r="AE69" s="20">
        <v>482.05359733984977</v>
      </c>
      <c r="AF69" s="20">
        <v>486.37836681248444</v>
      </c>
      <c r="AG69" s="20">
        <f t="shared" si="3"/>
        <v>486.37836681248444</v>
      </c>
      <c r="AH69" s="14">
        <v>814</v>
      </c>
    </row>
    <row r="70" spans="1:34" ht="9.9499999999999993" customHeight="1" x14ac:dyDescent="0.2">
      <c r="A70" s="20">
        <f t="shared" si="2"/>
        <v>0.22972406689778227</v>
      </c>
      <c r="B70" s="20">
        <v>0.22972406689778227</v>
      </c>
      <c r="C70" s="20">
        <v>0.5750924277939069</v>
      </c>
      <c r="D70" s="20">
        <v>1.1528009181232977</v>
      </c>
      <c r="E70" s="20">
        <v>1.8495269158946193</v>
      </c>
      <c r="F70" s="20">
        <v>2.3161303868557295</v>
      </c>
      <c r="G70" s="20">
        <v>4.6748947097967708</v>
      </c>
      <c r="H70" s="20">
        <v>7.0773474582232883</v>
      </c>
      <c r="I70" s="20">
        <v>8.2952929692367476</v>
      </c>
      <c r="J70" s="20">
        <v>9.524566615184737</v>
      </c>
      <c r="K70" s="20">
        <v>12.017652650602404</v>
      </c>
      <c r="L70" s="20">
        <v>19.783422606652753</v>
      </c>
      <c r="M70" s="20">
        <v>25.210968981866934</v>
      </c>
      <c r="N70" s="20">
        <v>92.461160624130898</v>
      </c>
      <c r="O70" s="20">
        <v>180.75086704990377</v>
      </c>
      <c r="P70" s="20">
        <v>289.03270632359568</v>
      </c>
      <c r="Q70" s="20">
        <v>332.88623963753503</v>
      </c>
      <c r="R70" s="20">
        <v>364.50941443937432</v>
      </c>
      <c r="S70" s="20">
        <v>388.91321964588838</v>
      </c>
      <c r="T70" s="20">
        <v>408.65643767457345</v>
      </c>
      <c r="U70" s="20">
        <v>417.25563382951134</v>
      </c>
      <c r="V70" s="20">
        <v>425.17778938724553</v>
      </c>
      <c r="W70" s="20">
        <v>432.518785409082</v>
      </c>
      <c r="X70" s="20">
        <v>439.35618200383527</v>
      </c>
      <c r="Y70" s="20">
        <v>445.75349828978887</v>
      </c>
      <c r="Z70" s="20">
        <v>451.76332914447426</v>
      </c>
      <c r="AA70" s="20">
        <v>457.42965553755801</v>
      </c>
      <c r="AB70" s="20">
        <v>462.78958432638007</v>
      </c>
      <c r="AC70" s="20">
        <v>467.87467701122176</v>
      </c>
      <c r="AD70" s="20">
        <v>472.71197751641563</v>
      </c>
      <c r="AE70" s="20">
        <v>477.32481635484407</v>
      </c>
      <c r="AF70" s="20">
        <v>481.73344644800306</v>
      </c>
      <c r="AG70" s="20">
        <f t="shared" si="3"/>
        <v>481.73344644800306</v>
      </c>
      <c r="AH70" s="13">
        <v>822</v>
      </c>
    </row>
    <row r="71" spans="1:34" ht="9.9499999999999993" customHeight="1" x14ac:dyDescent="0.2">
      <c r="A71" s="20">
        <f t="shared" si="2"/>
        <v>0.22750308759453558</v>
      </c>
      <c r="B71" s="20">
        <v>0.22750308759453558</v>
      </c>
      <c r="C71" s="20">
        <v>0.56950688222474366</v>
      </c>
      <c r="D71" s="20">
        <v>1.1415185354664468</v>
      </c>
      <c r="E71" s="20">
        <v>1.8312588431146632</v>
      </c>
      <c r="F71" s="20">
        <v>2.2931131010583221</v>
      </c>
      <c r="G71" s="20">
        <v>4.6269896238694095</v>
      </c>
      <c r="H71" s="20">
        <v>7.0025585103995036</v>
      </c>
      <c r="I71" s="20">
        <v>8.2062722290011685</v>
      </c>
      <c r="J71" s="20">
        <v>9.4207644656392535</v>
      </c>
      <c r="K71" s="20">
        <v>11.882566622468662</v>
      </c>
      <c r="L71" s="20">
        <v>19.539320471701068</v>
      </c>
      <c r="M71" s="20">
        <v>24.879857377365976</v>
      </c>
      <c r="N71" s="20">
        <v>90.237936265537101</v>
      </c>
      <c r="O71" s="20">
        <v>174.57320840806076</v>
      </c>
      <c r="P71" s="20">
        <v>280.97528870951243</v>
      </c>
      <c r="Q71" s="20">
        <v>325.35656588889543</v>
      </c>
      <c r="R71" s="20">
        <v>357.54131909611999</v>
      </c>
      <c r="S71" s="20">
        <v>382.43108977689587</v>
      </c>
      <c r="T71" s="20">
        <v>402.58489001414011</v>
      </c>
      <c r="U71" s="20">
        <v>411.36482952486597</v>
      </c>
      <c r="V71" s="20">
        <v>419.45342345488405</v>
      </c>
      <c r="W71" s="20">
        <v>426.94797165373774</v>
      </c>
      <c r="X71" s="20">
        <v>433.92732514460596</v>
      </c>
      <c r="Y71" s="20">
        <v>440.4561648187302</v>
      </c>
      <c r="Z71" s="20">
        <v>446.58812422273689</v>
      </c>
      <c r="AA71" s="20">
        <v>452.36810926903144</v>
      </c>
      <c r="AB71" s="20">
        <v>457.83404867080668</v>
      </c>
      <c r="AC71" s="20">
        <v>463.01823347247517</v>
      </c>
      <c r="AD71" s="20">
        <v>467.94835513699985</v>
      </c>
      <c r="AE71" s="20">
        <v>472.64831924379484</v>
      </c>
      <c r="AF71" s="20">
        <v>477.13888994225022</v>
      </c>
      <c r="AG71" s="20">
        <f t="shared" si="3"/>
        <v>477.13888994225022</v>
      </c>
      <c r="AH71" s="14">
        <v>830</v>
      </c>
    </row>
    <row r="72" spans="1:34" ht="9.9499999999999993" customHeight="1" x14ac:dyDescent="0.2">
      <c r="A72" s="20">
        <f t="shared" si="2"/>
        <v>0.22532475895456297</v>
      </c>
      <c r="B72" s="20">
        <v>0.22532475895456297</v>
      </c>
      <c r="C72" s="20">
        <v>0.56402952815416252</v>
      </c>
      <c r="D72" s="20">
        <v>1.1304578403652026</v>
      </c>
      <c r="E72" s="20">
        <v>1.8133558930608951</v>
      </c>
      <c r="F72" s="20">
        <v>2.2705610880859508</v>
      </c>
      <c r="G72" s="20">
        <v>4.5801083730700416</v>
      </c>
      <c r="H72" s="20">
        <v>6.9294574367785975</v>
      </c>
      <c r="I72" s="20">
        <v>8.1193151098191692</v>
      </c>
      <c r="J72" s="20">
        <v>9.3194332404550106</v>
      </c>
      <c r="K72" s="20">
        <v>11.750868584608593</v>
      </c>
      <c r="L72" s="20">
        <v>19.302336461591288</v>
      </c>
      <c r="M72" s="20">
        <v>24.559373985608453</v>
      </c>
      <c r="N72" s="20">
        <v>88.169316996936345</v>
      </c>
      <c r="O72" s="20">
        <v>168.94387320419298</v>
      </c>
      <c r="P72" s="20">
        <v>273.28947728452516</v>
      </c>
      <c r="Q72" s="20">
        <v>318.07289197524835</v>
      </c>
      <c r="R72" s="20">
        <v>350.75326035802271</v>
      </c>
      <c r="S72" s="20">
        <v>376.08792940878169</v>
      </c>
      <c r="T72" s="20">
        <v>396.62482236806221</v>
      </c>
      <c r="U72" s="20">
        <v>405.57515459587034</v>
      </c>
      <c r="V72" s="20">
        <v>413.82151926050926</v>
      </c>
      <c r="W72" s="20">
        <v>421.46231662717497</v>
      </c>
      <c r="X72" s="20">
        <v>428.57743579582626</v>
      </c>
      <c r="Y72" s="20">
        <v>435.23251753459368</v>
      </c>
      <c r="Z72" s="20">
        <v>441.48207223233351</v>
      </c>
      <c r="AA72" s="20">
        <v>447.37180060682658</v>
      </c>
      <c r="AB72" s="20">
        <v>452.9403482233044</v>
      </c>
      <c r="AC72" s="20">
        <v>458.22065064159358</v>
      </c>
      <c r="AD72" s="20">
        <v>463.24097774327453</v>
      </c>
      <c r="AE72" s="20">
        <v>468.02575375530637</v>
      </c>
      <c r="AF72" s="20">
        <v>472.59620780501905</v>
      </c>
      <c r="AG72" s="20">
        <f t="shared" si="3"/>
        <v>472.59620780501905</v>
      </c>
      <c r="AH72" s="13">
        <v>838</v>
      </c>
    </row>
    <row r="73" spans="1:34" ht="9.9499999999999993" customHeight="1" x14ac:dyDescent="0.2">
      <c r="A73" s="20">
        <f t="shared" si="2"/>
        <v>0.22318785970292615</v>
      </c>
      <c r="B73" s="20">
        <v>0.22318785970292615</v>
      </c>
      <c r="C73" s="20">
        <v>0.55865722449031907</v>
      </c>
      <c r="D73" s="20">
        <v>1.1196122494566343</v>
      </c>
      <c r="E73" s="20">
        <v>1.7958069319033647</v>
      </c>
      <c r="F73" s="20">
        <v>2.248459912944003</v>
      </c>
      <c r="G73" s="20">
        <v>4.5342164678163668</v>
      </c>
      <c r="H73" s="20">
        <v>6.8579828628684032</v>
      </c>
      <c r="I73" s="20">
        <v>8.0343437990490454</v>
      </c>
      <c r="J73" s="20">
        <v>9.2204764315725765</v>
      </c>
      <c r="K73" s="20">
        <v>11.622416990872129</v>
      </c>
      <c r="L73" s="20">
        <v>19.072113647784288</v>
      </c>
      <c r="M73" s="20">
        <v>24.248924468145731</v>
      </c>
      <c r="N73" s="20">
        <v>86.236845458259751</v>
      </c>
      <c r="O73" s="20">
        <v>163.79167110695533</v>
      </c>
      <c r="P73" s="20">
        <v>265.96820489469809</v>
      </c>
      <c r="Q73" s="20">
        <v>311.03474440837306</v>
      </c>
      <c r="R73" s="20">
        <v>344.14699532818594</v>
      </c>
      <c r="S73" s="20">
        <v>369.88655263175059</v>
      </c>
      <c r="T73" s="20">
        <v>390.77931141474937</v>
      </c>
      <c r="U73" s="20">
        <v>399.88964121283038</v>
      </c>
      <c r="V73" s="20">
        <v>408.28499846922131</v>
      </c>
      <c r="W73" s="20">
        <v>416.06459220019121</v>
      </c>
      <c r="X73" s="20">
        <v>423.30911558484496</v>
      </c>
      <c r="Y73" s="20">
        <v>430.08498013579708</v>
      </c>
      <c r="Z73" s="20">
        <v>436.44741957028668</v>
      </c>
      <c r="AA73" s="20">
        <v>442.44280444281526</v>
      </c>
      <c r="AB73" s="20">
        <v>448.11039517455708</v>
      </c>
      <c r="AC73" s="20">
        <v>453.48368836990193</v>
      </c>
      <c r="AD73" s="20">
        <v>458.59146381771592</v>
      </c>
      <c r="AE73" s="20">
        <v>463.45860797860922</v>
      </c>
      <c r="AF73" s="20">
        <v>468.10676834415551</v>
      </c>
      <c r="AG73" s="20">
        <f t="shared" si="3"/>
        <v>468.10676834415551</v>
      </c>
      <c r="AH73" s="14">
        <v>846</v>
      </c>
    </row>
    <row r="74" spans="1:34" ht="9.9499999999999993" customHeight="1" x14ac:dyDescent="0.2">
      <c r="A74" s="20">
        <f t="shared" si="2"/>
        <v>0.22109121497694265</v>
      </c>
      <c r="B74" s="20">
        <v>0.22109121497694265</v>
      </c>
      <c r="C74" s="20">
        <v>0.5533869519941601</v>
      </c>
      <c r="D74" s="20">
        <v>1.1089754432936727</v>
      </c>
      <c r="E74" s="20">
        <v>1.7786012890895011</v>
      </c>
      <c r="F74" s="20">
        <v>2.2267957556582072</v>
      </c>
      <c r="G74" s="20">
        <v>4.4892810535394823</v>
      </c>
      <c r="H74" s="20">
        <v>6.7880766039060223</v>
      </c>
      <c r="I74" s="20">
        <v>7.9512847007056608</v>
      </c>
      <c r="J74" s="20">
        <v>9.1238029715619007</v>
      </c>
      <c r="K74" s="20">
        <v>11.497078882458181</v>
      </c>
      <c r="L74" s="20">
        <v>18.848321239634711</v>
      </c>
      <c r="M74" s="20">
        <v>23.947962955431841</v>
      </c>
      <c r="N74" s="20">
        <v>84.425103463143969</v>
      </c>
      <c r="O74" s="20">
        <v>159.05618382169544</v>
      </c>
      <c r="P74" s="20">
        <v>259.00196872687343</v>
      </c>
      <c r="Q74" s="20">
        <v>304.2402612190225</v>
      </c>
      <c r="R74" s="20">
        <v>337.723036948821</v>
      </c>
      <c r="S74" s="20">
        <v>363.82873206971863</v>
      </c>
      <c r="T74" s="20">
        <v>385.05063645296667</v>
      </c>
      <c r="U74" s="20">
        <v>394.31063565466559</v>
      </c>
      <c r="V74" s="20">
        <v>402.84619556849884</v>
      </c>
      <c r="W74" s="20">
        <v>410.75706825564077</v>
      </c>
      <c r="X74" s="20">
        <v>418.12453649752752</v>
      </c>
      <c r="Y74" s="20">
        <v>425.01560753181138</v>
      </c>
      <c r="Z74" s="20">
        <v>431.48609476773521</v>
      </c>
      <c r="AA74" s="20">
        <v>437.5829203326233</v>
      </c>
      <c r="AB74" s="20">
        <v>443.34586190794238</v>
      </c>
      <c r="AC74" s="20">
        <v>448.80889643732377</v>
      </c>
      <c r="AD74" s="20">
        <v>454.00124673371261</v>
      </c>
      <c r="AE74" s="20">
        <v>458.94820592898742</v>
      </c>
      <c r="AF74" s="20">
        <v>463.67179359718318</v>
      </c>
      <c r="AG74" s="20">
        <f t="shared" si="3"/>
        <v>463.67179359718318</v>
      </c>
      <c r="AH74" s="13">
        <v>854</v>
      </c>
    </row>
    <row r="75" spans="1:34" ht="9.9499999999999993" customHeight="1" x14ac:dyDescent="0.2">
      <c r="A75" s="20">
        <f t="shared" si="2"/>
        <v>0.21903369412783461</v>
      </c>
      <c r="B75" s="20">
        <v>0.21903369412783461</v>
      </c>
      <c r="C75" s="20">
        <v>0.54821580733733455</v>
      </c>
      <c r="D75" s="20">
        <v>1.0985413528882046</v>
      </c>
      <c r="E75" s="20">
        <v>1.7617287325555182</v>
      </c>
      <c r="F75" s="20">
        <v>2.2055553773834236</v>
      </c>
      <c r="G75" s="20">
        <v>4.4452708087047661</v>
      </c>
      <c r="H75" s="20">
        <v>6.7196834454009249</v>
      </c>
      <c r="I75" s="20">
        <v>7.8700681326638255</v>
      </c>
      <c r="J75" s="20">
        <v>9.0293268271058942</v>
      </c>
      <c r="K75" s="20">
        <v>11.374729198211226</v>
      </c>
      <c r="L75" s="20">
        <v>18.630652070149186</v>
      </c>
      <c r="M75" s="20">
        <v>23.655986884112497</v>
      </c>
      <c r="N75" s="20">
        <v>82.721088822231692</v>
      </c>
      <c r="O75" s="20">
        <v>154.68618669333912</v>
      </c>
      <c r="P75" s="20">
        <v>252.37921974430193</v>
      </c>
      <c r="Q75" s="20">
        <v>297.68643509688525</v>
      </c>
      <c r="R75" s="20">
        <v>331.48087333246298</v>
      </c>
      <c r="S75" s="20">
        <v>357.9153337451059</v>
      </c>
      <c r="T75" s="20">
        <v>379.44034768544986</v>
      </c>
      <c r="U75" s="20">
        <v>388.83984450635501</v>
      </c>
      <c r="V75" s="20">
        <v>397.50688811661541</v>
      </c>
      <c r="W75" s="20">
        <v>405.54153173462788</v>
      </c>
      <c r="X75" s="20">
        <v>413.02545223078096</v>
      </c>
      <c r="Y75" s="20">
        <v>420.0260920190903</v>
      </c>
      <c r="Z75" s="20">
        <v>426.59971125758403</v>
      </c>
      <c r="AA75" s="20">
        <v>432.79367307770275</v>
      </c>
      <c r="AB75" s="20">
        <v>438.64818023026152</v>
      </c>
      <c r="AC75" s="20">
        <v>444.19761299376796</v>
      </c>
      <c r="AD75" s="20">
        <v>449.47157278100576</v>
      </c>
      <c r="AE75" s="20">
        <v>454.49570540114826</v>
      </c>
      <c r="AF75" s="20">
        <v>459.29235716822643</v>
      </c>
      <c r="AG75" s="20">
        <f t="shared" si="3"/>
        <v>459.29235716822643</v>
      </c>
      <c r="AH75" s="14">
        <v>862</v>
      </c>
    </row>
    <row r="76" spans="1:34" ht="9.9499999999999993" customHeight="1" x14ac:dyDescent="0.2">
      <c r="A76" s="20">
        <f t="shared" si="2"/>
        <v>0.21701420864720333</v>
      </c>
      <c r="B76" s="20">
        <v>0.21701420864720333</v>
      </c>
      <c r="C76" s="20">
        <v>0.54314099751094691</v>
      </c>
      <c r="D76" s="20">
        <v>1.0883041470949346</v>
      </c>
      <c r="E76" s="20">
        <v>1.7451794455778811</v>
      </c>
      <c r="F76" s="20">
        <v>2.1847260888307654</v>
      </c>
      <c r="G76" s="20">
        <v>4.4021558507813578</v>
      </c>
      <c r="H76" s="20">
        <v>6.6527509425125118</v>
      </c>
      <c r="I76" s="20">
        <v>7.7906280509360144</v>
      </c>
      <c r="J76" s="20">
        <v>8.9369666302300015</v>
      </c>
      <c r="K76" s="20">
        <v>11.255250153482912</v>
      </c>
      <c r="L76" s="20">
        <v>18.418820378215546</v>
      </c>
      <c r="M76" s="20">
        <v>23.372532505269405</v>
      </c>
      <c r="N76" s="20">
        <v>81.113742634148352</v>
      </c>
      <c r="O76" s="20">
        <v>150.63819530415626</v>
      </c>
      <c r="P76" s="20">
        <v>246.08677545206851</v>
      </c>
      <c r="Q76" s="20">
        <v>291.36930090261649</v>
      </c>
      <c r="R76" s="20">
        <v>325.41915629826889</v>
      </c>
      <c r="S76" s="20">
        <v>352.14644839144461</v>
      </c>
      <c r="T76" s="20">
        <v>373.94934125681328</v>
      </c>
      <c r="U76" s="20">
        <v>383.47838895469448</v>
      </c>
      <c r="V76" s="20">
        <v>392.26833518564649</v>
      </c>
      <c r="W76" s="20">
        <v>400.41931332717388</v>
      </c>
      <c r="X76" s="20">
        <v>408.01321636074175</v>
      </c>
      <c r="Y76" s="20">
        <v>415.11777537336195</v>
      </c>
      <c r="Z76" s="20">
        <v>421.78957519672383</v>
      </c>
      <c r="AA76" s="20">
        <v>428.0763175865664</v>
      </c>
      <c r="AB76" s="20">
        <v>434.01854420859786</v>
      </c>
      <c r="AC76" s="20">
        <v>439.65096603492367</v>
      </c>
      <c r="AD76" s="20">
        <v>445.00350174611754</v>
      </c>
      <c r="AE76" s="20">
        <v>450.10209797856231</v>
      </c>
      <c r="AF76" s="20">
        <v>454.96938389007084</v>
      </c>
      <c r="AG76" s="20">
        <f t="shared" si="3"/>
        <v>454.96938389007084</v>
      </c>
      <c r="AH76" s="13">
        <v>870</v>
      </c>
    </row>
    <row r="77" spans="1:34" ht="9.9499999999999993" customHeight="1" x14ac:dyDescent="0.2">
      <c r="A77" s="20">
        <f t="shared" si="2"/>
        <v>0.21503171021005335</v>
      </c>
      <c r="B77" s="20">
        <v>0.21503171021005335</v>
      </c>
      <c r="C77" s="20">
        <v>0.53815983456071848</v>
      </c>
      <c r="D77" s="20">
        <v>1.078258220773415</v>
      </c>
      <c r="E77" s="20">
        <v>1.7289440051347869</v>
      </c>
      <c r="F77" s="20">
        <v>2.164295720822794</v>
      </c>
      <c r="G77" s="20">
        <v>4.3599076494187079</v>
      </c>
      <c r="H77" s="20">
        <v>6.587229236337925</v>
      </c>
      <c r="I77" s="20">
        <v>7.7129017981496686</v>
      </c>
      <c r="J77" s="20">
        <v>8.8466453431247114</v>
      </c>
      <c r="K77" s="20">
        <v>11.138530679511023</v>
      </c>
      <c r="L77" s="20">
        <v>18.212559846304146</v>
      </c>
      <c r="M77" s="20">
        <v>23.097170961650654</v>
      </c>
      <c r="N77" s="20">
        <v>79.593585735994267</v>
      </c>
      <c r="O77" s="20">
        <v>146.87519708323512</v>
      </c>
      <c r="P77" s="20">
        <v>240.1102405928041</v>
      </c>
      <c r="Q77" s="20">
        <v>285.28408414056696</v>
      </c>
      <c r="R77" s="20">
        <v>319.53585854292868</v>
      </c>
      <c r="S77" s="20">
        <v>346.5215136696869</v>
      </c>
      <c r="T77" s="20">
        <v>368.57793647262014</v>
      </c>
      <c r="U77" s="20">
        <v>378.22686353982346</v>
      </c>
      <c r="V77" s="20">
        <v>387.13132121661602</v>
      </c>
      <c r="W77" s="20">
        <v>395.39131973664689</v>
      </c>
      <c r="X77" s="20">
        <v>403.08880581010817</v>
      </c>
      <c r="Y77" s="20">
        <v>410.29166575776242</v>
      </c>
      <c r="Z77" s="20">
        <v>417.05669754753029</v>
      </c>
      <c r="AA77" s="20">
        <v>423.43184744071704</v>
      </c>
      <c r="AB77" s="20">
        <v>429.45791619726998</v>
      </c>
      <c r="AC77" s="20">
        <v>435.16987760959739</v>
      </c>
      <c r="AD77" s="20">
        <v>440.59790982564135</v>
      </c>
      <c r="AE77" s="20">
        <v>445.76821103427517</v>
      </c>
      <c r="AF77" s="20">
        <v>450.70365118808314</v>
      </c>
      <c r="AG77" s="20">
        <f t="shared" si="3"/>
        <v>450.70365118808314</v>
      </c>
      <c r="AH77" s="14">
        <v>878</v>
      </c>
    </row>
    <row r="78" spans="1:34" ht="9.9499999999999993" customHeight="1" x14ac:dyDescent="0.2">
      <c r="A78" s="20">
        <f t="shared" si="2"/>
        <v>0.21308518882671887</v>
      </c>
      <c r="B78" s="20">
        <v>0.21308518882671887</v>
      </c>
      <c r="C78" s="20">
        <v>0.53326973062607796</v>
      </c>
      <c r="D78" s="20">
        <v>1.0683981836710774</v>
      </c>
      <c r="E78" s="20">
        <v>1.7130133616596765</v>
      </c>
      <c r="F78" s="20">
        <v>2.1442525968046753</v>
      </c>
      <c r="G78" s="20">
        <v>4.3184989461685941</v>
      </c>
      <c r="H78" s="20">
        <v>6.5230708854119053</v>
      </c>
      <c r="I78" s="20">
        <v>7.6368298736996012</v>
      </c>
      <c r="J78" s="20">
        <v>8.7582899529317615</v>
      </c>
      <c r="K78" s="20">
        <v>11.02446591634804</v>
      </c>
      <c r="L78" s="20">
        <v>18.011621859101865</v>
      </c>
      <c r="M78" s="20">
        <v>22.829504849543675</v>
      </c>
      <c r="N78" s="20">
        <v>78.15243559342359</v>
      </c>
      <c r="O78" s="20">
        <v>143.36557627612879</v>
      </c>
      <c r="P78" s="20">
        <v>234.434414269255</v>
      </c>
      <c r="Q78" s="20">
        <v>279.42532438473643</v>
      </c>
      <c r="R78" s="20">
        <v>313.82840190651746</v>
      </c>
      <c r="S78" s="20">
        <v>341.03942403477788</v>
      </c>
      <c r="T78" s="20">
        <v>363.32595160605001</v>
      </c>
      <c r="U78" s="20">
        <v>373.08539627554347</v>
      </c>
      <c r="V78" s="20">
        <v>382.09620278322183</v>
      </c>
      <c r="W78" s="20">
        <v>390.45806955829545</v>
      </c>
      <c r="X78" s="20">
        <v>398.25284811430998</v>
      </c>
      <c r="Y78" s="20">
        <v>405.5484583134641</v>
      </c>
      <c r="Z78" s="20">
        <v>412.40180956869858</v>
      </c>
      <c r="AA78" s="20">
        <v>418.86100652961505</v>
      </c>
      <c r="AB78" s="20">
        <v>424.96703557913969</v>
      </c>
      <c r="AC78" s="20">
        <v>430.75507040130128</v>
      </c>
      <c r="AD78" s="20">
        <v>436.25549460249016</v>
      </c>
      <c r="AE78" s="20">
        <v>441.49471151771263</v>
      </c>
      <c r="AF78" s="20">
        <v>446.49579198808249</v>
      </c>
      <c r="AG78" s="20">
        <f t="shared" si="3"/>
        <v>446.49579198808249</v>
      </c>
      <c r="AH78" s="13">
        <v>886</v>
      </c>
    </row>
    <row r="79" spans="1:34" ht="9.9499999999999993" customHeight="1" x14ac:dyDescent="0.2">
      <c r="A79" s="20">
        <f t="shared" si="2"/>
        <v>0.21117367109662316</v>
      </c>
      <c r="B79" s="20">
        <v>0.21117367109662316</v>
      </c>
      <c r="C79" s="20">
        <v>0.52846819326250472</v>
      </c>
      <c r="D79" s="20">
        <v>1.0587188499749667</v>
      </c>
      <c r="E79" s="20">
        <v>1.6973788200795499</v>
      </c>
      <c r="F79" s="20">
        <v>2.1245855071554498</v>
      </c>
      <c r="G79" s="20">
        <v>4.2779036801613053</v>
      </c>
      <c r="H79" s="20">
        <v>6.460230710916627</v>
      </c>
      <c r="I79" s="20">
        <v>7.5623557233534831</v>
      </c>
      <c r="J79" s="20">
        <v>8.6718311933145351</v>
      </c>
      <c r="K79" s="20">
        <v>10.912956753289865</v>
      </c>
      <c r="L79" s="20">
        <v>17.815773953863431</v>
      </c>
      <c r="M79" s="20">
        <v>22.569165195174335</v>
      </c>
      <c r="N79" s="20">
        <v>76.783183313896615</v>
      </c>
      <c r="O79" s="20">
        <v>140.08221747525067</v>
      </c>
      <c r="P79" s="20">
        <v>229.04366350310539</v>
      </c>
      <c r="Q79" s="20">
        <v>273.78698395323482</v>
      </c>
      <c r="R79" s="20">
        <v>308.29376080564788</v>
      </c>
      <c r="S79" s="20">
        <v>335.69862684446713</v>
      </c>
      <c r="T79" s="20">
        <v>358.19277568932313</v>
      </c>
      <c r="U79" s="20">
        <v>368.05370769022852</v>
      </c>
      <c r="V79" s="20">
        <v>377.1629561432847</v>
      </c>
      <c r="W79" s="20">
        <v>385.61973102234572</v>
      </c>
      <c r="X79" s="20">
        <v>393.5056510867928</v>
      </c>
      <c r="Y79" s="20">
        <v>400.88855833426061</v>
      </c>
      <c r="Z79" s="20">
        <v>407.8253808631456</v>
      </c>
      <c r="AA79" s="20">
        <v>414.36430309748357</v>
      </c>
      <c r="AB79" s="20">
        <v>420.54642971552653</v>
      </c>
      <c r="AC79" s="20">
        <v>426.40707629446274</v>
      </c>
      <c r="AD79" s="20">
        <v>431.97678178387088</v>
      </c>
      <c r="AE79" s="20">
        <v>437.282111293301</v>
      </c>
      <c r="AF79" s="20">
        <v>442.34629898477783</v>
      </c>
      <c r="AG79" s="20">
        <f t="shared" si="3"/>
        <v>442.34629898477783</v>
      </c>
      <c r="AH79" s="14">
        <v>894</v>
      </c>
    </row>
    <row r="80" spans="1:34" ht="9.9499999999999993" customHeight="1" x14ac:dyDescent="0.2">
      <c r="A80" s="20">
        <f t="shared" si="2"/>
        <v>0.20929621855731798</v>
      </c>
      <c r="B80" s="20">
        <v>0.20929621855731798</v>
      </c>
      <c r="C80" s="20">
        <v>0.52375282102806475</v>
      </c>
      <c r="D80" s="20">
        <v>1.0492152284842979</v>
      </c>
      <c r="E80" s="20">
        <v>1.6820320220404315</v>
      </c>
      <c r="F80" s="20">
        <v>2.1052836851579775</v>
      </c>
      <c r="G80" s="20">
        <v>4.2380969192065212</v>
      </c>
      <c r="H80" s="20">
        <v>6.3986656542704958</v>
      </c>
      <c r="I80" s="20">
        <v>7.4894255463505006</v>
      </c>
      <c r="J80" s="20">
        <v>8.5872032900201738</v>
      </c>
      <c r="K80" s="20">
        <v>10.80390941153758</v>
      </c>
      <c r="L80" s="20">
        <v>17.624798437670648</v>
      </c>
      <c r="M80" s="20">
        <v>22.315808787064835</v>
      </c>
      <c r="N80" s="20">
        <v>75.479616183206062</v>
      </c>
      <c r="O80" s="20">
        <v>137.00176450271033</v>
      </c>
      <c r="P80" s="20">
        <v>223.92224886633079</v>
      </c>
      <c r="Q80" s="20">
        <v>268.36254838739336</v>
      </c>
      <c r="R80" s="20">
        <v>302.92854546122567</v>
      </c>
      <c r="S80" s="20">
        <v>330.49720466147329</v>
      </c>
      <c r="T80" s="20">
        <v>353.17743459320769</v>
      </c>
      <c r="U80" s="20">
        <v>363.13116698339343</v>
      </c>
      <c r="V80" s="20">
        <v>372.33122388587299</v>
      </c>
      <c r="W80" s="20">
        <v>380.87616012206996</v>
      </c>
      <c r="X80" s="20">
        <v>388.8472336433108</v>
      </c>
      <c r="Y80" s="20">
        <v>396.31210601328883</v>
      </c>
      <c r="Z80" s="20">
        <v>403.32763917132178</v>
      </c>
      <c r="AA80" s="20">
        <v>409.94202555748785</v>
      </c>
      <c r="AB80" s="20">
        <v>416.19642659575089</v>
      </c>
      <c r="AC80" s="20">
        <v>422.12624652398301</v>
      </c>
      <c r="AD80" s="20">
        <v>427.76213338428641</v>
      </c>
      <c r="AE80" s="20">
        <v>433.13077378012628</v>
      </c>
      <c r="AF80" s="20">
        <v>438.25553007122528</v>
      </c>
      <c r="AG80" s="20">
        <f t="shared" si="3"/>
        <v>438.25553007122528</v>
      </c>
      <c r="AH80" s="13">
        <v>902</v>
      </c>
    </row>
    <row r="81" spans="1:34" ht="9.9499999999999993" customHeight="1" x14ac:dyDescent="0.2">
      <c r="A81" s="20">
        <f t="shared" si="2"/>
        <v>0.20745192612274541</v>
      </c>
      <c r="B81" s="20">
        <v>0.20745192612274541</v>
      </c>
      <c r="C81" s="20">
        <v>0.51912129931656215</v>
      </c>
      <c r="D81" s="20">
        <v>1.0398825133599592</v>
      </c>
      <c r="E81" s="20">
        <v>1.6669649292310278</v>
      </c>
      <c r="F81" s="20">
        <v>2.0863367844991347</v>
      </c>
      <c r="G81" s="20">
        <v>4.199054795843959</v>
      </c>
      <c r="H81" s="20">
        <v>6.338334645913549</v>
      </c>
      <c r="I81" s="20">
        <v>7.4179881182599381</v>
      </c>
      <c r="J81" s="20">
        <v>8.5043437279754563</v>
      </c>
      <c r="K81" s="20">
        <v>10.697235064494265</v>
      </c>
      <c r="L81" s="20">
        <v>17.438491150453814</v>
      </c>
      <c r="M81" s="20">
        <v>22.069115815209198</v>
      </c>
      <c r="N81" s="20">
        <v>74.236275081386566</v>
      </c>
      <c r="O81" s="20">
        <v>134.10401017382034</v>
      </c>
      <c r="P81" s="20">
        <v>219.05459463994248</v>
      </c>
      <c r="Q81" s="20">
        <v>263.1451221245843</v>
      </c>
      <c r="R81" s="20">
        <v>297.72906939819046</v>
      </c>
      <c r="S81" s="20">
        <v>325.43294460655949</v>
      </c>
      <c r="T81" s="20">
        <v>348.2786504642296</v>
      </c>
      <c r="U81" s="20">
        <v>358.3168440851797</v>
      </c>
      <c r="V81" s="20">
        <v>367.60035941084055</v>
      </c>
      <c r="W81" s="20">
        <v>376.22693794226353</v>
      </c>
      <c r="X81" s="20">
        <v>384.27735673925093</v>
      </c>
      <c r="Y81" s="20">
        <v>391.8190018721528</v>
      </c>
      <c r="Z81" s="20">
        <v>398.90859117104145</v>
      </c>
      <c r="AA81" s="20">
        <v>405.59425946897335</v>
      </c>
      <c r="AB81" s="20">
        <v>411.91716869662224</v>
      </c>
      <c r="AC81" s="20">
        <v>417.91276301329208</v>
      </c>
      <c r="AD81" s="20">
        <v>423.61175703570927</v>
      </c>
      <c r="AE81" s="20">
        <v>429.04092163655667</v>
      </c>
      <c r="AF81" s="20">
        <v>434.22371472240411</v>
      </c>
      <c r="AG81" s="20">
        <f t="shared" si="3"/>
        <v>434.22371472240411</v>
      </c>
      <c r="AH81" s="14">
        <v>910</v>
      </c>
    </row>
    <row r="82" spans="1:34" ht="9.9499999999999993" customHeight="1" x14ac:dyDescent="0.2">
      <c r="A82" s="20">
        <f t="shared" si="2"/>
        <v>0.20563992060509201</v>
      </c>
      <c r="B82" s="20">
        <v>0.20563992060509201</v>
      </c>
      <c r="C82" s="20">
        <v>0.51457139642108374</v>
      </c>
      <c r="D82" s="20">
        <v>1.0307160754106734</v>
      </c>
      <c r="E82" s="20">
        <v>1.6521698077233835</v>
      </c>
      <c r="F82" s="20">
        <v>2.0677348581833486</v>
      </c>
      <c r="G82" s="20">
        <v>4.1607544479170668</v>
      </c>
      <c r="H82" s="20">
        <v>6.2791984842376447</v>
      </c>
      <c r="I82" s="20">
        <v>7.3479946280646269</v>
      </c>
      <c r="J82" s="20">
        <v>8.423193037747831</v>
      </c>
      <c r="K82" s="20">
        <v>10.592849491673045</v>
      </c>
      <c r="L82" s="20">
        <v>17.256660355688179</v>
      </c>
      <c r="M82" s="20">
        <v>21.828787775655986</v>
      </c>
      <c r="N82" s="20">
        <v>73.048338915144384</v>
      </c>
      <c r="O82" s="20">
        <v>131.37139435151599</v>
      </c>
      <c r="P82" s="20">
        <v>214.42550208914454</v>
      </c>
      <c r="Q82" s="20">
        <v>258.12752042332727</v>
      </c>
      <c r="R82" s="20">
        <v>292.69140513602088</v>
      </c>
      <c r="S82" s="20">
        <v>320.50339614696793</v>
      </c>
      <c r="T82" s="20">
        <v>343.49489419342666</v>
      </c>
      <c r="U82" s="20">
        <v>353.60955691396248</v>
      </c>
      <c r="V82" s="20">
        <v>362.96946837335656</v>
      </c>
      <c r="W82" s="20">
        <v>371.67140629599737</v>
      </c>
      <c r="X82" s="20">
        <v>379.79555358125396</v>
      </c>
      <c r="Y82" s="20">
        <v>387.40893212452022</v>
      </c>
      <c r="Z82" s="20">
        <v>394.56804363881218</v>
      </c>
      <c r="AA82" s="20">
        <v>401.32090513345457</v>
      </c>
      <c r="AB82" s="20">
        <v>407.70862759894226</v>
      </c>
      <c r="AC82" s="20">
        <v>413.76665052723951</v>
      </c>
      <c r="AD82" s="20">
        <v>419.52571611810282</v>
      </c>
      <c r="AE82" s="20">
        <v>425.01264523831009</v>
      </c>
      <c r="AF82" s="20">
        <v>430.25096112663437</v>
      </c>
      <c r="AG82" s="20">
        <f t="shared" si="3"/>
        <v>430.25096112663437</v>
      </c>
      <c r="AH82" s="13">
        <v>918</v>
      </c>
    </row>
    <row r="83" spans="1:34" ht="9.9499999999999993" customHeight="1" x14ac:dyDescent="0.2">
      <c r="A83" s="20">
        <f t="shared" si="2"/>
        <v>0.203859359315023</v>
      </c>
      <c r="B83" s="20">
        <v>0.203859359315023</v>
      </c>
      <c r="C83" s="20">
        <v>0.51010095981294368</v>
      </c>
      <c r="D83" s="20">
        <v>1.0217114538788055</v>
      </c>
      <c r="E83" s="20">
        <v>1.6376392132563429</v>
      </c>
      <c r="F83" s="20">
        <v>2.0494683387530825</v>
      </c>
      <c r="G83" s="20">
        <v>4.1231739632858151</v>
      </c>
      <c r="H83" s="20">
        <v>6.2212197237234692</v>
      </c>
      <c r="I83" s="20">
        <v>7.2793985281061948</v>
      </c>
      <c r="J83" s="20">
        <v>8.3436945994542668</v>
      </c>
      <c r="K83" s="20">
        <v>10.490672762685803</v>
      </c>
      <c r="L83" s="20">
        <v>17.079125743242052</v>
      </c>
      <c r="M83" s="20">
        <v>21.594545605461306</v>
      </c>
      <c r="N83" s="20">
        <v>71.911530187395186</v>
      </c>
      <c r="O83" s="20">
        <v>128.78859071186795</v>
      </c>
      <c r="P83" s="20">
        <v>210.0203090157286</v>
      </c>
      <c r="Q83" s="20">
        <v>253.3023571277337</v>
      </c>
      <c r="R83" s="20">
        <v>287.81143124609486</v>
      </c>
      <c r="S83" s="20">
        <v>315.70591893921852</v>
      </c>
      <c r="T83" s="20">
        <v>338.82443103433155</v>
      </c>
      <c r="U83" s="20">
        <v>349.00791353639499</v>
      </c>
      <c r="V83" s="20">
        <v>358.43744656887685</v>
      </c>
      <c r="W83" s="20">
        <v>367.20870104753709</v>
      </c>
      <c r="X83" s="20">
        <v>375.40115847784534</v>
      </c>
      <c r="Y83" s="20">
        <v>383.08139337444362</v>
      </c>
      <c r="Z83" s="20">
        <v>390.30562443262119</v>
      </c>
      <c r="AA83" s="20">
        <v>397.12169533762204</v>
      </c>
      <c r="AB83" s="20">
        <v>403.57061895710518</v>
      </c>
      <c r="AC83" s="20">
        <v>409.68778929845001</v>
      </c>
      <c r="AD83" s="20">
        <v>415.50394042411705</v>
      </c>
      <c r="AE83" s="20">
        <v>421.04591171116584</v>
      </c>
      <c r="AF83" s="20">
        <v>426.33726386593167</v>
      </c>
      <c r="AG83" s="20">
        <f t="shared" si="3"/>
        <v>426.33726386593167</v>
      </c>
      <c r="AH83" s="14">
        <v>926</v>
      </c>
    </row>
    <row r="84" spans="1:34" ht="9.9499999999999993" customHeight="1" x14ac:dyDescent="0.2">
      <c r="A84" s="20">
        <f t="shared" si="2"/>
        <v>0.2021094287354471</v>
      </c>
      <c r="B84" s="20">
        <v>0.2021094287354471</v>
      </c>
      <c r="C84" s="20">
        <v>0.50570791262215564</v>
      </c>
      <c r="D84" s="20">
        <v>1.012864348691789</v>
      </c>
      <c r="E84" s="20">
        <v>1.6233659773939018</v>
      </c>
      <c r="F84" s="20">
        <v>2.0315280197191097</v>
      </c>
      <c r="G84" s="20">
        <v>4.0862923283323704</v>
      </c>
      <c r="H84" s="20">
        <v>6.1643625714467616</v>
      </c>
      <c r="I84" s="20">
        <v>7.212155395679714</v>
      </c>
      <c r="J84" s="20">
        <v>8.2657944624190307</v>
      </c>
      <c r="K84" s="20">
        <v>10.390628948208111</v>
      </c>
      <c r="L84" s="20">
        <v>16.90571753101047</v>
      </c>
      <c r="M84" s="20">
        <v>21.366128018250578</v>
      </c>
      <c r="N84" s="20">
        <v>70.82203725806113</v>
      </c>
      <c r="O84" s="20">
        <v>126.34216581617719</v>
      </c>
      <c r="P84" s="20">
        <v>205.82500159453292</v>
      </c>
      <c r="Q84" s="20">
        <v>248.66212712437871</v>
      </c>
      <c r="R84" s="20">
        <v>283.08487318038408</v>
      </c>
      <c r="S84" s="20">
        <v>311.03772237207238</v>
      </c>
      <c r="T84" s="20">
        <v>334.26535978788451</v>
      </c>
      <c r="U84" s="20">
        <v>344.51034924383629</v>
      </c>
      <c r="V84" s="20">
        <v>354.00301401457034</v>
      </c>
      <c r="W84" s="20">
        <v>362.83778273473951</v>
      </c>
      <c r="X84" s="20">
        <v>371.09333388138248</v>
      </c>
      <c r="Y84" s="20">
        <v>378.83571619368399</v>
      </c>
      <c r="Z84" s="20">
        <v>386.12080286367723</v>
      </c>
      <c r="AA84" s="20">
        <v>392.99621285018782</v>
      </c>
      <c r="AB84" s="20">
        <v>399.50281747422542</v>
      </c>
      <c r="AC84" s="20">
        <v>405.67592782555374</v>
      </c>
      <c r="AD84" s="20">
        <v>411.54623709946765</v>
      </c>
      <c r="AE84" s="20">
        <v>417.14057429849419</v>
      </c>
      <c r="AF84" s="20">
        <v>422.48251195920102</v>
      </c>
      <c r="AG84" s="20">
        <f t="shared" si="3"/>
        <v>422.48251195920102</v>
      </c>
      <c r="AH84" s="13">
        <v>934</v>
      </c>
    </row>
    <row r="85" spans="1:34" ht="9.9499999999999993" customHeight="1" x14ac:dyDescent="0.2">
      <c r="A85" s="20">
        <f t="shared" si="2"/>
        <v>0.20038934326431149</v>
      </c>
      <c r="B85" s="20">
        <v>0.20038934326431149</v>
      </c>
      <c r="C85" s="20">
        <v>0.501390250306608</v>
      </c>
      <c r="D85" s="20">
        <v>1.0041706131478114</v>
      </c>
      <c r="E85" s="20">
        <v>1.6093431944963335</v>
      </c>
      <c r="F85" s="20">
        <v>2.0139050381119441</v>
      </c>
      <c r="G85" s="20">
        <v>4.050089379947174</v>
      </c>
      <c r="H85" s="20">
        <v>6.1085927912041633</v>
      </c>
      <c r="I85" s="20">
        <v>7.1462228051972234</v>
      </c>
      <c r="J85" s="20">
        <v>8.1894411790721087</v>
      </c>
      <c r="K85" s="20">
        <v>10.29264585518351</v>
      </c>
      <c r="L85" s="20">
        <v>16.736275653789345</v>
      </c>
      <c r="M85" s="20">
        <v>21.143290015016873</v>
      </c>
      <c r="N85" s="20">
        <v>69.776449899222882</v>
      </c>
      <c r="O85" s="20">
        <v>124.02029700754692</v>
      </c>
      <c r="P85" s="20">
        <v>201.82628585658512</v>
      </c>
      <c r="Q85" s="20">
        <v>244.1992821627029</v>
      </c>
      <c r="R85" s="20">
        <v>278.5073395715159</v>
      </c>
      <c r="S85" s="20">
        <v>306.4958983477357</v>
      </c>
      <c r="T85" s="20">
        <v>329.81564615224812</v>
      </c>
      <c r="U85" s="20">
        <v>340.1151587774761</v>
      </c>
      <c r="V85" s="20">
        <v>349.66474520036314</v>
      </c>
      <c r="W85" s="20">
        <v>358.55746429914126</v>
      </c>
      <c r="X85" s="20">
        <v>366.87109533779449</v>
      </c>
      <c r="Y85" s="20">
        <v>374.67108725474912</v>
      </c>
      <c r="Z85" s="20">
        <v>382.01290912813954</v>
      </c>
      <c r="AA85" s="20">
        <v>388.94390735846474</v>
      </c>
      <c r="AB85" s="20">
        <v>395.50477159455636</v>
      </c>
      <c r="AC85" s="20">
        <v>401.73069558561718</v>
      </c>
      <c r="AD85" s="20">
        <v>407.65230163265483</v>
      </c>
      <c r="AE85" s="20">
        <v>413.2963818671048</v>
      </c>
      <c r="AF85" s="20">
        <v>418.68649709898165</v>
      </c>
      <c r="AG85" s="20">
        <f t="shared" si="3"/>
        <v>418.68649709898165</v>
      </c>
      <c r="AH85" s="14">
        <v>942</v>
      </c>
    </row>
    <row r="86" spans="1:34" ht="9.9499999999999993" customHeight="1" x14ac:dyDescent="0.2">
      <c r="A86" s="20">
        <f t="shared" si="2"/>
        <v>0.19869834402223902</v>
      </c>
      <c r="B86" s="20">
        <v>0.19869834402223902</v>
      </c>
      <c r="C86" s="20">
        <v>0.49714603749803643</v>
      </c>
      <c r="D86" s="20">
        <v>0.99562624700688418</v>
      </c>
      <c r="E86" s="20">
        <v>1.5955642094469962</v>
      </c>
      <c r="F86" s="20">
        <v>1.9965908580733143</v>
      </c>
      <c r="G86" s="20">
        <v>4.0145457607128439</v>
      </c>
      <c r="H86" s="20">
        <v>6.0538776145867406</v>
      </c>
      <c r="I86" s="20">
        <v>7.081560209955307</v>
      </c>
      <c r="J86" s="20">
        <v>8.1145856517463102</v>
      </c>
      <c r="K86" s="20">
        <v>10.196654783850093</v>
      </c>
      <c r="L86" s="20">
        <v>16.570649029389273</v>
      </c>
      <c r="M86" s="20">
        <v>20.925801548446767</v>
      </c>
      <c r="N86" s="20">
        <v>68.771705524045771</v>
      </c>
      <c r="O86" s="20">
        <v>121.81253817179413</v>
      </c>
      <c r="P86" s="20">
        <v>198.01162643641948</v>
      </c>
      <c r="Q86" s="20">
        <v>239.906298886326</v>
      </c>
      <c r="R86" s="20">
        <v>274.07435511720365</v>
      </c>
      <c r="S86" s="20">
        <v>302.07744865548591</v>
      </c>
      <c r="T86" s="20">
        <v>325.47315092222692</v>
      </c>
      <c r="U86" s="20">
        <v>335.82052407493882</v>
      </c>
      <c r="V86" s="20">
        <v>345.42109564084092</v>
      </c>
      <c r="W86" s="20">
        <v>354.36643588541614</v>
      </c>
      <c r="X86" s="20">
        <v>362.733334197717</v>
      </c>
      <c r="Y86" s="20">
        <v>370.58656981250778</v>
      </c>
      <c r="Z86" s="20">
        <v>377.98115256469828</v>
      </c>
      <c r="AA86" s="20">
        <v>384.96411160598171</v>
      </c>
      <c r="AB86" s="20">
        <v>391.57591768376818</v>
      </c>
      <c r="AC86" s="20">
        <v>397.85161544829759</v>
      </c>
      <c r="AD86" s="20">
        <v>403.82172870205301</v>
      </c>
      <c r="AE86" s="20">
        <v>409.51298838086353</v>
      </c>
      <c r="AF86" s="20">
        <v>414.94892193193039</v>
      </c>
      <c r="AG86" s="20">
        <f t="shared" si="3"/>
        <v>414.94892193193039</v>
      </c>
      <c r="AH86" s="13">
        <v>950</v>
      </c>
    </row>
    <row r="87" spans="1:34" ht="9.9499999999999993" customHeight="1" x14ac:dyDescent="0.2">
      <c r="A87" s="20">
        <f t="shared" si="2"/>
        <v>0.1970356977211096</v>
      </c>
      <c r="B87" s="20">
        <v>0.1970356977211096</v>
      </c>
      <c r="C87" s="20">
        <v>0.49297340501377412</v>
      </c>
      <c r="D87" s="20">
        <v>0.98722738996063075</v>
      </c>
      <c r="E87" s="20">
        <v>1.5820226060825173</v>
      </c>
      <c r="F87" s="20">
        <v>1.9795772554134401</v>
      </c>
      <c r="G87" s="20">
        <v>3.9796428770300079</v>
      </c>
      <c r="H87" s="20">
        <v>6.0001856583980135</v>
      </c>
      <c r="I87" s="20">
        <v>7.0181288326437299</v>
      </c>
      <c r="J87" s="20">
        <v>8.0411809911773986</v>
      </c>
      <c r="K87" s="20">
        <v>10.102590304448949</v>
      </c>
      <c r="L87" s="20">
        <v>16.408694893300105</v>
      </c>
      <c r="M87" s="20">
        <v>20.713446322137969</v>
      </c>
      <c r="N87" s="20">
        <v>67.805044049581809</v>
      </c>
      <c r="O87" s="20">
        <v>119.70962450446241</v>
      </c>
      <c r="P87" s="20">
        <v>194.36925974681364</v>
      </c>
      <c r="Q87" s="20">
        <v>235.77573828908643</v>
      </c>
      <c r="R87" s="20">
        <v>269.78139070978278</v>
      </c>
      <c r="S87" s="20">
        <v>297.7793080751747</v>
      </c>
      <c r="T87" s="20">
        <v>321.23565374112258</v>
      </c>
      <c r="U87" s="20">
        <v>331.6245379888054</v>
      </c>
      <c r="V87" s="20">
        <v>341.27042496585318</v>
      </c>
      <c r="W87" s="20">
        <v>350.26328678630819</v>
      </c>
      <c r="X87" s="20">
        <v>358.67883805200586</v>
      </c>
      <c r="Y87" s="20">
        <v>366.58112242486209</v>
      </c>
      <c r="Z87" s="20">
        <v>374.0246385871269</v>
      </c>
      <c r="AA87" s="20">
        <v>381.05605656122202</v>
      </c>
      <c r="AB87" s="20">
        <v>387.71559352320543</v>
      </c>
      <c r="AC87" s="20">
        <v>394.03811562338245</v>
      </c>
      <c r="AD87" s="20">
        <v>400.05402272305452</v>
      </c>
      <c r="AE87" s="20">
        <v>405.78996219850166</v>
      </c>
      <c r="AF87" s="20">
        <v>411.26940825412464</v>
      </c>
      <c r="AG87" s="20">
        <f t="shared" si="3"/>
        <v>411.26940825412464</v>
      </c>
      <c r="AH87" s="14">
        <v>958</v>
      </c>
    </row>
    <row r="88" spans="1:34" ht="9.9499999999999993" customHeight="1" x14ac:dyDescent="0.2">
      <c r="A88" s="20">
        <f t="shared" si="2"/>
        <v>0.19540069558995823</v>
      </c>
      <c r="B88" s="20">
        <v>0.19540069558995823</v>
      </c>
      <c r="C88" s="20">
        <v>0.48887054702403576</v>
      </c>
      <c r="D88" s="20">
        <v>0.97897031545617763</v>
      </c>
      <c r="E88" s="20">
        <v>1.5687121962781918</v>
      </c>
      <c r="F88" s="20">
        <v>1.9628563030660569</v>
      </c>
      <c r="G88" s="20">
        <v>3.9453628599530601</v>
      </c>
      <c r="H88" s="20">
        <v>5.9474868478738214</v>
      </c>
      <c r="I88" s="20">
        <v>6.9558915638217798</v>
      </c>
      <c r="J88" s="20">
        <v>7.9691823856388675</v>
      </c>
      <c r="K88" s="20">
        <v>10.01039005171609</v>
      </c>
      <c r="L88" s="20">
        <v>16.250278194337035</v>
      </c>
      <c r="M88" s="20">
        <v>20.506020708657942</v>
      </c>
      <c r="N88" s="20">
        <v>66.873969792211895</v>
      </c>
      <c r="O88" s="20">
        <v>117.70330914285587</v>
      </c>
      <c r="P88" s="20">
        <v>190.88818790322571</v>
      </c>
      <c r="Q88" s="20">
        <v>231.80029623880478</v>
      </c>
      <c r="R88" s="20">
        <v>265.62389114981414</v>
      </c>
      <c r="S88" s="20">
        <v>293.59836412845249</v>
      </c>
      <c r="T88" s="20">
        <v>317.10087307910004</v>
      </c>
      <c r="U88" s="20">
        <v>327.52522445730079</v>
      </c>
      <c r="V88" s="20">
        <v>337.21101685177462</v>
      </c>
      <c r="W88" s="20">
        <v>346.24652468903719</v>
      </c>
      <c r="X88" s="20">
        <v>354.70630893769908</v>
      </c>
      <c r="Y88" s="20">
        <v>362.65361588161176</v>
      </c>
      <c r="Z88" s="20">
        <v>370.14238421118534</v>
      </c>
      <c r="AA88" s="20">
        <v>377.21888550794483</v>
      </c>
      <c r="AB88" s="20">
        <v>383.92305099471434</v>
      </c>
      <c r="AC88" s="20">
        <v>390.289541014733</v>
      </c>
      <c r="AD88" s="20">
        <v>396.34860797137372</v>
      </c>
      <c r="AE88" s="20">
        <v>402.12679507878903</v>
      </c>
      <c r="AF88" s="20">
        <v>407.64750501352233</v>
      </c>
      <c r="AG88" s="20">
        <f t="shared" si="3"/>
        <v>407.64750501352233</v>
      </c>
      <c r="AH88" s="13">
        <v>966</v>
      </c>
    </row>
    <row r="89" spans="1:34" ht="9.9499999999999993" customHeight="1" x14ac:dyDescent="0.2">
      <c r="A89" s="20">
        <f t="shared" si="2"/>
        <v>0.19379265235462331</v>
      </c>
      <c r="B89" s="20">
        <v>0.19379265235462331</v>
      </c>
      <c r="C89" s="20">
        <v>0.48483571836524186</v>
      </c>
      <c r="D89" s="20">
        <v>0.97085142485138687</v>
      </c>
      <c r="E89" s="20">
        <v>1.5556270096443401</v>
      </c>
      <c r="F89" s="20">
        <v>1.9464203573787178</v>
      </c>
      <c r="G89" s="20">
        <v>3.9116885285250707</v>
      </c>
      <c r="H89" s="20">
        <v>5.8957523452151905</v>
      </c>
      <c r="I89" s="20">
        <v>6.89481286766802</v>
      </c>
      <c r="J89" s="20">
        <v>7.8985469797563281</v>
      </c>
      <c r="K89" s="20">
        <v>9.9199945354703676</v>
      </c>
      <c r="L89" s="20">
        <v>16.095271044656574</v>
      </c>
      <c r="M89" s="20">
        <v>20.303332772577289</v>
      </c>
      <c r="N89" s="20">
        <v>65.976219128936847</v>
      </c>
      <c r="O89" s="20">
        <v>115.78622590873569</v>
      </c>
      <c r="P89" s="20">
        <v>187.55815872528748</v>
      </c>
      <c r="Q89" s="20">
        <v>227.9728451190374</v>
      </c>
      <c r="R89" s="20">
        <v>261.59730057464094</v>
      </c>
      <c r="S89" s="20">
        <v>289.53147419201457</v>
      </c>
      <c r="T89" s="20">
        <v>313.06648305425949</v>
      </c>
      <c r="U89" s="20">
        <v>323.52055560284407</v>
      </c>
      <c r="V89" s="20">
        <v>333.24109612616519</v>
      </c>
      <c r="W89" s="20">
        <v>342.31459243002757</v>
      </c>
      <c r="X89" s="20">
        <v>350.81437942004584</v>
      </c>
      <c r="Y89" s="20">
        <v>358.8028483712539</v>
      </c>
      <c r="Z89" s="20">
        <v>366.33333215230999</v>
      </c>
      <c r="AA89" s="20">
        <v>373.45166699863859</v>
      </c>
      <c r="AB89" s="20">
        <v>380.1974678768542</v>
      </c>
      <c r="AC89" s="20">
        <v>386.60516389104077</v>
      </c>
      <c r="AD89" s="20">
        <v>392.70483818967733</v>
      </c>
      <c r="AE89" s="20">
        <v>398.52291080173046</v>
      </c>
      <c r="AF89" s="20">
        <v>404.08269603266018</v>
      </c>
      <c r="AG89" s="20">
        <f t="shared" si="3"/>
        <v>404.08269603266018</v>
      </c>
      <c r="AH89" s="14">
        <v>974</v>
      </c>
    </row>
    <row r="90" spans="1:34" ht="9.9499999999999993" customHeight="1" x14ac:dyDescent="0.2">
      <c r="A90" s="20">
        <f t="shared" si="2"/>
        <v>0.19221090526910176</v>
      </c>
      <c r="B90" s="20">
        <v>0.19221090526910176</v>
      </c>
      <c r="C90" s="20">
        <v>0.4808672319905295</v>
      </c>
      <c r="D90" s="20">
        <v>0.96286724188037709</v>
      </c>
      <c r="E90" s="20">
        <v>1.5427612837928131</v>
      </c>
      <c r="F90" s="20">
        <v>1.9302620451810164</v>
      </c>
      <c r="G90" s="20">
        <v>3.8786033554202386</v>
      </c>
      <c r="H90" s="20">
        <v>5.8449544829933151</v>
      </c>
      <c r="I90" s="20">
        <v>6.8348586943794993</v>
      </c>
      <c r="J90" s="20">
        <v>7.8292337621450647</v>
      </c>
      <c r="K90" s="20">
        <v>9.8313469657941415</v>
      </c>
      <c r="L90" s="20">
        <v>15.943552218352776</v>
      </c>
      <c r="M90" s="20">
        <v>20.105201386461992</v>
      </c>
      <c r="N90" s="20">
        <v>65.109732914936529</v>
      </c>
      <c r="O90" s="20">
        <v>113.9517735200524</v>
      </c>
      <c r="P90" s="20">
        <v>184.36963614401614</v>
      </c>
      <c r="Q90" s="20">
        <v>224.28646697691383</v>
      </c>
      <c r="R90" s="20">
        <v>257.69708561586333</v>
      </c>
      <c r="S90" s="20">
        <v>285.57548051019563</v>
      </c>
      <c r="T90" s="20">
        <v>309.13012763931391</v>
      </c>
      <c r="U90" s="20">
        <v>319.60846620661795</v>
      </c>
      <c r="V90" s="20">
        <v>329.35884338449085</v>
      </c>
      <c r="W90" s="20">
        <v>338.46588249234912</v>
      </c>
      <c r="X90" s="20">
        <v>347.00162669570528</v>
      </c>
      <c r="Y90" s="20">
        <v>355.0275589597955</v>
      </c>
      <c r="Z90" s="20">
        <v>362.59636351497471</v>
      </c>
      <c r="AA90" s="20">
        <v>369.75340665438068</v>
      </c>
      <c r="AB90" s="20">
        <v>376.53795871081746</v>
      </c>
      <c r="AC90" s="20">
        <v>382.98419381651632</v>
      </c>
      <c r="AD90" s="20">
        <v>389.12200561265445</v>
      </c>
      <c r="AE90" s="20">
        <v>394.97767333795798</v>
      </c>
      <c r="AF90" s="20">
        <v>400.57440738424089</v>
      </c>
      <c r="AG90" s="20">
        <f t="shared" si="3"/>
        <v>400.57440738424089</v>
      </c>
      <c r="AH90" s="13">
        <v>982</v>
      </c>
    </row>
    <row r="91" spans="1:34" ht="9.9499999999999993" customHeight="1" x14ac:dyDescent="0.2">
      <c r="A91" s="20">
        <f t="shared" si="2"/>
        <v>0.19065481319285138</v>
      </c>
      <c r="B91" s="20">
        <v>0.19065481319285138</v>
      </c>
      <c r="C91" s="20">
        <v>0.47696345654924044</v>
      </c>
      <c r="D91" s="20">
        <v>0.95501440740981114</v>
      </c>
      <c r="E91" s="20">
        <v>1.5301094551360372</v>
      </c>
      <c r="F91" s="20">
        <v>1.9143742515779218</v>
      </c>
      <c r="G91" s="20">
        <v>3.8460914347193698</v>
      </c>
      <c r="H91" s="20">
        <v>5.7950667020280111</v>
      </c>
      <c r="I91" s="20">
        <v>6.7759963986580782</v>
      </c>
      <c r="J91" s="20">
        <v>7.7612034611023439</v>
      </c>
      <c r="K91" s="20">
        <v>9.7443930914658043</v>
      </c>
      <c r="L91" s="20">
        <v>15.795006693551064</v>
      </c>
      <c r="M91" s="20">
        <v>19.911455429383718</v>
      </c>
      <c r="N91" s="20">
        <v>64.272632847232131</v>
      </c>
      <c r="O91" s="20">
        <v>112.19401752017875</v>
      </c>
      <c r="P91" s="20">
        <v>181.3137644265658</v>
      </c>
      <c r="Q91" s="20">
        <v>220.73447881417124</v>
      </c>
      <c r="R91" s="20">
        <v>253.91875625037915</v>
      </c>
      <c r="S91" s="20">
        <v>281.72722349814143</v>
      </c>
      <c r="T91" s="20">
        <v>305.28943271806787</v>
      </c>
      <c r="U91" s="20">
        <v>315.78686596593553</v>
      </c>
      <c r="V91" s="20">
        <v>325.56240744602167</v>
      </c>
      <c r="W91" s="20">
        <v>334.69874948990349</v>
      </c>
      <c r="X91" s="20">
        <v>343.26658488527005</v>
      </c>
      <c r="Y91" s="20">
        <v>351.32643948594085</v>
      </c>
      <c r="Z91" s="20">
        <v>358.93030912764613</v>
      </c>
      <c r="AA91" s="20">
        <v>366.1230578271726</v>
      </c>
      <c r="AB91" s="20">
        <v>372.94358472512801</v>
      </c>
      <c r="AC91" s="20">
        <v>379.42578681239763</v>
      </c>
      <c r="AD91" s="20">
        <v>385.59934937003919</v>
      </c>
      <c r="AE91" s="20">
        <v>391.49039451953985</v>
      </c>
      <c r="AF91" s="20">
        <v>397.12201437017546</v>
      </c>
      <c r="AG91" s="20">
        <f t="shared" si="3"/>
        <v>397.12201437017546</v>
      </c>
      <c r="AH91" s="14">
        <v>990</v>
      </c>
    </row>
    <row r="92" spans="1:34" ht="9.9499999999999993" customHeight="1" x14ac:dyDescent="0.2">
      <c r="A92" s="20">
        <f t="shared" si="2"/>
        <v>0.18912375571510398</v>
      </c>
      <c r="B92" s="20">
        <v>0.18912375571510398</v>
      </c>
      <c r="C92" s="20">
        <v>0.47312281408772716</v>
      </c>
      <c r="D92" s="20">
        <v>0.94728967446788714</v>
      </c>
      <c r="E92" s="20">
        <v>1.51766615018387</v>
      </c>
      <c r="F92" s="20">
        <v>1.8987501084196285</v>
      </c>
      <c r="G92" s="20">
        <v>3.8141374516593016</v>
      </c>
      <c r="H92" s="20">
        <v>5.7460634933790491</v>
      </c>
      <c r="I92" s="20">
        <v>6.7181946637771164</v>
      </c>
      <c r="J92" s="20">
        <v>7.6944184476632183</v>
      </c>
      <c r="K92" s="20">
        <v>9.6590810504450193</v>
      </c>
      <c r="L92" s="20">
        <v>15.649525233527696</v>
      </c>
      <c r="M92" s="20">
        <v>19.721933058849793</v>
      </c>
      <c r="N92" s="20">
        <v>63.463201120083362</v>
      </c>
      <c r="O92" s="20">
        <v>110.50760688437236</v>
      </c>
      <c r="P92" s="20">
        <v>178.38232883555202</v>
      </c>
      <c r="Q92" s="20">
        <v>217.31045081828611</v>
      </c>
      <c r="R92" s="20">
        <v>250.25788430631582</v>
      </c>
      <c r="S92" s="20">
        <v>277.98355361173043</v>
      </c>
      <c r="T92" s="20">
        <v>301.54201637868459</v>
      </c>
      <c r="U92" s="20">
        <v>312.05364989292156</v>
      </c>
      <c r="V92" s="20">
        <v>321.84991595309054</v>
      </c>
      <c r="W92" s="20">
        <v>331.01152087898373</v>
      </c>
      <c r="X92" s="20">
        <v>339.60775569344986</v>
      </c>
      <c r="Y92" s="20">
        <v>347.69814499564717</v>
      </c>
      <c r="Z92" s="20">
        <v>355.33395960033778</v>
      </c>
      <c r="AA92" s="20">
        <v>362.55953116548051</v>
      </c>
      <c r="AB92" s="20">
        <v>369.41336283251451</v>
      </c>
      <c r="AC92" s="20">
        <v>375.92905374298209</v>
      </c>
      <c r="AD92" s="20">
        <v>382.13606324780471</v>
      </c>
      <c r="AE92" s="20">
        <v>388.06034118376681</v>
      </c>
      <c r="AF92" s="20">
        <v>393.72484807061932</v>
      </c>
      <c r="AG92" s="20">
        <f t="shared" si="3"/>
        <v>393.72484807061932</v>
      </c>
      <c r="AH92" s="13">
        <v>998</v>
      </c>
    </row>
    <row r="93" spans="1:34" ht="9.9499999999999993" customHeight="1" x14ac:dyDescent="0.2">
      <c r="A93" s="20">
        <f t="shared" si="2"/>
        <v>0.18761713232071509</v>
      </c>
      <c r="B93" s="20">
        <v>0.18761713232071509</v>
      </c>
      <c r="C93" s="20">
        <v>0.46934377786435089</v>
      </c>
      <c r="D93" s="20">
        <v>0.93968990352924275</v>
      </c>
      <c r="E93" s="20">
        <v>1.5054261773061972</v>
      </c>
      <c r="F93" s="20">
        <v>1.8833829834031603</v>
      </c>
      <c r="G93" s="20">
        <v>3.782726654210931</v>
      </c>
      <c r="H93" s="20">
        <v>5.6979203441234851</v>
      </c>
      <c r="I93" s="20">
        <v>6.6614234307702107</v>
      </c>
      <c r="J93" s="20">
        <v>7.6288426453974836</v>
      </c>
      <c r="K93" s="20">
        <v>9.5753612313372169</v>
      </c>
      <c r="L93" s="20">
        <v>15.507004002910518</v>
      </c>
      <c r="M93" s="20">
        <v>19.536481048204326</v>
      </c>
      <c r="N93" s="20">
        <v>62.679862840345343</v>
      </c>
      <c r="O93" s="20">
        <v>108.88770283263342</v>
      </c>
      <c r="P93" s="20">
        <v>175.5677146784881</v>
      </c>
      <c r="Q93" s="20">
        <v>214.0082184117114</v>
      </c>
      <c r="R93" s="20">
        <v>246.7101196097301</v>
      </c>
      <c r="S93" s="20">
        <v>274.34134197390387</v>
      </c>
      <c r="T93" s="20">
        <v>297.88549775937736</v>
      </c>
      <c r="U93" s="20">
        <v>308.40670716295733</v>
      </c>
      <c r="V93" s="20">
        <v>318.21948438840002</v>
      </c>
      <c r="W93" s="20">
        <v>327.40250612546618</v>
      </c>
      <c r="X93" s="20">
        <v>336.02361761575628</v>
      </c>
      <c r="Y93" s="20">
        <v>344.14130284837171</v>
      </c>
      <c r="Z93" s="20">
        <v>351.80607419651818</v>
      </c>
      <c r="AA93" s="20">
        <v>359.06170314126473</v>
      </c>
      <c r="AB93" s="20">
        <v>365.94627373083193</v>
      </c>
      <c r="AC93" s="20">
        <v>372.49306793803169</v>
      </c>
      <c r="AD93" s="20">
        <v>378.73130280479592</v>
      </c>
      <c r="AE93" s="20">
        <v>384.68674177702349</v>
      </c>
      <c r="AF93" s="20">
        <v>390.38220144340727</v>
      </c>
      <c r="AG93" s="20">
        <f t="shared" si="3"/>
        <v>390.38220144340727</v>
      </c>
      <c r="AH93" s="14">
        <v>1006</v>
      </c>
    </row>
    <row r="94" spans="1:34" ht="9.9499999999999993" customHeight="1" x14ac:dyDescent="0.2">
      <c r="A94" s="20">
        <f t="shared" si="2"/>
        <v>0.18613436159633465</v>
      </c>
      <c r="B94" s="20">
        <v>0.18613436159633465</v>
      </c>
      <c r="C94" s="20">
        <v>0.4656248702720121</v>
      </c>
      <c r="D94" s="20">
        <v>0.93221205804019613</v>
      </c>
      <c r="E94" s="20">
        <v>1.4933845189315784</v>
      </c>
      <c r="F94" s="20">
        <v>1.8682664697643399</v>
      </c>
      <c r="G94" s="20">
        <v>3.7518448263531634</v>
      </c>
      <c r="H94" s="20">
        <v>5.650613686622278</v>
      </c>
      <c r="I94" s="20">
        <v>6.60565383232787</v>
      </c>
      <c r="J94" s="20">
        <v>7.5644414463862288</v>
      </c>
      <c r="K94" s="20">
        <v>9.4931861448739951</v>
      </c>
      <c r="L94" s="20">
        <v>15.367344215474851</v>
      </c>
      <c r="M94" s="20">
        <v>19.354954182537902</v>
      </c>
      <c r="N94" s="20">
        <v>61.921170768132683</v>
      </c>
      <c r="O94" s="20">
        <v>107.32991783178228</v>
      </c>
      <c r="P94" s="20">
        <v>172.86286616902697</v>
      </c>
      <c r="Q94" s="20">
        <v>210.82188901521664</v>
      </c>
      <c r="R94" s="20">
        <v>243.27120379635392</v>
      </c>
      <c r="S94" s="20">
        <v>270.79748988520282</v>
      </c>
      <c r="T94" s="20">
        <v>294.31750469909792</v>
      </c>
      <c r="U94" s="20">
        <v>304.84392867289682</v>
      </c>
      <c r="V94" s="20">
        <v>314.66922375263289</v>
      </c>
      <c r="W94" s="20">
        <v>323.87000453788409</v>
      </c>
      <c r="X94" s="20">
        <v>332.51263386413081</v>
      </c>
      <c r="Y94" s="20">
        <v>340.65452062950112</v>
      </c>
      <c r="Z94" s="20">
        <v>348.34538861910625</v>
      </c>
      <c r="AA94" s="20">
        <v>355.62842360829427</v>
      </c>
      <c r="AB94" s="20">
        <v>362.54126915321473</v>
      </c>
      <c r="AC94" s="20">
        <v>369.1168720772817</v>
      </c>
      <c r="AD94" s="20">
        <v>375.38419185567244</v>
      </c>
      <c r="AE94" s="20">
        <v>381.3687924186591</v>
      </c>
      <c r="AF94" s="20">
        <v>387.09333496603796</v>
      </c>
      <c r="AG94" s="20">
        <f t="shared" si="3"/>
        <v>387.09333496603796</v>
      </c>
      <c r="AH94" s="13">
        <v>1014</v>
      </c>
    </row>
    <row r="95" spans="1:34" ht="9.9499999999999993" customHeight="1" x14ac:dyDescent="0.2">
      <c r="A95" s="20">
        <f t="shared" si="2"/>
        <v>0.18467488047454919</v>
      </c>
      <c r="B95" s="20">
        <v>0.18467488047454919</v>
      </c>
      <c r="C95" s="20">
        <v>0.46196466086194965</v>
      </c>
      <c r="D95" s="20">
        <v>0.9248532001698424</v>
      </c>
      <c r="E95" s="20">
        <v>1.4815363241544894</v>
      </c>
      <c r="F95" s="20">
        <v>1.8533943765219874</v>
      </c>
      <c r="G95" s="20">
        <v>3.7214782629211398</v>
      </c>
      <c r="H95" s="20">
        <v>5.6041208510067007</v>
      </c>
      <c r="I95" s="20">
        <v>6.5508581310264482</v>
      </c>
      <c r="J95" s="20">
        <v>7.5011816328708205</v>
      </c>
      <c r="K95" s="20">
        <v>9.4125103045441172</v>
      </c>
      <c r="L95" s="20">
        <v>15.230451810446766</v>
      </c>
      <c r="M95" s="20">
        <v>19.177214706992903</v>
      </c>
      <c r="N95" s="20">
        <v>61.185792025578472</v>
      </c>
      <c r="O95" s="20">
        <v>105.83026313870523</v>
      </c>
      <c r="P95" s="20">
        <v>170.26124610147829</v>
      </c>
      <c r="Q95" s="20">
        <v>207.74584439276722</v>
      </c>
      <c r="R95" s="20">
        <v>239.93698185480562</v>
      </c>
      <c r="S95" s="20">
        <v>267.34893730463642</v>
      </c>
      <c r="T95" s="20">
        <v>290.83568039205761</v>
      </c>
      <c r="U95" s="20">
        <v>301.36321352445304</v>
      </c>
      <c r="V95" s="20">
        <v>311.19724711187064</v>
      </c>
      <c r="W95" s="20">
        <v>320.41231195556816</v>
      </c>
      <c r="X95" s="20">
        <v>329.07325917296475</v>
      </c>
      <c r="Y95" s="20">
        <v>337.23639300038815</v>
      </c>
      <c r="Z95" s="20">
        <v>344.95062181298715</v>
      </c>
      <c r="AA95" s="20">
        <v>352.25852246811797</v>
      </c>
      <c r="AB95" s="20">
        <v>359.19727832157844</v>
      </c>
      <c r="AC95" s="20">
        <v>365.79948437288277</v>
      </c>
      <c r="AD95" s="20">
        <v>372.0938283414838</v>
      </c>
      <c r="AE95" s="20">
        <v>378.1056624350179</v>
      </c>
      <c r="AF95" s="20">
        <v>383.85748182203218</v>
      </c>
      <c r="AG95" s="20">
        <f t="shared" si="3"/>
        <v>383.85748182203218</v>
      </c>
      <c r="AH95" s="14">
        <v>1022</v>
      </c>
    </row>
    <row r="96" spans="1:34" ht="9.9499999999999993" customHeight="1" x14ac:dyDescent="0.2">
      <c r="A96" s="20">
        <f t="shared" si="2"/>
        <v>0.18323814351326737</v>
      </c>
      <c r="B96" s="20">
        <v>0.18323814351326737</v>
      </c>
      <c r="C96" s="20">
        <v>0.45836176446347093</v>
      </c>
      <c r="D96" s="20">
        <v>0.91761048677354395</v>
      </c>
      <c r="E96" s="20">
        <v>1.4698769017257007</v>
      </c>
      <c r="F96" s="20">
        <v>1.8387607192390456</v>
      </c>
      <c r="G96" s="20">
        <v>3.6916137459174561</v>
      </c>
      <c r="H96" s="20">
        <v>5.5584200206390042</v>
      </c>
      <c r="I96" s="20">
        <v>6.4970096615487458</v>
      </c>
      <c r="J96" s="20">
        <v>7.4390313041152529</v>
      </c>
      <c r="K96" s="20">
        <v>9.3332901155959682</v>
      </c>
      <c r="L96" s="20">
        <v>15.096237154572643</v>
      </c>
      <c r="M96" s="20">
        <v>19.003131822084146</v>
      </c>
      <c r="N96" s="20">
        <v>60.472496478592596</v>
      </c>
      <c r="O96" s="20">
        <v>104.3851035274736</v>
      </c>
      <c r="P96" s="20">
        <v>167.75679701622022</v>
      </c>
      <c r="Q96" s="20">
        <v>204.77473938550489</v>
      </c>
      <c r="R96" s="20">
        <v>236.70341150697269</v>
      </c>
      <c r="S96" s="20">
        <v>263.99267036104953</v>
      </c>
      <c r="T96" s="20">
        <v>287.43768920054919</v>
      </c>
      <c r="U96" s="20">
        <v>297.96247460857001</v>
      </c>
      <c r="V96" s="20">
        <v>307.80167519303944</v>
      </c>
      <c r="W96" s="20">
        <v>317.02772645885949</v>
      </c>
      <c r="X96" s="20">
        <v>325.70394563319826</v>
      </c>
      <c r="Y96" s="20">
        <v>333.88550761068922</v>
      </c>
      <c r="Z96" s="20">
        <v>341.62048188520293</v>
      </c>
      <c r="AA96" s="20">
        <v>348.95081552272592</v>
      </c>
      <c r="AB96" s="20">
        <v>355.91321366286132</v>
      </c>
      <c r="AC96" s="20">
        <v>362.5399040924874</v>
      </c>
      <c r="AD96" s="20">
        <v>368.85928961687711</v>
      </c>
      <c r="AE96" s="20">
        <v>374.89649938168935</v>
      </c>
      <c r="AF96" s="20">
        <v>380.67385264123266</v>
      </c>
      <c r="AG96" s="20">
        <f t="shared" si="3"/>
        <v>380.67385264123266</v>
      </c>
      <c r="AH96" s="13">
        <v>1030</v>
      </c>
    </row>
    <row r="97" spans="1:34" ht="9.9499999999999993" customHeight="1" x14ac:dyDescent="0.2">
      <c r="A97" s="20">
        <f t="shared" si="2"/>
        <v>0.18182362220997739</v>
      </c>
      <c r="B97" s="20">
        <v>0.18182362220997739</v>
      </c>
      <c r="C97" s="20">
        <v>0.45481483939301276</v>
      </c>
      <c r="D97" s="20">
        <v>0.91048116555626712</v>
      </c>
      <c r="E97" s="20">
        <v>1.458401713402188</v>
      </c>
      <c r="F97" s="20">
        <v>1.8243597112679497</v>
      </c>
      <c r="G97" s="20">
        <v>3.6622385221841749</v>
      </c>
      <c r="H97" s="20">
        <v>5.5134901903238847</v>
      </c>
      <c r="I97" s="20">
        <v>6.4440827765868107</v>
      </c>
      <c r="J97" s="20">
        <v>7.3779598080660724</v>
      </c>
      <c r="K97" s="20">
        <v>9.2554837717094376</v>
      </c>
      <c r="L97" s="20">
        <v>14.964614767517714</v>
      </c>
      <c r="M97" s="20">
        <v>18.832581221288827</v>
      </c>
      <c r="N97" s="20">
        <v>59.780146546644104</v>
      </c>
      <c r="O97" s="20">
        <v>102.99111808313206</v>
      </c>
      <c r="P97" s="20">
        <v>165.34390428881935</v>
      </c>
      <c r="Q97" s="20">
        <v>201.90349776391488</v>
      </c>
      <c r="R97" s="20">
        <v>233.56657056384518</v>
      </c>
      <c r="S97" s="20">
        <v>260.72572794086187</v>
      </c>
      <c r="T97" s="20">
        <v>284.12122174494914</v>
      </c>
      <c r="U97" s="20">
        <v>294.63964343253491</v>
      </c>
      <c r="V97" s="20">
        <v>304.48064117688034</v>
      </c>
      <c r="W97" s="20">
        <v>313.71455324648809</v>
      </c>
      <c r="X97" s="20">
        <v>322.40314768708282</v>
      </c>
      <c r="Y97" s="20">
        <v>330.60045018863576</v>
      </c>
      <c r="Z97" s="20">
        <v>338.35367123984588</v>
      </c>
      <c r="AA97" s="20">
        <v>345.70410959258163</v>
      </c>
      <c r="AB97" s="20">
        <v>352.68797584977864</v>
      </c>
      <c r="AC97" s="20">
        <v>359.33711646986899</v>
      </c>
      <c r="AD97" s="20">
        <v>365.67963718820835</v>
      </c>
      <c r="AE97" s="20">
        <v>371.74043357786485</v>
      </c>
      <c r="AF97" s="20">
        <v>377.54163980960271</v>
      </c>
      <c r="AG97" s="20">
        <f t="shared" si="3"/>
        <v>377.54163980960271</v>
      </c>
      <c r="AH97" s="14">
        <v>1038</v>
      </c>
    </row>
    <row r="98" spans="1:34" ht="9.9499999999999993" customHeight="1" x14ac:dyDescent="0.2">
      <c r="A98" s="20">
        <f t="shared" si="2"/>
        <v>0.18043080434686459</v>
      </c>
      <c r="B98" s="20">
        <v>0.18043080434686459</v>
      </c>
      <c r="C98" s="20">
        <v>0.45132258574910811</v>
      </c>
      <c r="D98" s="20">
        <v>0.90346257142409325</v>
      </c>
      <c r="E98" s="20">
        <v>1.4471063676346605</v>
      </c>
      <c r="F98" s="20">
        <v>1.8101857554500045</v>
      </c>
      <c r="G98" s="20">
        <v>3.6333402823417971</v>
      </c>
      <c r="H98" s="20">
        <v>5.4693111270666304</v>
      </c>
      <c r="I98" s="20">
        <v>6.3920527961451814</v>
      </c>
      <c r="J98" s="20">
        <v>7.3179376774325089</v>
      </c>
      <c r="K98" s="20">
        <v>9.17905115870294</v>
      </c>
      <c r="L98" s="20">
        <v>14.835503068421454</v>
      </c>
      <c r="M98" s="20">
        <v>18.665444666710009</v>
      </c>
      <c r="N98" s="20">
        <v>59.107688236245906</v>
      </c>
      <c r="O98" s="20">
        <v>101.64526613670812</v>
      </c>
      <c r="P98" s="20">
        <v>163.01736139402917</v>
      </c>
      <c r="Q98" s="20">
        <v>199.12730584007525</v>
      </c>
      <c r="R98" s="20">
        <v>230.52266241922391</v>
      </c>
      <c r="S98" s="20">
        <v>257.54520739189923</v>
      </c>
      <c r="T98" s="20">
        <v>280.88399936203069</v>
      </c>
      <c r="U98" s="20">
        <v>291.39267430303664</v>
      </c>
      <c r="V98" s="20">
        <v>301.23229481239184</v>
      </c>
      <c r="W98" s="20">
        <v>310.47110880447866</v>
      </c>
      <c r="X98" s="20">
        <v>319.16932640078898</v>
      </c>
      <c r="Y98" s="20">
        <v>327.37980891449814</v>
      </c>
      <c r="Z98" s="20">
        <v>335.14889101864134</v>
      </c>
      <c r="AA98" s="20">
        <v>342.51720697615752</v>
      </c>
      <c r="AB98" s="20">
        <v>349.52045822795344</v>
      </c>
      <c r="AC98" s="20">
        <v>356.19009705196015</v>
      </c>
      <c r="AD98" s="20">
        <v>362.55392094009574</v>
      </c>
      <c r="AE98" s="20">
        <v>368.63658218072214</v>
      </c>
      <c r="AF98" s="20">
        <v>374.46002136850041</v>
      </c>
      <c r="AG98" s="20">
        <f t="shared" si="3"/>
        <v>374.46002136850041</v>
      </c>
      <c r="AH98" s="13">
        <v>1046</v>
      </c>
    </row>
    <row r="99" spans="1:34" ht="9.9499999999999993" customHeight="1" x14ac:dyDescent="0.2">
      <c r="A99" s="20">
        <f t="shared" si="2"/>
        <v>0.17905919336670836</v>
      </c>
      <c r="B99" s="20">
        <v>0.17905919336670836</v>
      </c>
      <c r="C99" s="20">
        <v>0.44788374378726503</v>
      </c>
      <c r="D99" s="20">
        <v>0.89655212301300813</v>
      </c>
      <c r="E99" s="20">
        <v>1.4359866135723491</v>
      </c>
      <c r="F99" s="20">
        <v>1.7962334362407202</v>
      </c>
      <c r="G99" s="20">
        <v>3.6049071409089248</v>
      </c>
      <c r="H99" s="20">
        <v>5.4258633331916242</v>
      </c>
      <c r="I99" s="20">
        <v>6.3408959599881003</v>
      </c>
      <c r="J99" s="20">
        <v>7.2589365698439439</v>
      </c>
      <c r="K99" s="20">
        <v>9.103953764702565</v>
      </c>
      <c r="L99" s="20">
        <v>14.708824141670487</v>
      </c>
      <c r="M99" s="20">
        <v>18.501609599096373</v>
      </c>
      <c r="N99" s="20">
        <v>58.454143226973393</v>
      </c>
      <c r="O99" s="20">
        <v>100.34475757271608</v>
      </c>
      <c r="P99" s="20">
        <v>160.77233746371394</v>
      </c>
      <c r="Q99" s="20">
        <v>196.44160439308286</v>
      </c>
      <c r="R99" s="20">
        <v>227.56801985915345</v>
      </c>
      <c r="S99" s="20">
        <v>254.44826938216679</v>
      </c>
      <c r="T99" s="20">
        <v>277.72377800166993</v>
      </c>
      <c r="U99" s="20">
        <v>288.21954795502023</v>
      </c>
      <c r="V99" s="20">
        <v>298.05480595454748</v>
      </c>
      <c r="W99" s="20">
        <v>307.29572447199411</v>
      </c>
      <c r="X99" s="20">
        <v>316.00095311708316</v>
      </c>
      <c r="Y99" s="20">
        <v>324.22217817160657</v>
      </c>
      <c r="Z99" s="20">
        <v>332.00484493101123</v>
      </c>
      <c r="AA99" s="20">
        <v>339.38890932302542</v>
      </c>
      <c r="AB99" s="20">
        <v>346.40955068969174</v>
      </c>
      <c r="AC99" s="20">
        <v>353.09781553148161</v>
      </c>
      <c r="AD99" s="20">
        <v>359.48118288958284</v>
      </c>
      <c r="AE99" s="20">
        <v>365.58405283028816</v>
      </c>
      <c r="AF99" s="20">
        <v>371.42816452648799</v>
      </c>
      <c r="AG99" s="20">
        <f t="shared" si="3"/>
        <v>371.42816452648799</v>
      </c>
      <c r="AH99" s="14">
        <v>1054</v>
      </c>
    </row>
    <row r="100" spans="1:34" ht="9.9499999999999993" customHeight="1" x14ac:dyDescent="0.2">
      <c r="A100" s="20">
        <f t="shared" si="2"/>
        <v>0.17770830777726465</v>
      </c>
      <c r="B100" s="20">
        <v>0.17770830777726465</v>
      </c>
      <c r="C100" s="20">
        <v>0.44449709237085094</v>
      </c>
      <c r="D100" s="20">
        <v>0.88974731938481799</v>
      </c>
      <c r="E100" s="20">
        <v>1.425038335366122</v>
      </c>
      <c r="F100" s="20">
        <v>1.7824975122350575</v>
      </c>
      <c r="G100" s="20">
        <v>3.5769276175232609</v>
      </c>
      <c r="H100" s="20">
        <v>5.3831280116506663</v>
      </c>
      <c r="I100" s="20">
        <v>6.2905893829967301</v>
      </c>
      <c r="J100" s="20">
        <v>7.2009292117727641</v>
      </c>
      <c r="K100" s="20">
        <v>9.0301545962539862</v>
      </c>
      <c r="L100" s="20">
        <v>14.584503520155158</v>
      </c>
      <c r="M100" s="20">
        <v>18.340968778918466</v>
      </c>
      <c r="N100" s="20">
        <v>57.818601866010333</v>
      </c>
      <c r="O100" s="20">
        <v>99.08702686819403</v>
      </c>
      <c r="P100" s="20">
        <v>158.60434716362491</v>
      </c>
      <c r="Q100" s="20">
        <v>193.84207937641523</v>
      </c>
      <c r="R100" s="20">
        <v>224.6991073722875</v>
      </c>
      <c r="S100" s="20">
        <v>251.43214195461076</v>
      </c>
      <c r="T100" s="20">
        <v>274.63835161653509</v>
      </c>
      <c r="U100" s="20">
        <v>285.11827469749079</v>
      </c>
      <c r="V100" s="20">
        <v>294.94636760831463</v>
      </c>
      <c r="W100" s="20">
        <v>304.18674949262476</v>
      </c>
      <c r="X100" s="20">
        <v>312.89651257627236</v>
      </c>
      <c r="Y100" s="20">
        <v>321.12616175845091</v>
      </c>
      <c r="Z100" s="20">
        <v>328.92024254962399</v>
      </c>
      <c r="AA100" s="20">
        <v>336.31802098748676</v>
      </c>
      <c r="AB100" s="20">
        <v>343.35414305186595</v>
      </c>
      <c r="AC100" s="20">
        <v>350.05923911330251</v>
      </c>
      <c r="AD100" s="20">
        <v>356.4604605073967</v>
      </c>
      <c r="AE100" s="20">
        <v>362.58194689651788</v>
      </c>
      <c r="AF100" s="20">
        <v>368.44522880867601</v>
      </c>
      <c r="AG100" s="20">
        <f t="shared" si="3"/>
        <v>368.44522880867601</v>
      </c>
      <c r="AH100" s="13">
        <v>1062</v>
      </c>
    </row>
    <row r="101" spans="1:34" ht="9.9499999999999993" customHeight="1" x14ac:dyDescent="0.2">
      <c r="A101" s="20">
        <f t="shared" si="2"/>
        <v>0.17637768058272368</v>
      </c>
      <c r="B101" s="20">
        <v>0.17637768058272368</v>
      </c>
      <c r="C101" s="20">
        <v>0.44116144749373865</v>
      </c>
      <c r="D101" s="20">
        <v>0.88304573688069632</v>
      </c>
      <c r="E101" s="20">
        <v>1.4142575467523304</v>
      </c>
      <c r="F101" s="20">
        <v>1.7689729090684396</v>
      </c>
      <c r="G101" s="20">
        <v>3.5493906191906497</v>
      </c>
      <c r="H101" s="20">
        <v>5.3410870333650413</v>
      </c>
      <c r="I101" s="20">
        <v>6.2411110132223886</v>
      </c>
      <c r="J101" s="20">
        <v>7.1438893459383896</v>
      </c>
      <c r="K101" s="20">
        <v>8.957618099906508</v>
      </c>
      <c r="L101" s="20">
        <v>14.462469984455463</v>
      </c>
      <c r="M101" s="20">
        <v>18.183419955565725</v>
      </c>
      <c r="N101" s="20">
        <v>57.20021694958853</v>
      </c>
      <c r="O101" s="20">
        <v>97.869710326926992</v>
      </c>
      <c r="P101" s="20">
        <v>156.50922284979242</v>
      </c>
      <c r="Q101" s="20">
        <v>191.32465179401814</v>
      </c>
      <c r="R101" s="20">
        <v>221.91252214684323</v>
      </c>
      <c r="S101" s="20">
        <v>248.49412382251768</v>
      </c>
      <c r="T101" s="20">
        <v>271.62555508828405</v>
      </c>
      <c r="U101" s="20">
        <v>282.08689713277215</v>
      </c>
      <c r="V101" s="20">
        <v>291.90519854639092</v>
      </c>
      <c r="W101" s="20">
        <v>301.1425536249007</v>
      </c>
      <c r="X101" s="20">
        <v>309.85450558082277</v>
      </c>
      <c r="Y101" s="20">
        <v>318.0903756349947</v>
      </c>
      <c r="Z101" s="20">
        <v>325.89380213953325</v>
      </c>
      <c r="AA101" s="20">
        <v>333.3033519241153</v>
      </c>
      <c r="AB101" s="20">
        <v>340.35312799174545</v>
      </c>
      <c r="AC101" s="20">
        <v>347.07333546070436</v>
      </c>
      <c r="AD101" s="20">
        <v>353.49078964510801</v>
      </c>
      <c r="AE101" s="20">
        <v>359.62936236061984</v>
      </c>
      <c r="AF101" s="20">
        <v>365.51036886959253</v>
      </c>
      <c r="AG101" s="20">
        <f t="shared" si="3"/>
        <v>365.51036886959253</v>
      </c>
      <c r="AH101" s="14">
        <v>1070</v>
      </c>
    </row>
    <row r="102" spans="1:34" ht="9.9499999999999993" customHeight="1" x14ac:dyDescent="0.2">
      <c r="A102" s="20">
        <f t="shared" si="2"/>
        <v>0.17506685874081071</v>
      </c>
      <c r="B102" s="20">
        <v>0.17506685874081071</v>
      </c>
      <c r="C102" s="20">
        <v>0.43787566087082475</v>
      </c>
      <c r="D102" s="20">
        <v>0.87644502612350661</v>
      </c>
      <c r="E102" s="20">
        <v>1.4036403859009505</v>
      </c>
      <c r="F102" s="20">
        <v>1.7556547126710178</v>
      </c>
      <c r="G102" s="20">
        <v>3.522285423494822</v>
      </c>
      <c r="H102" s="20">
        <v>5.2997229064581068</v>
      </c>
      <c r="I102" s="20">
        <v>6.1924395924406728</v>
      </c>
      <c r="J102" s="20">
        <v>7.0877916819332141</v>
      </c>
      <c r="K102" s="20">
        <v>8.88631008884159</v>
      </c>
      <c r="L102" s="20">
        <v>14.342655376562211</v>
      </c>
      <c r="M102" s="20">
        <v>18.02886556204848</v>
      </c>
      <c r="N102" s="20">
        <v>56.598198188174841</v>
      </c>
      <c r="O102" s="20">
        <v>96.690626058467387</v>
      </c>
      <c r="P102" s="20">
        <v>154.48308891901206</v>
      </c>
      <c r="Q102" s="20">
        <v>188.88546706672028</v>
      </c>
      <c r="R102" s="20">
        <v>219.20499393472036</v>
      </c>
      <c r="S102" s="20">
        <v>245.63158695408464</v>
      </c>
      <c r="T102" s="20">
        <v>268.68326672617701</v>
      </c>
      <c r="U102" s="20">
        <v>279.12349249449005</v>
      </c>
      <c r="V102" s="20">
        <v>288.92954555533953</v>
      </c>
      <c r="W102" s="20">
        <v>298.16152937320152</v>
      </c>
      <c r="X102" s="20">
        <v>306.87345126764222</v>
      </c>
      <c r="Y102" s="20">
        <v>315.11345026667209</v>
      </c>
      <c r="Z102" s="20">
        <v>322.92425308127571</v>
      </c>
      <c r="AA102" s="20">
        <v>330.34372018075817</v>
      </c>
      <c r="AB102" s="20">
        <v>337.40540359051607</v>
      </c>
      <c r="AC102" s="20">
        <v>344.13907526508939</v>
      </c>
      <c r="AD102" s="20">
        <v>350.57120710557734</v>
      </c>
      <c r="AE102" s="20">
        <v>356.72539636218659</v>
      </c>
      <c r="AF102" s="20">
        <v>362.62273699581618</v>
      </c>
      <c r="AG102" s="20">
        <f t="shared" si="3"/>
        <v>362.62273699581618</v>
      </c>
      <c r="AH102" s="13">
        <v>1078</v>
      </c>
    </row>
    <row r="103" spans="1:34" ht="9.9499999999999993" customHeight="1" x14ac:dyDescent="0.2">
      <c r="A103" s="20">
        <f t="shared" si="2"/>
        <v>0.17377540264418359</v>
      </c>
      <c r="B103" s="20">
        <v>0.17377540264418359</v>
      </c>
      <c r="C103" s="20">
        <v>0.43463861859278341</v>
      </c>
      <c r="D103" s="20">
        <v>0.86994290915983652</v>
      </c>
      <c r="E103" s="20">
        <v>1.3931831105127586</v>
      </c>
      <c r="F103" s="20">
        <v>1.7425381628543211</v>
      </c>
      <c r="G103" s="20">
        <v>3.4956016627054325</v>
      </c>
      <c r="H103" s="20">
        <v>5.2590187472471035</v>
      </c>
      <c r="I103" s="20">
        <v>6.1445546190271951</v>
      </c>
      <c r="J103" s="20">
        <v>7.0326118498336934</v>
      </c>
      <c r="K103" s="20">
        <v>8.8161976741572321</v>
      </c>
      <c r="L103" s="20">
        <v>14.224994426879579</v>
      </c>
      <c r="M103" s="20">
        <v>17.877212432868578</v>
      </c>
      <c r="N103" s="20">
        <v>56.011807267631355</v>
      </c>
      <c r="O103" s="20">
        <v>95.54775632245817</v>
      </c>
      <c r="P103" s="20">
        <v>152.52233824573977</v>
      </c>
      <c r="Q103" s="20">
        <v>186.52088414233958</v>
      </c>
      <c r="R103" s="20">
        <v>216.57338395411799</v>
      </c>
      <c r="S103" s="20">
        <v>242.84197849809476</v>
      </c>
      <c r="T103" s="20">
        <v>265.80941036896292</v>
      </c>
      <c r="U103" s="20">
        <v>276.22617464109993</v>
      </c>
      <c r="V103" s="20">
        <v>286.01768535457393</v>
      </c>
      <c r="W103" s="20">
        <v>295.24209388962799</v>
      </c>
      <c r="X103" s="20">
        <v>303.95188904201524</v>
      </c>
      <c r="Y103" s="20">
        <v>312.1940326207332</v>
      </c>
      <c r="Z103" s="20">
        <v>320.0103379409822</v>
      </c>
      <c r="AA103" s="20">
        <v>327.43795403876175</v>
      </c>
      <c r="AB103" s="20">
        <v>334.50987552989523</v>
      </c>
      <c r="AC103" s="20">
        <v>341.25543447963179</v>
      </c>
      <c r="AD103" s="20">
        <v>347.70075289212349</v>
      </c>
      <c r="AE103" s="20">
        <v>353.86914744263055</v>
      </c>
      <c r="AF103" s="20">
        <v>359.78148532424882</v>
      </c>
      <c r="AG103" s="20">
        <f t="shared" si="3"/>
        <v>359.78148532424882</v>
      </c>
      <c r="AH103" s="14">
        <v>1086</v>
      </c>
    </row>
    <row r="104" spans="1:34" ht="9.9499999999999993" customHeight="1" x14ac:dyDescent="0.2">
      <c r="A104" s="20">
        <f t="shared" si="2"/>
        <v>0.17250288562486585</v>
      </c>
      <c r="B104" s="20">
        <v>0.17250288562486585</v>
      </c>
      <c r="C104" s="20">
        <v>0.43144923984161554</v>
      </c>
      <c r="D104" s="20">
        <v>0.86353717673874819</v>
      </c>
      <c r="E104" s="20">
        <v>1.3828820931512511</v>
      </c>
      <c r="F104" s="20">
        <v>1.7296186472108099</v>
      </c>
      <c r="G104" s="20">
        <v>3.4693293087268406</v>
      </c>
      <c r="H104" s="20">
        <v>5.2189582528733682</v>
      </c>
      <c r="I104" s="20">
        <v>6.0974363129911824</v>
      </c>
      <c r="J104" s="20">
        <v>6.978326356580018</v>
      </c>
      <c r="K104" s="20">
        <v>8.7472492004541778</v>
      </c>
      <c r="L104" s="20">
        <v>14.109424593380293</v>
      </c>
      <c r="M104" s="20">
        <v>17.728371542969398</v>
      </c>
      <c r="N104" s="20">
        <v>55.44035343137709</v>
      </c>
      <c r="O104" s="20">
        <v>94.439231917428174</v>
      </c>
      <c r="P104" s="20">
        <v>150.62361057629184</v>
      </c>
      <c r="Q104" s="20">
        <v>184.22746455347641</v>
      </c>
      <c r="R104" s="20">
        <v>214.01468298991458</v>
      </c>
      <c r="S104" s="20">
        <v>240.12282210513848</v>
      </c>
      <c r="T104" s="20">
        <v>263.00195711769464</v>
      </c>
      <c r="U104" s="20">
        <v>273.39309573556119</v>
      </c>
      <c r="V104" s="20">
        <v>283.16792622455966</v>
      </c>
      <c r="W104" s="20">
        <v>292.38269058860169</v>
      </c>
      <c r="X104" s="20">
        <v>301.08838021855763</v>
      </c>
      <c r="Y104" s="20">
        <v>309.33078786174286</v>
      </c>
      <c r="Z104" s="20">
        <v>317.15081423377228</v>
      </c>
      <c r="AA104" s="20">
        <v>324.58489384461467</v>
      </c>
      <c r="AB104" s="20">
        <v>331.66545898288462</v>
      </c>
      <c r="AC104" s="20">
        <v>338.42139625411443</v>
      </c>
      <c r="AD104" s="20">
        <v>344.87847216956186</v>
      </c>
      <c r="AE104" s="20">
        <v>351.05971751395532</v>
      </c>
      <c r="AF104" s="20">
        <v>356.98576780110125</v>
      </c>
      <c r="AG104" s="20">
        <f t="shared" si="3"/>
        <v>356.98576780110125</v>
      </c>
      <c r="AH104" s="13">
        <v>1094</v>
      </c>
    </row>
    <row r="105" spans="1:34" ht="9.9499999999999993" customHeight="1" x14ac:dyDescent="0.2">
      <c r="A105" s="20">
        <f t="shared" si="2"/>
        <v>0.17124889348052241</v>
      </c>
      <c r="B105" s="20">
        <v>0.17124889348052241</v>
      </c>
      <c r="C105" s="20">
        <v>0.42830647566380081</v>
      </c>
      <c r="D105" s="20">
        <v>0.85722568570781132</v>
      </c>
      <c r="E105" s="20">
        <v>1.3727338167960299</v>
      </c>
      <c r="F105" s="20">
        <v>1.7168916953082005</v>
      </c>
      <c r="G105" s="20">
        <v>3.4434586588343512</v>
      </c>
      <c r="H105" s="20">
        <v>5.1795256754599395</v>
      </c>
      <c r="I105" s="20">
        <v>6.0510655830161735</v>
      </c>
      <c r="J105" s="20">
        <v>6.9249125449261184</v>
      </c>
      <c r="K105" s="20">
        <v>8.6794341854012682</v>
      </c>
      <c r="L105" s="20">
        <v>13.995885911895675</v>
      </c>
      <c r="M105" s="20">
        <v>17.582257765892564</v>
      </c>
      <c r="N105" s="20">
        <v>54.88318951931268</v>
      </c>
      <c r="O105" s="20">
        <v>93.36331834193831</v>
      </c>
      <c r="P105" s="20">
        <v>148.78377274758878</v>
      </c>
      <c r="Q105" s="20">
        <v>182.00196158019483</v>
      </c>
      <c r="R105" s="20">
        <v>211.52600883718802</v>
      </c>
      <c r="S105" s="20">
        <v>237.47171870023448</v>
      </c>
      <c r="T105" s="20">
        <v>260.25892672520297</v>
      </c>
      <c r="U105" s="20">
        <v>270.6224476372667</v>
      </c>
      <c r="V105" s="20">
        <v>280.37860937431083</v>
      </c>
      <c r="W105" s="20">
        <v>289.58179050876726</v>
      </c>
      <c r="X105" s="20">
        <v>298.28150940722946</v>
      </c>
      <c r="Y105" s="20">
        <v>306.52240078612618</v>
      </c>
      <c r="Z105" s="20">
        <v>314.34445592055334</v>
      </c>
      <c r="AA105" s="20">
        <v>321.78339357197206</v>
      </c>
      <c r="AB105" s="20">
        <v>328.87108023543772</v>
      </c>
      <c r="AC105" s="20">
        <v>335.63595260486198</v>
      </c>
      <c r="AD105" s="20">
        <v>342.10341696778192</v>
      </c>
      <c r="AE105" s="20">
        <v>348.29621358014379</v>
      </c>
      <c r="AF105" s="20">
        <v>354.2347419055302</v>
      </c>
      <c r="AG105" s="20">
        <f t="shared" si="3"/>
        <v>354.2347419055302</v>
      </c>
      <c r="AH105" s="14">
        <v>1102</v>
      </c>
    </row>
    <row r="106" spans="1:34" ht="9.9499999999999993" customHeight="1" x14ac:dyDescent="0.2">
      <c r="A106" s="20">
        <f t="shared" si="2"/>
        <v>0.17001302402145846</v>
      </c>
      <c r="B106" s="20">
        <v>0.17001302402145846</v>
      </c>
      <c r="C106" s="20">
        <v>0.42520930779801597</v>
      </c>
      <c r="D106" s="20">
        <v>0.85100635653623913</v>
      </c>
      <c r="E106" s="20">
        <v>1.3627348706051727</v>
      </c>
      <c r="F106" s="20">
        <v>1.7043529731616354</v>
      </c>
      <c r="G106" s="20">
        <v>3.4179803221486091</v>
      </c>
      <c r="H106" s="20">
        <v>5.1407057976942241</v>
      </c>
      <c r="I106" s="20">
        <v>6.0054239953697799</v>
      </c>
      <c r="J106" s="20">
        <v>6.8723485547783465</v>
      </c>
      <c r="K106" s="20">
        <v>8.6127232629853605</v>
      </c>
      <c r="L106" s="20">
        <v>13.884320856620779</v>
      </c>
      <c r="M106" s="20">
        <v>17.438789649460748</v>
      </c>
      <c r="N106" s="20">
        <v>54.339708408278227</v>
      </c>
      <c r="O106" s="20">
        <v>92.318403496550971</v>
      </c>
      <c r="P106" s="20">
        <v>146.99990059473595</v>
      </c>
      <c r="Q106" s="20">
        <v>179.8413096372544</v>
      </c>
      <c r="R106" s="20">
        <v>209.104603218569</v>
      </c>
      <c r="S106" s="20">
        <v>234.8863467629852</v>
      </c>
      <c r="T106" s="20">
        <v>257.57838866683596</v>
      </c>
      <c r="U106" s="20">
        <v>267.91246302914675</v>
      </c>
      <c r="V106" s="20">
        <v>277.64811007341336</v>
      </c>
      <c r="W106" s="20">
        <v>286.83789345095266</v>
      </c>
      <c r="X106" s="20">
        <v>295.52988567628722</v>
      </c>
      <c r="Y106" s="20">
        <v>303.76757702965352</v>
      </c>
      <c r="Z106" s="20">
        <v>311.59005467283151</v>
      </c>
      <c r="AA106" s="20">
        <v>319.03232214820258</v>
      </c>
      <c r="AB106" s="20">
        <v>326.12567807176617</v>
      </c>
      <c r="AC106" s="20">
        <v>332.8981058503976</v>
      </c>
      <c r="AD106" s="20">
        <v>339.37464765596098</v>
      </c>
      <c r="AE106" s="20">
        <v>345.57774923652909</v>
      </c>
      <c r="AF106" s="20">
        <v>351.52757016050657</v>
      </c>
      <c r="AG106" s="20">
        <f t="shared" si="3"/>
        <v>351.52757016050657</v>
      </c>
      <c r="AH106" s="13">
        <v>1110</v>
      </c>
    </row>
    <row r="107" spans="1:34" ht="9.9499999999999993" customHeight="1" x14ac:dyDescent="0.2">
      <c r="A107" s="20">
        <f t="shared" si="2"/>
        <v>0.1687948866372902</v>
      </c>
      <c r="B107" s="20">
        <v>0.1687948866372902</v>
      </c>
      <c r="C107" s="20">
        <v>0.42215674755459864</v>
      </c>
      <c r="D107" s="20">
        <v>0.84487717094598835</v>
      </c>
      <c r="E107" s="20">
        <v>1.3528819458750119</v>
      </c>
      <c r="F107" s="20">
        <v>1.6919982779679341</v>
      </c>
      <c r="G107" s="20">
        <v>3.3928852068023989</v>
      </c>
      <c r="H107" s="20">
        <v>5.102483909741502</v>
      </c>
      <c r="I107" s="20">
        <v>5.9604937445551078</v>
      </c>
      <c r="J107" s="20">
        <v>6.8206132867559992</v>
      </c>
      <c r="K107" s="20">
        <v>8.5470881301765704</v>
      </c>
      <c r="L107" s="20">
        <v>13.774674210003344</v>
      </c>
      <c r="M107" s="20">
        <v>17.29788920747562</v>
      </c>
      <c r="N107" s="20">
        <v>53.809339806419743</v>
      </c>
      <c r="O107" s="20">
        <v>91.302986729020688</v>
      </c>
      <c r="P107" s="20">
        <v>145.26926241441242</v>
      </c>
      <c r="Q107" s="20">
        <v>177.7426139743782</v>
      </c>
      <c r="R107" s="20">
        <v>206.74782829124439</v>
      </c>
      <c r="S107" s="20">
        <v>232.36446217064383</v>
      </c>
      <c r="T107" s="20">
        <v>254.95846291643815</v>
      </c>
      <c r="U107" s="20">
        <v>265.26141630063768</v>
      </c>
      <c r="V107" s="20">
        <v>274.97483857014106</v>
      </c>
      <c r="W107" s="20">
        <v>284.14952891629366</v>
      </c>
      <c r="X107" s="20">
        <v>292.83214351894873</v>
      </c>
      <c r="Y107" s="20">
        <v>301.06504407662089</v>
      </c>
      <c r="Z107" s="20">
        <v>308.8864209352912</v>
      </c>
      <c r="AA107" s="20">
        <v>316.33056457523014</v>
      </c>
      <c r="AB107" s="20">
        <v>323.42820495222844</v>
      </c>
      <c r="AC107" s="20">
        <v>330.20686984028964</v>
      </c>
      <c r="AD107" s="20">
        <v>336.69123421296968</v>
      </c>
      <c r="AE107" s="20">
        <v>342.90344597051978</v>
      </c>
      <c r="AF107" s="20">
        <v>348.86342145199711</v>
      </c>
      <c r="AG107" s="20">
        <f t="shared" si="3"/>
        <v>348.86342145199711</v>
      </c>
      <c r="AH107" s="14">
        <v>1118</v>
      </c>
    </row>
    <row r="108" spans="1:34" ht="9.9499999999999993" customHeight="1" x14ac:dyDescent="0.2">
      <c r="A108" s="20">
        <f t="shared" si="2"/>
        <v>0.16759410188229115</v>
      </c>
      <c r="B108" s="20">
        <v>0.16759410188229115</v>
      </c>
      <c r="C108" s="20">
        <v>0.41914783474407408</v>
      </c>
      <c r="D108" s="20">
        <v>0.83883616965007091</v>
      </c>
      <c r="E108" s="20">
        <v>1.3431718321863944</v>
      </c>
      <c r="F108" s="20">
        <v>1.6798235330871789</v>
      </c>
      <c r="G108" s="20">
        <v>3.3681645077574518</v>
      </c>
      <c r="H108" s="20">
        <v>5.0648457874022244</v>
      </c>
      <c r="I108" s="20">
        <v>5.9162576255869475</v>
      </c>
      <c r="J108" s="20">
        <v>6.7696863678205741</v>
      </c>
      <c r="K108" s="20">
        <v>8.4825014967625449</v>
      </c>
      <c r="L108" s="20">
        <v>13.666892941262995</v>
      </c>
      <c r="M108" s="20">
        <v>17.159481726069782</v>
      </c>
      <c r="N108" s="20">
        <v>53.291547360271373</v>
      </c>
      <c r="O108" s="20">
        <v>90.315669053560285</v>
      </c>
      <c r="P108" s="20">
        <v>143.58930385611956</v>
      </c>
      <c r="Q108" s="20">
        <v>175.70314075264966</v>
      </c>
      <c r="R108" s="20">
        <v>204.45316284495041</v>
      </c>
      <c r="S108" s="20">
        <v>229.90389765778696</v>
      </c>
      <c r="T108" s="20">
        <v>252.39732045111521</v>
      </c>
      <c r="U108" s="20">
        <v>262.66762420563413</v>
      </c>
      <c r="V108" s="20">
        <v>272.3572408144521</v>
      </c>
      <c r="W108" s="20">
        <v>281.51525686494807</v>
      </c>
      <c r="X108" s="20">
        <v>290.18694364633319</v>
      </c>
      <c r="Y108" s="20">
        <v>298.41355209510942</v>
      </c>
      <c r="Z108" s="20">
        <v>306.23238481165839</v>
      </c>
      <c r="AA108" s="20">
        <v>313.67702287052043</v>
      </c>
      <c r="AB108" s="20">
        <v>320.7776280092607</v>
      </c>
      <c r="AC108" s="20">
        <v>327.56127100166941</v>
      </c>
      <c r="AD108" s="20">
        <v>334.05225731703007</v>
      </c>
      <c r="AE108" s="20">
        <v>340.2724342850442</v>
      </c>
      <c r="AF108" s="20">
        <v>346.24147217596868</v>
      </c>
      <c r="AG108" s="20">
        <f t="shared" si="3"/>
        <v>346.24147217596868</v>
      </c>
      <c r="AH108" s="13">
        <v>1126</v>
      </c>
    </row>
    <row r="109" spans="1:34" ht="9.9499999999999993" customHeight="1" x14ac:dyDescent="0.2">
      <c r="A109" s="20">
        <f t="shared" si="2"/>
        <v>0.16641030107848009</v>
      </c>
      <c r="B109" s="20">
        <v>0.16641030107848009</v>
      </c>
      <c r="C109" s="20">
        <v>0.4161816366522505</v>
      </c>
      <c r="D109" s="20">
        <v>0.83288145019157978</v>
      </c>
      <c r="E109" s="20">
        <v>1.3336014137273029</v>
      </c>
      <c r="F109" s="20">
        <v>1.6678247832578335</v>
      </c>
      <c r="G109" s="20">
        <v>3.3438096952319039</v>
      </c>
      <c r="H109" s="20">
        <v>5.0277776714327498</v>
      </c>
      <c r="I109" s="20">
        <v>5.8726990077847852</v>
      </c>
      <c r="J109" s="20">
        <v>6.7195481188328445</v>
      </c>
      <c r="K109" s="20">
        <v>8.4189370381260034</v>
      </c>
      <c r="L109" s="20">
        <v>13.56092609285737</v>
      </c>
      <c r="M109" s="20">
        <v>17.023495583485534</v>
      </c>
      <c r="N109" s="20">
        <v>52.785826038824467</v>
      </c>
      <c r="O109" s="20">
        <v>89.355144398977757</v>
      </c>
      <c r="P109" s="20">
        <v>141.95763412005596</v>
      </c>
      <c r="Q109" s="20">
        <v>173.72030753967596</v>
      </c>
      <c r="R109" s="20">
        <v>202.21819827855219</v>
      </c>
      <c r="S109" s="20">
        <v>227.50256194387464</v>
      </c>
      <c r="T109" s="20">
        <v>249.89318350798118</v>
      </c>
      <c r="U109" s="20">
        <v>260.12944631344101</v>
      </c>
      <c r="V109" s="20">
        <v>269.79379900258692</v>
      </c>
      <c r="W109" s="20">
        <v>278.93366831292576</v>
      </c>
      <c r="X109" s="20">
        <v>287.59297362581287</v>
      </c>
      <c r="Y109" s="20">
        <v>295.81187461904858</v>
      </c>
      <c r="Z109" s="20">
        <v>303.62679679570698</v>
      </c>
      <c r="AA109" s="20">
        <v>311.07061685060808</v>
      </c>
      <c r="AB109" s="20">
        <v>318.1729298836716</v>
      </c>
      <c r="AC109" s="20">
        <v>324.96034922514002</v>
      </c>
      <c r="AD109" s="20">
        <v>331.45680927533749</v>
      </c>
      <c r="AE109" s="20">
        <v>337.68385466411985</v>
      </c>
      <c r="AF109" s="20">
        <v>343.66090723114456</v>
      </c>
      <c r="AG109" s="20">
        <f t="shared" si="3"/>
        <v>343.66090723114456</v>
      </c>
      <c r="AH109" s="14">
        <v>1134</v>
      </c>
    </row>
    <row r="110" spans="1:34" ht="9.9499999999999993" customHeight="1" x14ac:dyDescent="0.2">
      <c r="A110" s="20">
        <f t="shared" si="2"/>
        <v>0.16524312593556806</v>
      </c>
      <c r="B110" s="20">
        <v>0.16524312593556806</v>
      </c>
      <c r="C110" s="20">
        <v>0.41325724705950256</v>
      </c>
      <c r="D110" s="20">
        <v>0.82701116487815007</v>
      </c>
      <c r="E110" s="20">
        <v>1.3241676657822496</v>
      </c>
      <c r="F110" s="20">
        <v>1.6559981900325744</v>
      </c>
      <c r="G110" s="20">
        <v>3.3198125037017898</v>
      </c>
      <c r="H110" s="20">
        <v>4.9912662479552701</v>
      </c>
      <c r="I110" s="20">
        <v>5.82980180998302</v>
      </c>
      <c r="J110" s="20">
        <v>6.670179523908077</v>
      </c>
      <c r="K110" s="20">
        <v>8.3563693507586034</v>
      </c>
      <c r="L110" s="20">
        <v>13.456724674274509</v>
      </c>
      <c r="M110" s="20">
        <v>16.889862082171916</v>
      </c>
      <c r="N110" s="20">
        <v>52.291699763507587</v>
      </c>
      <c r="O110" s="20">
        <v>88.420191760676985</v>
      </c>
      <c r="P110" s="20">
        <v>140.37201334803217</v>
      </c>
      <c r="Q110" s="20">
        <v>171.79167424987568</v>
      </c>
      <c r="R110" s="20">
        <v>200.04063443004409</v>
      </c>
      <c r="S110" s="20">
        <v>225.15843857699431</v>
      </c>
      <c r="T110" s="20">
        <v>247.44432561566967</v>
      </c>
      <c r="U110" s="20">
        <v>257.64528526990836</v>
      </c>
      <c r="V110" s="20">
        <v>267.28303195841863</v>
      </c>
      <c r="W110" s="20">
        <v>276.40338578230188</v>
      </c>
      <c r="X110" s="20">
        <v>285.0489483811325</v>
      </c>
      <c r="Y110" s="20">
        <v>293.25880909473699</v>
      </c>
      <c r="Z110" s="20">
        <v>301.06852836613234</v>
      </c>
      <c r="AA110" s="20">
        <v>308.51028477651585</v>
      </c>
      <c r="AB110" s="20">
        <v>315.61310942079393</v>
      </c>
      <c r="AC110" s="20">
        <v>322.40315860925483</v>
      </c>
      <c r="AD110" s="20">
        <v>328.90399481213376</v>
      </c>
      <c r="AE110" s="20">
        <v>335.13685839807152</v>
      </c>
      <c r="AF110" s="20">
        <v>341.12092087386799</v>
      </c>
      <c r="AG110" s="20">
        <f t="shared" si="3"/>
        <v>341.12092087386799</v>
      </c>
      <c r="AH110" s="13">
        <v>1142</v>
      </c>
    </row>
    <row r="111" spans="1:34" ht="9.9499999999999993" customHeight="1" x14ac:dyDescent="0.2">
      <c r="A111" s="20">
        <f t="shared" si="2"/>
        <v>0.16409222818693053</v>
      </c>
      <c r="B111" s="20">
        <v>0.16409222818693053</v>
      </c>
      <c r="C111" s="20">
        <v>0.41037378530203744</v>
      </c>
      <c r="D111" s="20">
        <v>0.82122351880691657</v>
      </c>
      <c r="E111" s="20">
        <v>1.3148676513795228</v>
      </c>
      <c r="F111" s="20">
        <v>1.6443400274226814</v>
      </c>
      <c r="G111" s="20">
        <v>3.2961649214425583</v>
      </c>
      <c r="H111" s="20">
        <v>4.9552986298880723</v>
      </c>
      <c r="I111" s="20">
        <v>5.7875504770666257</v>
      </c>
      <c r="J111" s="20">
        <v>6.6215622014498861</v>
      </c>
      <c r="K111" s="20">
        <v>8.2947739103211369</v>
      </c>
      <c r="L111" s="20">
        <v>13.354241562586846</v>
      </c>
      <c r="M111" s="20">
        <v>16.758515292196801</v>
      </c>
      <c r="N111" s="20">
        <v>51.808719256975749</v>
      </c>
      <c r="O111" s="20">
        <v>87.509668148616669</v>
      </c>
      <c r="P111" s="20">
        <v>138.83034110190243</v>
      </c>
      <c r="Q111" s="20">
        <v>169.91493454344905</v>
      </c>
      <c r="R111" s="20">
        <v>197.91827532318013</v>
      </c>
      <c r="S111" s="20">
        <v>222.86958453870443</v>
      </c>
      <c r="T111" s="20">
        <v>245.0490714228626</v>
      </c>
      <c r="U111" s="20">
        <v>255.21358688526291</v>
      </c>
      <c r="V111" s="20">
        <v>264.82349536552294</v>
      </c>
      <c r="W111" s="20">
        <v>273.923063618301</v>
      </c>
      <c r="X111" s="20">
        <v>282.55361056840968</v>
      </c>
      <c r="Y111" s="20">
        <v>290.75317730694042</v>
      </c>
      <c r="Z111" s="20">
        <v>298.55647246135618</v>
      </c>
      <c r="AA111" s="20">
        <v>305.99498387778755</v>
      </c>
      <c r="AB111" s="20">
        <v>313.09718224348484</v>
      </c>
      <c r="AC111" s="20">
        <v>319.8887680804541</v>
      </c>
      <c r="AD111" s="20">
        <v>326.39293173168426</v>
      </c>
      <c r="AE111" s="20">
        <v>332.63060828413921</v>
      </c>
      <c r="AF111" s="20">
        <v>338.62071744992744</v>
      </c>
      <c r="AG111" s="20">
        <f t="shared" si="3"/>
        <v>338.62071744992744</v>
      </c>
      <c r="AH111" s="14">
        <v>1150</v>
      </c>
    </row>
    <row r="112" spans="1:34" ht="9.9499999999999993" customHeight="1" x14ac:dyDescent="0.2">
      <c r="A112" s="20">
        <f t="shared" si="2"/>
        <v>0.16295726924082146</v>
      </c>
      <c r="B112" s="20">
        <v>0.16295726924082146</v>
      </c>
      <c r="C112" s="20">
        <v>0.40753039537302627</v>
      </c>
      <c r="D112" s="20">
        <v>0.81551676797529771</v>
      </c>
      <c r="E112" s="20">
        <v>1.3056985180879339</v>
      </c>
      <c r="F112" s="20">
        <v>1.632846677739797</v>
      </c>
      <c r="G112" s="20">
        <v>3.272859180578942</v>
      </c>
      <c r="H112" s="20">
        <v>4.9198623393325693</v>
      </c>
      <c r="I112" s="20">
        <v>5.7459299577471956</v>
      </c>
      <c r="J112" s="20">
        <v>6.573678376752385</v>
      </c>
      <c r="K112" s="20">
        <v>8.2341270320752251</v>
      </c>
      <c r="L112" s="20">
        <v>13.253431409252634</v>
      </c>
      <c r="M112" s="20">
        <v>16.629391905065564</v>
      </c>
      <c r="N112" s="20">
        <v>51.336460087018054</v>
      </c>
      <c r="O112" s="20">
        <v>86.622502237836215</v>
      </c>
      <c r="P112" s="20">
        <v>137.33064583211365</v>
      </c>
      <c r="Q112" s="20">
        <v>168.08790768767577</v>
      </c>
      <c r="R112" s="20">
        <v>195.84902488346262</v>
      </c>
      <c r="S112" s="20">
        <v>220.63412865127762</v>
      </c>
      <c r="T112" s="20">
        <v>242.70579634542759</v>
      </c>
      <c r="U112" s="20">
        <v>252.83284006456617</v>
      </c>
      <c r="V112" s="20">
        <v>262.41378186300261</v>
      </c>
      <c r="W112" s="20">
        <v>271.49138818536403</v>
      </c>
      <c r="X112" s="20">
        <v>280.10573084033285</v>
      </c>
      <c r="Y112" s="20">
        <v>288.29382569759588</v>
      </c>
      <c r="Z112" s="20">
        <v>296.08954384808203</v>
      </c>
      <c r="AA112" s="20">
        <v>303.52369076957382</v>
      </c>
      <c r="AB112" s="20">
        <v>310.62418121676831</v>
      </c>
      <c r="AC112" s="20">
        <v>317.41626190328788</v>
      </c>
      <c r="AD112" s="20">
        <v>323.92275147073661</v>
      </c>
      <c r="AE112" s="20">
        <v>330.16427921657078</v>
      </c>
      <c r="AF112" s="20">
        <v>336.15951201675711</v>
      </c>
      <c r="AG112" s="20">
        <f t="shared" si="3"/>
        <v>336.15951201675711</v>
      </c>
      <c r="AH112" s="13">
        <v>1158</v>
      </c>
    </row>
    <row r="113" spans="1:34" ht="9.9499999999999993" customHeight="1" x14ac:dyDescent="0.2">
      <c r="A113" s="20">
        <f t="shared" si="2"/>
        <v>0.16183791984608606</v>
      </c>
      <c r="B113" s="20">
        <v>0.16183791984608606</v>
      </c>
      <c r="C113" s="20">
        <v>0.40472624506163979</v>
      </c>
      <c r="D113" s="20">
        <v>0.80988921747323006</v>
      </c>
      <c r="E113" s="20">
        <v>1.2966574949551495</v>
      </c>
      <c r="F113" s="20">
        <v>1.6215146276243864</v>
      </c>
      <c r="G113" s="20">
        <v>3.2498877476136552</v>
      </c>
      <c r="H113" s="20">
        <v>4.8849452908579618</v>
      </c>
      <c r="I113" s="20">
        <v>5.7049256835007567</v>
      </c>
      <c r="J113" s="20">
        <v>6.5265108560689997</v>
      </c>
      <c r="K113" s="20">
        <v>8.1744058335260217</v>
      </c>
      <c r="L113" s="20">
        <v>13.154250552695958</v>
      </c>
      <c r="M113" s="20">
        <v>16.502431097122201</v>
      </c>
      <c r="N113" s="20">
        <v>50.874520884816341</v>
      </c>
      <c r="O113" s="20">
        <v>85.757688640510864</v>
      </c>
      <c r="P113" s="20">
        <v>135.87107524692868</v>
      </c>
      <c r="Q113" s="20">
        <v>166.30853087662399</v>
      </c>
      <c r="R113" s="20">
        <v>193.8308826669529</v>
      </c>
      <c r="S113" s="20">
        <v>218.45026982490108</v>
      </c>
      <c r="T113" s="20">
        <v>240.41292605293322</v>
      </c>
      <c r="U113" s="20">
        <v>250.50157659614297</v>
      </c>
      <c r="V113" s="20">
        <v>260.05252101734976</v>
      </c>
      <c r="W113" s="20">
        <v>269.10707795320116</v>
      </c>
      <c r="X113" s="20">
        <v>277.70410800942295</v>
      </c>
      <c r="Y113" s="20">
        <v>285.87962558842452</v>
      </c>
      <c r="Z113" s="20">
        <v>293.66667939552752</v>
      </c>
      <c r="AA113" s="20">
        <v>301.0954017752664</v>
      </c>
      <c r="AB113" s="20">
        <v>308.19315681697918</v>
      </c>
      <c r="AC113" s="20">
        <v>314.98474009392226</v>
      </c>
      <c r="AD113" s="20">
        <v>321.49259955334816</v>
      </c>
      <c r="AE113" s="20">
        <v>327.73705867875952</v>
      </c>
      <c r="AF113" s="20">
        <v>333.73653086808082</v>
      </c>
      <c r="AG113" s="20">
        <f t="shared" si="3"/>
        <v>333.73653086808082</v>
      </c>
      <c r="AH113" s="14">
        <v>1166</v>
      </c>
    </row>
    <row r="114" spans="1:34" ht="9.9499999999999993" customHeight="1" x14ac:dyDescent="0.2">
      <c r="A114" s="20">
        <f t="shared" si="2"/>
        <v>0.16073385977167168</v>
      </c>
      <c r="B114" s="20">
        <v>0.16073385977167168</v>
      </c>
      <c r="C114" s="20">
        <v>0.40196052512811542</v>
      </c>
      <c r="D114" s="20">
        <v>0.80433921975274902</v>
      </c>
      <c r="E114" s="20">
        <v>1.2877418895802486</v>
      </c>
      <c r="F114" s="20">
        <v>1.6103404642510466</v>
      </c>
      <c r="G114" s="20">
        <v>3.2272433144074428</v>
      </c>
      <c r="H114" s="20">
        <v>4.8505357756287752</v>
      </c>
      <c r="I114" s="20">
        <v>5.6645235485946923</v>
      </c>
      <c r="J114" s="20">
        <v>6.4800430020536677</v>
      </c>
      <c r="K114" s="20">
        <v>8.1155881991275916</v>
      </c>
      <c r="L114" s="20">
        <v>13.056656936237156</v>
      </c>
      <c r="M114" s="20">
        <v>16.377574401783804</v>
      </c>
      <c r="N114" s="20">
        <v>50.422521719312734</v>
      </c>
      <c r="O114" s="20">
        <v>84.914282729046406</v>
      </c>
      <c r="P114" s="20">
        <v>134.44988750051215</v>
      </c>
      <c r="Q114" s="20">
        <v>164.57485199970276</v>
      </c>
      <c r="R114" s="20">
        <v>191.86193963720237</v>
      </c>
      <c r="S114" s="20">
        <v>216.31627517866633</v>
      </c>
      <c r="T114" s="20">
        <v>238.16893581436412</v>
      </c>
      <c r="U114" s="20">
        <v>248.21837081273816</v>
      </c>
      <c r="V114" s="20">
        <v>257.7383791819866</v>
      </c>
      <c r="W114" s="20">
        <v>266.76888348295967</v>
      </c>
      <c r="X114" s="20">
        <v>275.3475691200602</v>
      </c>
      <c r="Y114" s="20">
        <v>283.50947331734807</v>
      </c>
      <c r="Z114" s="20">
        <v>291.28683826568584</v>
      </c>
      <c r="AA114" s="20">
        <v>298.70913316550929</v>
      </c>
      <c r="AB114" s="20">
        <v>305.80317741661031</v>
      </c>
      <c r="AC114" s="20">
        <v>312.59331874830877</v>
      </c>
      <c r="AD114" s="20">
        <v>319.10163595945295</v>
      </c>
      <c r="AE114" s="20">
        <v>325.34814714860431</v>
      </c>
      <c r="AF114" s="20">
        <v>331.35101197182456</v>
      </c>
      <c r="AG114" s="20">
        <f t="shared" si="3"/>
        <v>331.35101197182456</v>
      </c>
      <c r="AH114" s="13">
        <v>1174</v>
      </c>
    </row>
    <row r="115" spans="1:34" ht="9.9499999999999993" customHeight="1" x14ac:dyDescent="0.2">
      <c r="A115" s="20">
        <f t="shared" si="2"/>
        <v>0.15964477749927641</v>
      </c>
      <c r="B115" s="20">
        <v>0.15964477749927641</v>
      </c>
      <c r="C115" s="20">
        <v>0.39923244851309797</v>
      </c>
      <c r="D115" s="20">
        <v>0.79886517297100079</v>
      </c>
      <c r="E115" s="20">
        <v>1.2789490853135743</v>
      </c>
      <c r="F115" s="20">
        <v>1.5993208717012752</v>
      </c>
      <c r="G115" s="20">
        <v>3.2049187895848092</v>
      </c>
      <c r="H115" s="20">
        <v>4.8166224463243976</v>
      </c>
      <c r="I115" s="20">
        <v>5.6247098911361633</v>
      </c>
      <c r="J115" s="20">
        <v>6.4342587104874243</v>
      </c>
      <c r="K115" s="20">
        <v>8.0576527469147674</v>
      </c>
      <c r="L115" s="20">
        <v>12.960610030982357</v>
      </c>
      <c r="M115" s="20">
        <v>16.254765589927604</v>
      </c>
      <c r="N115" s="20">
        <v>49.98010261162549</v>
      </c>
      <c r="O115" s="20">
        <v>84.091395948749906</v>
      </c>
      <c r="P115" s="20">
        <v>133.06544312526307</v>
      </c>
      <c r="Q115" s="20">
        <v>162.88502284538629</v>
      </c>
      <c r="R115" s="20">
        <v>189.94037401853961</v>
      </c>
      <c r="S115" s="20">
        <v>214.23047806552177</v>
      </c>
      <c r="T115" s="20">
        <v>235.97234972178799</v>
      </c>
      <c r="U115" s="20">
        <v>245.981839139524</v>
      </c>
      <c r="V115" s="20">
        <v>255.47005925554566</v>
      </c>
      <c r="W115" s="20">
        <v>264.47558732290446</v>
      </c>
      <c r="X115" s="20">
        <v>273.03496943802912</v>
      </c>
      <c r="Y115" s="20">
        <v>281.18229029744919</v>
      </c>
      <c r="Z115" s="20">
        <v>288.94900202864778</v>
      </c>
      <c r="AA115" s="20">
        <v>296.36392132300432</v>
      </c>
      <c r="AB115" s="20">
        <v>303.45332949460925</v>
      </c>
      <c r="AC115" s="20">
        <v>310.24113029498034</v>
      </c>
      <c r="AD115" s="20">
        <v>316.74903541718373</v>
      </c>
      <c r="AE115" s="20">
        <v>322.99675842700282</v>
      </c>
      <c r="AF115" s="20">
        <v>329.00220533096558</v>
      </c>
      <c r="AG115" s="20">
        <f t="shared" si="3"/>
        <v>329.00220533096558</v>
      </c>
      <c r="AH115" s="14">
        <v>1182</v>
      </c>
    </row>
    <row r="116" spans="1:34" ht="9.9499999999999993" customHeight="1" x14ac:dyDescent="0.2">
      <c r="A116" s="20">
        <f t="shared" si="2"/>
        <v>0.15857036992850634</v>
      </c>
      <c r="B116" s="20">
        <v>0.15857036992850634</v>
      </c>
      <c r="C116" s="20">
        <v>0.39654124957959069</v>
      </c>
      <c r="D116" s="20">
        <v>0.79346551940306143</v>
      </c>
      <c r="E116" s="20">
        <v>1.2702765385761967</v>
      </c>
      <c r="F116" s="20">
        <v>1.5884526274950541</v>
      </c>
      <c r="G116" s="20">
        <v>3.1829072903414448</v>
      </c>
      <c r="H116" s="20">
        <v>4.7831943028033059</v>
      </c>
      <c r="I116" s="20">
        <v>5.5854714750795482</v>
      </c>
      <c r="J116" s="20">
        <v>6.3891423882098541</v>
      </c>
      <c r="K116" s="20">
        <v>8.0005787969352351</v>
      </c>
      <c r="L116" s="20">
        <v>12.866070763314108</v>
      </c>
      <c r="M116" s="20">
        <v>16.133950557809897</v>
      </c>
      <c r="N116" s="20">
        <v>49.546922175336142</v>
      </c>
      <c r="O116" s="20">
        <v>83.288191566359842</v>
      </c>
      <c r="P116" s="20">
        <v>131.71619764052065</v>
      </c>
      <c r="Q116" s="20">
        <v>161.23729272354743</v>
      </c>
      <c r="R116" s="20">
        <v>188.0644472478395</v>
      </c>
      <c r="S116" s="20">
        <v>212.19127602785403</v>
      </c>
      <c r="T116" s="20">
        <v>233.82173980957015</v>
      </c>
      <c r="U116" s="20">
        <v>243.79063954240485</v>
      </c>
      <c r="V116" s="20">
        <v>253.24630034941472</v>
      </c>
      <c r="W116" s="20">
        <v>262.22600382239909</v>
      </c>
      <c r="X116" s="20">
        <v>270.76519236555998</v>
      </c>
      <c r="Y116" s="20">
        <v>278.89702300625578</v>
      </c>
      <c r="Z116" s="20">
        <v>286.65217471092012</v>
      </c>
      <c r="AA116" s="20">
        <v>294.05882284133338</v>
      </c>
      <c r="AB116" s="20">
        <v>301.14271778063875</v>
      </c>
      <c r="AC116" s="20">
        <v>307.92732368119107</v>
      </c>
      <c r="AD116" s="20">
        <v>314.43398762775968</v>
      </c>
      <c r="AE116" s="20">
        <v>320.68211989826062</v>
      </c>
      <c r="AF116" s="20">
        <v>326.68937327595143</v>
      </c>
      <c r="AG116" s="20">
        <f t="shared" si="3"/>
        <v>326.68937327595143</v>
      </c>
      <c r="AH116" s="13">
        <v>1190</v>
      </c>
    </row>
    <row r="117" spans="1:34" ht="9.9499999999999993" customHeight="1" x14ac:dyDescent="0.2">
      <c r="A117" s="20">
        <f t="shared" si="2"/>
        <v>0.1575103420939549</v>
      </c>
      <c r="B117" s="20">
        <v>0.1575103420939549</v>
      </c>
      <c r="C117" s="20">
        <v>0.39388618338595377</v>
      </c>
      <c r="D117" s="20">
        <v>0.78813874392109429</v>
      </c>
      <c r="E117" s="20">
        <v>1.2617217762998061</v>
      </c>
      <c r="F117" s="20">
        <v>1.5777325992729174</v>
      </c>
      <c r="G117" s="20">
        <v>3.1612021346310293</v>
      </c>
      <c r="H117" s="20">
        <v>4.7502406784679856</v>
      </c>
      <c r="I117" s="20">
        <v>5.5467954731347326</v>
      </c>
      <c r="J117" s="20">
        <v>6.3446789321805213</v>
      </c>
      <c r="K117" s="20">
        <v>7.9443463413656996</v>
      </c>
      <c r="L117" s="20">
        <v>12.773001446654691</v>
      </c>
      <c r="M117" s="20">
        <v>16.015077221951486</v>
      </c>
      <c r="N117" s="20">
        <v>49.122656370115642</v>
      </c>
      <c r="O117" s="20">
        <v>82.503880807379915</v>
      </c>
      <c r="P117" s="20">
        <v>130.40069477599295</v>
      </c>
      <c r="Q117" s="20">
        <v>159.6300024879373</v>
      </c>
      <c r="R117" s="20">
        <v>186.23250004171754</v>
      </c>
      <c r="S117" s="20">
        <v>210.19712870706482</v>
      </c>
      <c r="T117" s="20">
        <v>231.7157250855166</v>
      </c>
      <c r="U117" s="20">
        <v>241.64347088934898</v>
      </c>
      <c r="V117" s="20">
        <v>251.06587737453478</v>
      </c>
      <c r="W117" s="20">
        <v>260.01897887243166</v>
      </c>
      <c r="X117" s="20">
        <v>268.53714928919612</v>
      </c>
      <c r="Y117" s="20">
        <v>276.65264291235002</v>
      </c>
      <c r="Z117" s="20">
        <v>284.39538278375608</v>
      </c>
      <c r="AA117" s="20">
        <v>291.79291456500698</v>
      </c>
      <c r="AB117" s="20">
        <v>298.87046534074636</v>
      </c>
      <c r="AC117" s="20">
        <v>305.65106450004703</v>
      </c>
      <c r="AD117" s="20">
        <v>312.15569743070353</v>
      </c>
      <c r="AE117" s="20">
        <v>318.40347273018631</v>
      </c>
      <c r="AF117" s="20">
        <v>324.41179069636638</v>
      </c>
      <c r="AG117" s="20">
        <f t="shared" si="3"/>
        <v>324.41179069636638</v>
      </c>
      <c r="AH117" s="14">
        <v>1198</v>
      </c>
    </row>
    <row r="118" spans="1:34" ht="9.9499999999999993" customHeight="1" x14ac:dyDescent="0.2">
      <c r="A118" s="20">
        <f t="shared" si="2"/>
        <v>0.15646440689363822</v>
      </c>
      <c r="B118" s="20">
        <v>0.15646440689363822</v>
      </c>
      <c r="C118" s="20">
        <v>0.39126652498845732</v>
      </c>
      <c r="D118" s="20">
        <v>0.78288337253659956</v>
      </c>
      <c r="E118" s="20">
        <v>1.2532823934634825</v>
      </c>
      <c r="F118" s="20">
        <v>1.5671577416209022</v>
      </c>
      <c r="G118" s="20">
        <v>3.1397968337103794</v>
      </c>
      <c r="H118" s="20">
        <v>4.7177512272895701</v>
      </c>
      <c r="I118" s="20">
        <v>5.5086694505222997</v>
      </c>
      <c r="J118" s="20">
        <v>6.3008537096012267</v>
      </c>
      <c r="K118" s="20">
        <v>7.8889360162043287</v>
      </c>
      <c r="L118" s="20">
        <v>12.681365717201492</v>
      </c>
      <c r="M118" s="20">
        <v>15.898095420472794</v>
      </c>
      <c r="N118" s="20">
        <v>48.706997357580846</v>
      </c>
      <c r="O118" s="20">
        <v>81.737719340909578</v>
      </c>
      <c r="P118" s="20">
        <v>129.11756025400501</v>
      </c>
      <c r="Q118" s="20">
        <v>158.06157893918154</v>
      </c>
      <c r="R118" s="20">
        <v>184.44294859168176</v>
      </c>
      <c r="S118" s="20">
        <v>208.2465557274142</v>
      </c>
      <c r="T118" s="20">
        <v>229.65297048907178</v>
      </c>
      <c r="U118" s="20">
        <v>239.53907223672113</v>
      </c>
      <c r="V118" s="20">
        <v>248.92760055691718</v>
      </c>
      <c r="W118" s="20">
        <v>257.85338958044963</v>
      </c>
      <c r="X118" s="20">
        <v>266.3497793672646</v>
      </c>
      <c r="Y118" s="20">
        <v>274.44814634563721</v>
      </c>
      <c r="Z118" s="20">
        <v>282.17767509775376</v>
      </c>
      <c r="AA118" s="20">
        <v>289.56529357710184</v>
      </c>
      <c r="AB118" s="20">
        <v>296.6357136109815</v>
      </c>
      <c r="AC118" s="20">
        <v>303.41153506533738</v>
      </c>
      <c r="AD118" s="20">
        <v>309.91338491621082</v>
      </c>
      <c r="AE118" s="20">
        <v>316.16007202074292</v>
      </c>
      <c r="AF118" s="20">
        <v>322.16874521867743</v>
      </c>
      <c r="AG118" s="20">
        <f t="shared" si="3"/>
        <v>322.16874521867743</v>
      </c>
      <c r="AH118" s="13">
        <v>1206</v>
      </c>
    </row>
    <row r="119" spans="1:34" ht="9.9499999999999993" customHeight="1" x14ac:dyDescent="0.2">
      <c r="A119" s="20">
        <f t="shared" si="2"/>
        <v>0.15543228482826105</v>
      </c>
      <c r="B119" s="20">
        <v>0.15543228482826105</v>
      </c>
      <c r="C119" s="20">
        <v>0.38868156877199911</v>
      </c>
      <c r="D119" s="20">
        <v>0.77769797100269555</v>
      </c>
      <c r="E119" s="20">
        <v>1.2449560507462036</v>
      </c>
      <c r="F119" s="20">
        <v>1.5567250930310346</v>
      </c>
      <c r="G119" s="20">
        <v>3.1186850850234733</v>
      </c>
      <c r="H119" s="20">
        <v>4.6857159114540599</v>
      </c>
      <c r="I119" s="20">
        <v>5.4710813495253294</v>
      </c>
      <c r="J119" s="20">
        <v>6.2576525390346305</v>
      </c>
      <c r="K119" s="20">
        <v>7.834329074440058</v>
      </c>
      <c r="L119" s="20">
        <v>12.591128473357751</v>
      </c>
      <c r="M119" s="20">
        <v>15.782956820406566</v>
      </c>
      <c r="N119" s="20">
        <v>48.299652449519421</v>
      </c>
      <c r="O119" s="20">
        <v>80.989004075631883</v>
      </c>
      <c r="P119" s="20">
        <v>127.86549607991013</v>
      </c>
      <c r="Q119" s="20">
        <v>156.53052958811352</v>
      </c>
      <c r="R119" s="20">
        <v>182.69428089609454</v>
      </c>
      <c r="S119" s="20">
        <v>206.33813457156737</v>
      </c>
      <c r="T119" s="20">
        <v>227.63218579043308</v>
      </c>
      <c r="U119" s="20">
        <v>237.47622205180531</v>
      </c>
      <c r="V119" s="20">
        <v>246.83031489081554</v>
      </c>
      <c r="W119" s="20">
        <v>255.72814388681033</v>
      </c>
      <c r="X119" s="20">
        <v>264.202049263253</v>
      </c>
      <c r="Y119" s="20">
        <v>272.28255431706236</v>
      </c>
      <c r="Z119" s="20">
        <v>279.99812276932983</v>
      </c>
      <c r="AA119" s="20">
        <v>287.37507714012082</v>
      </c>
      <c r="AB119" s="20">
        <v>294.43762238472215</v>
      </c>
      <c r="AC119" s="20">
        <v>301.20793443996843</v>
      </c>
      <c r="AD119" s="20">
        <v>307.70628549069352</v>
      </c>
      <c r="AE119" s="20">
        <v>313.95118689732976</v>
      </c>
      <c r="AF119" s="20">
        <v>319.95953733612424</v>
      </c>
      <c r="AG119" s="20">
        <f t="shared" si="3"/>
        <v>319.95953733612424</v>
      </c>
      <c r="AH119" s="14">
        <v>1214</v>
      </c>
    </row>
    <row r="120" spans="1:34" ht="9.9499999999999993" customHeight="1" x14ac:dyDescent="0.2">
      <c r="A120" s="20">
        <f t="shared" si="2"/>
        <v>0.15441370375081018</v>
      </c>
      <c r="B120" s="20">
        <v>0.15441370375081018</v>
      </c>
      <c r="C120" s="20">
        <v>0.38613062780764879</v>
      </c>
      <c r="D120" s="20">
        <v>0.7725811434735248</v>
      </c>
      <c r="E120" s="20">
        <v>1.2367404722712612</v>
      </c>
      <c r="F120" s="20">
        <v>1.5464317729905466</v>
      </c>
      <c r="G120" s="20">
        <v>3.0978607654059247</v>
      </c>
      <c r="H120" s="20">
        <v>4.6541249895945116</v>
      </c>
      <c r="I120" s="20">
        <v>5.4340194747911523</v>
      </c>
      <c r="J120" s="20">
        <v>6.2150616724595302</v>
      </c>
      <c r="K120" s="20">
        <v>7.7805073606063218</v>
      </c>
      <c r="L120" s="20">
        <v>12.502255818604899</v>
      </c>
      <c r="M120" s="20">
        <v>15.66961483055614</v>
      </c>
      <c r="N120" s="20">
        <v>47.900343139708518</v>
      </c>
      <c r="O120" s="20">
        <v>80.257070234920235</v>
      </c>
      <c r="P120" s="20">
        <v>126.64327529479827</v>
      </c>
      <c r="Q120" s="20">
        <v>155.03543775913576</v>
      </c>
      <c r="R120" s="20">
        <v>180.98505323472077</v>
      </c>
      <c r="S120" s="20">
        <v>204.47049846269186</v>
      </c>
      <c r="T120" s="20">
        <v>225.65212444319562</v>
      </c>
      <c r="U120" s="20">
        <v>235.45373738191131</v>
      </c>
      <c r="V120" s="20">
        <v>244.77289953794266</v>
      </c>
      <c r="W120" s="20">
        <v>253.64218012972671</v>
      </c>
      <c r="X120" s="20">
        <v>262.09295283096628</v>
      </c>
      <c r="Y120" s="20">
        <v>270.15491229308458</v>
      </c>
      <c r="Z120" s="20">
        <v>277.85581902413452</v>
      </c>
      <c r="AA120" s="20">
        <v>285.22140259510451</v>
      </c>
      <c r="AB120" s="20">
        <v>292.27536975880633</v>
      </c>
      <c r="AC120" s="20">
        <v>299.03947842320946</v>
      </c>
      <c r="AD120" s="20">
        <v>305.53364990080223</v>
      </c>
      <c r="AE120" s="20">
        <v>311.77610057407037</v>
      </c>
      <c r="AF120" s="20">
        <v>317.78348049614038</v>
      </c>
      <c r="AG120" s="20">
        <f t="shared" si="3"/>
        <v>317.78348049614038</v>
      </c>
      <c r="AH120" s="13">
        <v>1222</v>
      </c>
    </row>
    <row r="121" spans="1:34" ht="9.9499999999999993" customHeight="1" x14ac:dyDescent="0.2">
      <c r="A121" s="20">
        <f t="shared" si="2"/>
        <v>0.15340839862599934</v>
      </c>
      <c r="B121" s="20">
        <v>0.15340839862599934</v>
      </c>
      <c r="C121" s="20">
        <v>0.38361303323577428</v>
      </c>
      <c r="D121" s="20">
        <v>0.76753153121805229</v>
      </c>
      <c r="E121" s="20">
        <v>1.2286334434454109</v>
      </c>
      <c r="F121" s="20">
        <v>1.5362749791919241</v>
      </c>
      <c r="G121" s="20">
        <v>3.0773179245927724</v>
      </c>
      <c r="H121" s="20">
        <v>4.6229690055759489</v>
      </c>
      <c r="I121" s="20">
        <v>5.3974724793394238</v>
      </c>
      <c r="J121" s="20">
        <v>6.1730677782071002</v>
      </c>
      <c r="K121" s="20">
        <v>7.7274532866337902</v>
      </c>
      <c r="L121" s="20">
        <v>12.414715007582426</v>
      </c>
      <c r="M121" s="20">
        <v>15.558024519503098</v>
      </c>
      <c r="N121" s="20">
        <v>47.508804211508419</v>
      </c>
      <c r="O121" s="20">
        <v>79.541288682768368</v>
      </c>
      <c r="P121" s="20">
        <v>125.44973714899356</v>
      </c>
      <c r="Q121" s="20">
        <v>153.574958013535</v>
      </c>
      <c r="R121" s="20">
        <v>179.31388678911279</v>
      </c>
      <c r="S121" s="20">
        <v>202.6423342656079</v>
      </c>
      <c r="T121" s="20">
        <v>223.71158240191798</v>
      </c>
      <c r="U121" s="20">
        <v>233.47047297965443</v>
      </c>
      <c r="V121" s="20">
        <v>242.75426718059134</v>
      </c>
      <c r="W121" s="20">
        <v>251.59446656516926</v>
      </c>
      <c r="X121" s="20">
        <v>260.02151075695559</v>
      </c>
      <c r="Y121" s="20">
        <v>268.06428992980619</v>
      </c>
      <c r="Z121" s="20">
        <v>275.74987900201387</v>
      </c>
      <c r="AA121" s="20">
        <v>283.10342722350407</v>
      </c>
      <c r="AB121" s="20">
        <v>290.14815204300396</v>
      </c>
      <c r="AC121" s="20">
        <v>296.90539950135911</v>
      </c>
      <c r="AD121" s="20">
        <v>303.39474422062477</v>
      </c>
      <c r="AE121" s="20">
        <v>309.63411037185972</v>
      </c>
      <c r="AF121" s="20">
        <v>315.63990115008932</v>
      </c>
      <c r="AG121" s="20">
        <f t="shared" si="3"/>
        <v>315.63990115008932</v>
      </c>
      <c r="AH121" s="14">
        <v>1230</v>
      </c>
    </row>
    <row r="122" spans="1:34" ht="9.9499999999999993" customHeight="1" x14ac:dyDescent="0.2">
      <c r="A122" s="20">
        <f t="shared" si="2"/>
        <v>0.15241611129911503</v>
      </c>
      <c r="B122" s="20">
        <v>0.15241611129911503</v>
      </c>
      <c r="C122" s="20">
        <v>0.38112813367356108</v>
      </c>
      <c r="D122" s="20">
        <v>0.76254781138567185</v>
      </c>
      <c r="E122" s="20">
        <v>1.2206328088869467</v>
      </c>
      <c r="F122" s="20">
        <v>1.5262519848668052</v>
      </c>
      <c r="G122" s="20">
        <v>3.0570507790134549</v>
      </c>
      <c r="H122" s="20">
        <v>4.5922387778020797</v>
      </c>
      <c r="I122" s="20">
        <v>5.3614293512360209</v>
      </c>
      <c r="J122" s="20">
        <v>6.1316579247264196</v>
      </c>
      <c r="K122" s="20">
        <v>7.6751498089226731</v>
      </c>
      <c r="L122" s="20">
        <v>12.328474395160239</v>
      </c>
      <c r="M122" s="20">
        <v>15.448142538401298</v>
      </c>
      <c r="N122" s="20">
        <v>47.124782914247049</v>
      </c>
      <c r="O122" s="20">
        <v>78.841063475494209</v>
      </c>
      <c r="P122" s="20">
        <v>124.28378265878088</v>
      </c>
      <c r="Q122" s="20">
        <v>152.1478118731373</v>
      </c>
      <c r="R122" s="20">
        <v>177.67946441002354</v>
      </c>
      <c r="S122" s="20">
        <v>200.85238041740507</v>
      </c>
      <c r="T122" s="20">
        <v>221.80939691485389</v>
      </c>
      <c r="U122" s="20">
        <v>231.52532039319698</v>
      </c>
      <c r="V122" s="20">
        <v>240.77336333596202</v>
      </c>
      <c r="W122" s="20">
        <v>249.58400084777907</v>
      </c>
      <c r="X122" s="20">
        <v>257.98677016534884</v>
      </c>
      <c r="Y122" s="20">
        <v>266.00978077129639</v>
      </c>
      <c r="Z122" s="20">
        <v>273.67943952772089</v>
      </c>
      <c r="AA122" s="20">
        <v>281.0203280758783</v>
      </c>
      <c r="AB122" s="20">
        <v>288.05518363687349</v>
      </c>
      <c r="AC122" s="20">
        <v>294.80494676592406</v>
      </c>
      <c r="AD122" s="20">
        <v>301.28884980621632</v>
      </c>
      <c r="AE122" s="20">
        <v>307.5245277053902</v>
      </c>
      <c r="AF122" s="20">
        <v>313.52813876956151</v>
      </c>
      <c r="AG122" s="20">
        <f t="shared" si="3"/>
        <v>313.52813876956151</v>
      </c>
      <c r="AH122" s="13">
        <v>1238</v>
      </c>
    </row>
    <row r="123" spans="1:34" ht="9.9499999999999993" customHeight="1" x14ac:dyDescent="0.2">
      <c r="A123" s="20">
        <f t="shared" si="2"/>
        <v>0.15143659027383891</v>
      </c>
      <c r="B123" s="20">
        <v>0.15143659027383891</v>
      </c>
      <c r="C123" s="20">
        <v>0.3786752946457923</v>
      </c>
      <c r="D123" s="20">
        <v>0.75762869582118131</v>
      </c>
      <c r="E123" s="20">
        <v>1.2127364704383106</v>
      </c>
      <c r="F123" s="20">
        <v>1.5163601362146524</v>
      </c>
      <c r="G123" s="20">
        <v>3.0370537058588973</v>
      </c>
      <c r="H123" s="20">
        <v>4.5619253890147027</v>
      </c>
      <c r="I123" s="20">
        <v>5.3258794008947641</v>
      </c>
      <c r="J123" s="20">
        <v>6.0908195651310058</v>
      </c>
      <c r="K123" s="20">
        <v>7.6235804065608539</v>
      </c>
      <c r="L123" s="20">
        <v>12.243503388304894</v>
      </c>
      <c r="M123" s="20">
        <v>15.339927048223673</v>
      </c>
      <c r="N123" s="20">
        <v>46.748038202151342</v>
      </c>
      <c r="O123" s="20">
        <v>78.155829617010866</v>
      </c>
      <c r="P123" s="20">
        <v>123.14437051237397</v>
      </c>
      <c r="Q123" s="20">
        <v>150.75278382535109</v>
      </c>
      <c r="R123" s="20">
        <v>176.08052753136127</v>
      </c>
      <c r="S123" s="20">
        <v>199.09942489607167</v>
      </c>
      <c r="T123" s="20">
        <v>219.94444530074225</v>
      </c>
      <c r="U123" s="20">
        <v>229.61720702946101</v>
      </c>
      <c r="V123" s="20">
        <v>238.8291656384674</v>
      </c>
      <c r="W123" s="20">
        <v>247.60980947844624</v>
      </c>
      <c r="X123" s="20">
        <v>255.98780418988304</v>
      </c>
      <c r="Y123" s="20">
        <v>263.99050191631295</v>
      </c>
      <c r="Z123" s="20">
        <v>271.64365885123544</v>
      </c>
      <c r="AA123" s="20">
        <v>278.97130177110154</v>
      </c>
      <c r="AB123" s="20">
        <v>285.99569687763648</v>
      </c>
      <c r="AC123" s="20">
        <v>292.73738580295861</v>
      </c>
      <c r="AD123" s="20">
        <v>299.2152632211567</v>
      </c>
      <c r="AE123" s="20">
        <v>305.44667804089727</v>
      </c>
      <c r="AF123" s="20">
        <v>311.44754583301051</v>
      </c>
      <c r="AG123" s="20">
        <f t="shared" si="3"/>
        <v>311.44754583301051</v>
      </c>
      <c r="AH123" s="14">
        <v>1246</v>
      </c>
    </row>
    <row r="124" spans="1:34" ht="9.9499999999999993" customHeight="1" x14ac:dyDescent="0.2">
      <c r="A124" s="20">
        <f t="shared" si="2"/>
        <v>0.15046959049863773</v>
      </c>
      <c r="B124" s="20">
        <v>0.15046959049863773</v>
      </c>
      <c r="C124" s="20">
        <v>0.37625389803783837</v>
      </c>
      <c r="D124" s="20">
        <v>0.75277292992680445</v>
      </c>
      <c r="E124" s="20">
        <v>1.2049423852592591</v>
      </c>
      <c r="F124" s="20">
        <v>1.5065968499528304</v>
      </c>
      <c r="G124" s="20">
        <v>3.0173212374064766</v>
      </c>
      <c r="H124" s="20">
        <v>4.5320201765588228</v>
      </c>
      <c r="I124" s="20">
        <v>5.2908122489717773</v>
      </c>
      <c r="J124" s="20">
        <v>6.0505405224814899</v>
      </c>
      <c r="K124" s="20">
        <v>7.57272906061936</v>
      </c>
      <c r="L124" s="20">
        <v>12.159772400556205</v>
      </c>
      <c r="M124" s="20">
        <v>15.233337651155333</v>
      </c>
      <c r="N124" s="20">
        <v>46.37834003022774</v>
      </c>
      <c r="O124" s="20">
        <v>77.485050997934692</v>
      </c>
      <c r="P124" s="20">
        <v>122.03051329437196</v>
      </c>
      <c r="Q124" s="20">
        <v>149.38871759140289</v>
      </c>
      <c r="R124" s="20">
        <v>174.515873228891</v>
      </c>
      <c r="S124" s="20">
        <v>197.38230323403965</v>
      </c>
      <c r="T124" s="20">
        <v>218.11564371816866</v>
      </c>
      <c r="U124" s="20">
        <v>227.74509519755938</v>
      </c>
      <c r="V124" s="20">
        <v>236.92068309624267</v>
      </c>
      <c r="W124" s="20">
        <v>245.67094722381623</v>
      </c>
      <c r="X124" s="20">
        <v>254.02371151760923</v>
      </c>
      <c r="Y124" s="20">
        <v>262.00559365733892</v>
      </c>
      <c r="Z124" s="20">
        <v>269.64171636124286</v>
      </c>
      <c r="AA124" s="20">
        <v>276.95556426943637</v>
      </c>
      <c r="AB124" s="20">
        <v>283.96894186234192</v>
      </c>
      <c r="AC124" s="20">
        <v>290.70199855682739</v>
      </c>
      <c r="AD124" s="20">
        <v>297.17329613642511</v>
      </c>
      <c r="AE124" s="20">
        <v>303.3999008279539</v>
      </c>
      <c r="AF124" s="20">
        <v>309.39748778608674</v>
      </c>
      <c r="AG124" s="20">
        <f t="shared" si="3"/>
        <v>309.39748778608674</v>
      </c>
      <c r="AH124" s="13">
        <v>1254</v>
      </c>
    </row>
    <row r="125" spans="1:34" ht="9.9499999999999993" customHeight="1" x14ac:dyDescent="0.2">
      <c r="A125" s="20">
        <f t="shared" si="2"/>
        <v>0.14951487316134035</v>
      </c>
      <c r="B125" s="20">
        <v>0.14951487316134035</v>
      </c>
      <c r="C125" s="20">
        <v>0.37386334156983342</v>
      </c>
      <c r="D125" s="20">
        <v>0.74797929156907716</v>
      </c>
      <c r="E125" s="20">
        <v>1.197248563996693</v>
      </c>
      <c r="F125" s="20">
        <v>1.4969596109583199</v>
      </c>
      <c r="G125" s="20">
        <v>2.9978480555895719</v>
      </c>
      <c r="H125" s="20">
        <v>4.502514723088014</v>
      </c>
      <c r="I125" s="20">
        <v>5.2562178148192595</v>
      </c>
      <c r="J125" s="20">
        <v>6.0108089757624201</v>
      </c>
      <c r="K125" s="20">
        <v>7.5225802344614134</v>
      </c>
      <c r="L125" s="20">
        <v>12.077252808945428</v>
      </c>
      <c r="M125" s="20">
        <v>15.128335325850756</v>
      </c>
      <c r="N125" s="20">
        <v>46.015468702071331</v>
      </c>
      <c r="O125" s="20">
        <v>76.828218500970621</v>
      </c>
      <c r="P125" s="20">
        <v>120.94127400086838</v>
      </c>
      <c r="Q125" s="20">
        <v>148.05451264043739</v>
      </c>
      <c r="R125" s="20">
        <v>172.98435142082801</v>
      </c>
      <c r="S125" s="20">
        <v>195.69989658211048</v>
      </c>
      <c r="T125" s="20">
        <v>216.3219459339175</v>
      </c>
      <c r="U125" s="20">
        <v>225.90798113896162</v>
      </c>
      <c r="V125" s="20">
        <v>235.0469553275685</v>
      </c>
      <c r="W125" s="20">
        <v>243.7664965125995</v>
      </c>
      <c r="X125" s="20">
        <v>252.09361590844441</v>
      </c>
      <c r="Y125" s="20">
        <v>260.05421909556679</v>
      </c>
      <c r="Z125" s="20">
        <v>267.67281227504969</v>
      </c>
      <c r="AA125" s="20">
        <v>274.9723506225352</v>
      </c>
      <c r="AB125" s="20">
        <v>281.97418624728289</v>
      </c>
      <c r="AC125" s="20">
        <v>288.69808317132265</v>
      </c>
      <c r="AD125" s="20">
        <v>295.16227520753199</v>
      </c>
      <c r="AE125" s="20">
        <v>301.38354940828077</v>
      </c>
      <c r="AF125" s="20">
        <v>307.37734297866484</v>
      </c>
      <c r="AG125" s="20">
        <f t="shared" si="3"/>
        <v>307.37734297866484</v>
      </c>
      <c r="AH125" s="14">
        <v>1262</v>
      </c>
    </row>
    <row r="126" spans="1:34" ht="9.9499999999999993" customHeight="1" x14ac:dyDescent="0.2">
      <c r="A126" s="20">
        <f t="shared" si="2"/>
        <v>0.1485722054915358</v>
      </c>
      <c r="B126" s="20">
        <v>0.1485722054915358</v>
      </c>
      <c r="C126" s="20">
        <v>0.37150303829108927</v>
      </c>
      <c r="D126" s="20">
        <v>0.74324659002853666</v>
      </c>
      <c r="E126" s="20">
        <v>1.1896530690275604</v>
      </c>
      <c r="F126" s="20">
        <v>1.4874459700063951</v>
      </c>
      <c r="G126" s="20">
        <v>2.9786289867991766</v>
      </c>
      <c r="H126" s="20">
        <v>4.4734008476863636</v>
      </c>
      <c r="I126" s="20">
        <v>5.222086305467962</v>
      </c>
      <c r="J126" s="20">
        <v>5.9716134465141533</v>
      </c>
      <c r="K126" s="20">
        <v>7.4731188550056133</v>
      </c>
      <c r="L126" s="20">
        <v>11.995916913198144</v>
      </c>
      <c r="M126" s="20">
        <v>15.02488236629536</v>
      </c>
      <c r="N126" s="20">
        <v>45.659214265086838</v>
      </c>
      <c r="O126" s="20">
        <v>76.184848256921541</v>
      </c>
      <c r="P126" s="20">
        <v>119.87576282000701</v>
      </c>
      <c r="Q126" s="20">
        <v>146.74912093303388</v>
      </c>
      <c r="R126" s="20">
        <v>171.4848622066888</v>
      </c>
      <c r="S126" s="20">
        <v>194.05112982796385</v>
      </c>
      <c r="T126" s="20">
        <v>214.56234209688756</v>
      </c>
      <c r="U126" s="20">
        <v>224.10489405021713</v>
      </c>
      <c r="V126" s="20">
        <v>233.20705178240357</v>
      </c>
      <c r="W126" s="20">
        <v>241.89556681318498</v>
      </c>
      <c r="X126" s="20">
        <v>250.19666569443839</v>
      </c>
      <c r="Y126" s="20">
        <v>258.13556373521106</v>
      </c>
      <c r="Z126" s="20">
        <v>265.73616730796761</v>
      </c>
      <c r="AA126" s="20">
        <v>273.02091470318317</v>
      </c>
      <c r="AB126" s="20">
        <v>280.01071502735522</v>
      </c>
      <c r="AC126" s="20">
        <v>286.72495381077789</v>
      </c>
      <c r="AD126" s="20">
        <v>293.18154193154629</v>
      </c>
      <c r="AE126" s="20">
        <v>299.39699090422562</v>
      </c>
      <c r="AF126" s="20">
        <v>305.38650258123533</v>
      </c>
      <c r="AG126" s="20">
        <f t="shared" si="3"/>
        <v>305.38650258123533</v>
      </c>
      <c r="AH126" s="13">
        <v>1270</v>
      </c>
    </row>
    <row r="127" spans="1:34" ht="9.9499999999999993" customHeight="1" x14ac:dyDescent="0.2">
      <c r="A127" s="20">
        <f t="shared" si="2"/>
        <v>0.14764136057044641</v>
      </c>
      <c r="B127" s="20">
        <v>0.14764136057044641</v>
      </c>
      <c r="C127" s="20">
        <v>0.36917241609384127</v>
      </c>
      <c r="D127" s="20">
        <v>0.73857366499023991</v>
      </c>
      <c r="E127" s="20">
        <v>1.1821540127713752</v>
      </c>
      <c r="F127" s="20">
        <v>1.4780535416000344</v>
      </c>
      <c r="G127" s="20">
        <v>2.9596589969057909</v>
      </c>
      <c r="H127" s="20">
        <v>4.444670597384591</v>
      </c>
      <c r="I127" s="20">
        <v>5.1884082051093072</v>
      </c>
      <c r="J127" s="20">
        <v>5.9329427860831716</v>
      </c>
      <c r="K127" s="20">
        <v>7.4243302948880761</v>
      </c>
      <c r="L127" s="20">
        <v>11.915737897077078</v>
      </c>
      <c r="M127" s="20">
        <v>14.922942324031842</v>
      </c>
      <c r="N127" s="20">
        <v>45.309375949059067</v>
      </c>
      <c r="O127" s="20">
        <v>75.55448003734459</v>
      </c>
      <c r="P127" s="20">
        <v>118.83313415515602</v>
      </c>
      <c r="Q127" s="20">
        <v>145.47154387862389</v>
      </c>
      <c r="R127" s="20">
        <v>170.01635334015083</v>
      </c>
      <c r="S127" s="20">
        <v>192.43496977237976</v>
      </c>
      <c r="T127" s="20">
        <v>212.83585752267859</v>
      </c>
      <c r="U127" s="20">
        <v>222.33489510340104</v>
      </c>
      <c r="V127" s="20">
        <v>231.40007095373196</v>
      </c>
      <c r="W127" s="20">
        <v>240.0572939966882</v>
      </c>
      <c r="X127" s="20">
        <v>248.33203326234405</v>
      </c>
      <c r="Y127" s="20">
        <v>256.2488350602847</v>
      </c>
      <c r="Z127" s="20">
        <v>263.83102232496788</v>
      </c>
      <c r="AA127" s="20">
        <v>271.10052891736376</v>
      </c>
      <c r="AB127" s="20">
        <v>278.07783029781325</v>
      </c>
      <c r="AC127" s="20">
        <v>284.78194046356583</v>
      </c>
      <c r="AD127" s="20">
        <v>291.2304524863838</v>
      </c>
      <c r="AE127" s="20">
        <v>297.43960608928325</v>
      </c>
      <c r="AF127" s="20">
        <v>303.42437048305067</v>
      </c>
      <c r="AG127" s="20">
        <f t="shared" si="3"/>
        <v>303.42437048305067</v>
      </c>
      <c r="AH127" s="14">
        <v>1278</v>
      </c>
    </row>
    <row r="128" spans="1:34" ht="9.9499999999999993" customHeight="1" x14ac:dyDescent="0.2">
      <c r="A128" s="20">
        <f t="shared" si="2"/>
        <v>0.14672211714794817</v>
      </c>
      <c r="B128" s="20">
        <v>0.14672211714794817</v>
      </c>
      <c r="C128" s="20">
        <v>0.3668709172454564</v>
      </c>
      <c r="D128" s="20">
        <v>0.73395938557325557</v>
      </c>
      <c r="E128" s="20">
        <v>1.1747495560691472</v>
      </c>
      <c r="F128" s="20">
        <v>1.4687800018857464</v>
      </c>
      <c r="G128" s="20">
        <v>2.9409331864905006</v>
      </c>
      <c r="H128" s="20">
        <v>4.4163162390496806</v>
      </c>
      <c r="I128" s="20">
        <v>5.1551742650502703</v>
      </c>
      <c r="J128" s="20">
        <v>5.8947861634567351</v>
      </c>
      <c r="K128" s="20">
        <v>7.3762003554719264</v>
      </c>
      <c r="L128" s="20">
        <v>11.836689791730766</v>
      </c>
      <c r="M128" s="20">
        <v>14.822479953530198</v>
      </c>
      <c r="N128" s="20">
        <v>44.96576164440674</v>
      </c>
      <c r="O128" s="20">
        <v>74.936675771346813</v>
      </c>
      <c r="P128" s="20">
        <v>117.81258387001081</v>
      </c>
      <c r="Q128" s="20">
        <v>144.22082949219495</v>
      </c>
      <c r="R128" s="20">
        <v>168.57781783124886</v>
      </c>
      <c r="S128" s="20">
        <v>190.85042336536077</v>
      </c>
      <c r="T128" s="20">
        <v>211.14155149338157</v>
      </c>
      <c r="U128" s="20">
        <v>220.59707646883166</v>
      </c>
      <c r="V128" s="20">
        <v>229.62513958296211</v>
      </c>
      <c r="W128" s="20">
        <v>238.25083968921348</v>
      </c>
      <c r="X128" s="20">
        <v>246.49891452280187</v>
      </c>
      <c r="Y128" s="20">
        <v>254.39326209674698</v>
      </c>
      <c r="Z128" s="20">
        <v>261.95663797720522</v>
      </c>
      <c r="AA128" s="20">
        <v>269.21048390102652</v>
      </c>
      <c r="AB128" s="20">
        <v>276.17485100066165</v>
      </c>
      <c r="AC128" s="20">
        <v>282.86838873015131</v>
      </c>
      <c r="AD128" s="20">
        <v>289.30837755449795</v>
      </c>
      <c r="AE128" s="20">
        <v>295.51078924279227</v>
      </c>
      <c r="AF128" s="20">
        <v>301.49036317416636</v>
      </c>
      <c r="AG128" s="20">
        <f t="shared" si="3"/>
        <v>301.49036317416636</v>
      </c>
      <c r="AH128" s="13">
        <v>1286</v>
      </c>
    </row>
    <row r="129" spans="1:35" ht="9.9499999999999993" customHeight="1" x14ac:dyDescent="0.2">
      <c r="A129" s="20">
        <f t="shared" si="2"/>
        <v>0.14581425946642415</v>
      </c>
      <c r="B129" s="20">
        <v>0.14581425946642415</v>
      </c>
      <c r="C129" s="20">
        <v>0.36459799793829473</v>
      </c>
      <c r="D129" s="20">
        <v>0.72940264939738064</v>
      </c>
      <c r="E129" s="20">
        <v>1.1674379066256144</v>
      </c>
      <c r="F129" s="20">
        <v>1.4596230866517619</v>
      </c>
      <c r="G129" s="20">
        <v>2.9224467862748358</v>
      </c>
      <c r="H129" s="20">
        <v>4.3883302516282221</v>
      </c>
      <c r="I129" s="20">
        <v>5.1223754941154942</v>
      </c>
      <c r="J129" s="20">
        <v>5.857133053649819</v>
      </c>
      <c r="K129" s="20">
        <v>7.3287152506559021</v>
      </c>
      <c r="L129" s="20">
        <v>11.758747440923576</v>
      </c>
      <c r="M129" s="20">
        <v>14.723461160497179</v>
      </c>
      <c r="N129" s="20">
        <v>44.628187416809808</v>
      </c>
      <c r="O129" s="20">
        <v>74.331018175321688</v>
      </c>
      <c r="P129" s="20">
        <v>116.81334673686237</v>
      </c>
      <c r="Q129" s="20">
        <v>142.99606973657717</v>
      </c>
      <c r="R129" s="20">
        <v>167.1682916729425</v>
      </c>
      <c r="S129" s="20">
        <v>189.29653600355132</v>
      </c>
      <c r="T129" s="20">
        <v>209.47851607638</v>
      </c>
      <c r="U129" s="20">
        <v>218.89056034403811</v>
      </c>
      <c r="V129" s="20">
        <v>227.88141186316761</v>
      </c>
      <c r="W129" s="20">
        <v>236.47539061676511</v>
      </c>
      <c r="X129" s="20">
        <v>244.69652836917979</v>
      </c>
      <c r="Y129" s="20">
        <v>252.56809496271046</v>
      </c>
      <c r="Z129" s="20">
        <v>260.11229432580836</v>
      </c>
      <c r="AA129" s="20">
        <v>267.35008820374958</v>
      </c>
      <c r="AB129" s="20">
        <v>274.3011126577411</v>
      </c>
      <c r="AC129" s="20">
        <v>280.98365959766886</v>
      </c>
      <c r="AD129" s="20">
        <v>287.41470213290421</v>
      </c>
      <c r="AE129" s="20">
        <v>293.60994799072591</v>
      </c>
      <c r="AF129" s="20">
        <v>299.58390961329934</v>
      </c>
      <c r="AG129" s="20">
        <f t="shared" si="3"/>
        <v>299.58390961329934</v>
      </c>
      <c r="AH129" s="14">
        <v>1294</v>
      </c>
    </row>
    <row r="130" spans="1:35" ht="9.9499999999999993" customHeight="1" x14ac:dyDescent="0.2">
      <c r="A130" s="20">
        <f t="shared" ref="A130:A143" si="4">B130</f>
        <v>0.14491757709115846</v>
      </c>
      <c r="B130" s="20">
        <v>0.14491757709115846</v>
      </c>
      <c r="C130" s="20">
        <v>0.36235312785644441</v>
      </c>
      <c r="D130" s="20">
        <v>0.72490238168540044</v>
      </c>
      <c r="E130" s="20">
        <v>1.1602173175119057</v>
      </c>
      <c r="F130" s="20">
        <v>1.4505805894047881</v>
      </c>
      <c r="G130" s="20">
        <v>2.9041951527395637</v>
      </c>
      <c r="H130" s="20">
        <v>4.3607053187252616</v>
      </c>
      <c r="I130" s="20">
        <v>5.0900031494730227</v>
      </c>
      <c r="J130" s="20">
        <v>5.8199732266144064</v>
      </c>
      <c r="K130" s="20">
        <v>7.2818615914373472</v>
      </c>
      <c r="L130" s="20">
        <v>11.68188646803168</v>
      </c>
      <c r="M130" s="20">
        <v>14.625852952936388</v>
      </c>
      <c r="N130" s="20">
        <v>44.296477055218951</v>
      </c>
      <c r="O130" s="20">
        <v>73.737109485571352</v>
      </c>
      <c r="P130" s="20">
        <v>115.83469407101296</v>
      </c>
      <c r="Q130" s="20">
        <v>141.79639803748435</v>
      </c>
      <c r="R130" s="20">
        <v>165.78685168689736</v>
      </c>
      <c r="S130" s="20">
        <v>187.77238988968213</v>
      </c>
      <c r="T130" s="20">
        <v>207.84587496533354</v>
      </c>
      <c r="U130" s="20">
        <v>217.21449799242711</v>
      </c>
      <c r="V130" s="20">
        <v>226.1680686435391</v>
      </c>
      <c r="W130" s="20">
        <v>234.73015794591669</v>
      </c>
      <c r="X130" s="20">
        <v>242.924116128858</v>
      </c>
      <c r="Y130" s="20">
        <v>250.77260440918212</v>
      </c>
      <c r="Z130" s="20">
        <v>258.29729045515847</v>
      </c>
      <c r="AA130" s="20">
        <v>265.51866796131628</v>
      </c>
      <c r="AB130" s="20">
        <v>272.45596709238959</v>
      </c>
      <c r="AC130" s="20">
        <v>279.12712920282888</v>
      </c>
      <c r="AD130" s="20">
        <v>285.54882533129182</v>
      </c>
      <c r="AE130" s="20">
        <v>291.7365031343125</v>
      </c>
      <c r="AF130" s="20">
        <v>297.70445108323145</v>
      </c>
      <c r="AG130" s="20">
        <f t="shared" ref="AG130:AG143" si="5">AF130</f>
        <v>297.70445108323145</v>
      </c>
      <c r="AH130" s="13">
        <v>1302</v>
      </c>
    </row>
    <row r="131" spans="1:35" ht="9.9499999999999993" customHeight="1" x14ac:dyDescent="0.2">
      <c r="A131" s="20">
        <f t="shared" si="4"/>
        <v>0.14403186474698412</v>
      </c>
      <c r="B131" s="20">
        <v>0.14403186474698412</v>
      </c>
      <c r="C131" s="20">
        <v>0.36013578975859678</v>
      </c>
      <c r="D131" s="20">
        <v>0.72045753439930926</v>
      </c>
      <c r="E131" s="20">
        <v>1.1530860857258647</v>
      </c>
      <c r="F131" s="20">
        <v>1.4416503595216525</v>
      </c>
      <c r="G131" s="20">
        <v>2.8861737639231575</v>
      </c>
      <c r="H131" s="20">
        <v>4.3334343215012066</v>
      </c>
      <c r="I131" s="20">
        <v>5.05804872786128</v>
      </c>
      <c r="J131" s="20">
        <v>5.7832967366431429</v>
      </c>
      <c r="K131" s="20">
        <v>7.2356263711874247</v>
      </c>
      <c r="L131" s="20">
        <v>11.606083244697913</v>
      </c>
      <c r="M131" s="20">
        <v>14.529623394784227</v>
      </c>
      <c r="N131" s="20">
        <v>43.970461650536016</v>
      </c>
      <c r="O131" s="20">
        <v>73.154570284782125</v>
      </c>
      <c r="P131" s="20">
        <v>114.87593153588298</v>
      </c>
      <c r="Q131" s="20">
        <v>140.62098695932062</v>
      </c>
      <c r="R131" s="20">
        <v>164.43261348324458</v>
      </c>
      <c r="S131" s="20">
        <v>186.27710245419271</v>
      </c>
      <c r="T131" s="20">
        <v>206.24278234595434</v>
      </c>
      <c r="U131" s="20">
        <v>215.56806879460893</v>
      </c>
      <c r="V131" s="20">
        <v>224.48431663802211</v>
      </c>
      <c r="W131" s="20">
        <v>233.01437662303582</v>
      </c>
      <c r="X131" s="20">
        <v>241.18094100949804</v>
      </c>
      <c r="Y131" s="20">
        <v>249.00608135361992</v>
      </c>
      <c r="Z131" s="20">
        <v>256.51094407770034</v>
      </c>
      <c r="AA131" s="20">
        <v>263.71556655907256</v>
      </c>
      <c r="AB131" s="20">
        <v>270.63878214141351</v>
      </c>
      <c r="AC131" s="20">
        <v>277.29818858479251</v>
      </c>
      <c r="AD131" s="20">
        <v>283.7101601598149</v>
      </c>
      <c r="AE131" s="20">
        <v>289.88988846805159</v>
      </c>
      <c r="AF131" s="20">
        <v>295.85144103531889</v>
      </c>
      <c r="AG131" s="20">
        <f t="shared" si="5"/>
        <v>295.85144103531889</v>
      </c>
      <c r="AH131" s="14">
        <v>1310</v>
      </c>
    </row>
    <row r="132" spans="1:35" ht="9.9499999999999993" customHeight="1" x14ac:dyDescent="0.2">
      <c r="A132" s="20">
        <f t="shared" si="4"/>
        <v>0.14315692216092007</v>
      </c>
      <c r="B132" s="20">
        <v>0.14315692216092007</v>
      </c>
      <c r="C132" s="20">
        <v>0.35794547907635343</v>
      </c>
      <c r="D132" s="20">
        <v>0.71606708540899777</v>
      </c>
      <c r="E132" s="20">
        <v>1.1460425508074354</v>
      </c>
      <c r="F132" s="20">
        <v>1.4328303004724547</v>
      </c>
      <c r="G132" s="20">
        <v>2.8683782153911963</v>
      </c>
      <c r="H132" s="20">
        <v>4.3065103318707294</v>
      </c>
      <c r="I132" s="20">
        <v>5.026503957196387</v>
      </c>
      <c r="J132" s="20">
        <v>5.747093912241005</v>
      </c>
      <c r="K132" s="20">
        <v>7.189996951599368</v>
      </c>
      <c r="L132" s="20">
        <v>11.531314861045544</v>
      </c>
      <c r="M132" s="20">
        <v>14.434741561959859</v>
      </c>
      <c r="N132" s="20">
        <v>43.649979202508263</v>
      </c>
      <c r="O132" s="20">
        <v>72.583038414222642</v>
      </c>
      <c r="P132" s="20">
        <v>113.93639710477001</v>
      </c>
      <c r="Q132" s="20">
        <v>139.46904603058078</v>
      </c>
      <c r="R132" s="20">
        <v>163.10472952905417</v>
      </c>
      <c r="S132" s="20">
        <v>184.80982483872401</v>
      </c>
      <c r="T132" s="20">
        <v>204.66842178867205</v>
      </c>
      <c r="U132" s="20">
        <v>213.95047931490342</v>
      </c>
      <c r="V132" s="20">
        <v>222.8293876407501</v>
      </c>
      <c r="W132" s="20">
        <v>231.32730471456782</v>
      </c>
      <c r="X132" s="20">
        <v>239.46628754260436</v>
      </c>
      <c r="Y132" s="20">
        <v>247.2678364083896</v>
      </c>
      <c r="Z132" s="20">
        <v>254.75259113217112</v>
      </c>
      <c r="AA132" s="20">
        <v>261.94014428778024</v>
      </c>
      <c r="AB132" s="20">
        <v>268.84894135896013</v>
      </c>
      <c r="AC132" s="20">
        <v>275.49624342952586</v>
      </c>
      <c r="AD132" s="20">
        <v>281.8981333080186</v>
      </c>
      <c r="AE132" s="20">
        <v>288.06955058854896</v>
      </c>
      <c r="AF132" s="20">
        <v>294.02434492451334</v>
      </c>
      <c r="AG132" s="20">
        <f t="shared" si="5"/>
        <v>294.02434492451334</v>
      </c>
      <c r="AH132" s="13">
        <v>1318</v>
      </c>
    </row>
    <row r="133" spans="1:35" ht="9.9499999999999993" customHeight="1" x14ac:dyDescent="0.2">
      <c r="A133" s="20">
        <f t="shared" si="4"/>
        <v>0.14229255391054077</v>
      </c>
      <c r="B133" s="20">
        <v>0.14229255391054077</v>
      </c>
      <c r="C133" s="20">
        <v>0.35578170352731259</v>
      </c>
      <c r="D133" s="20">
        <v>0.71173003769197807</v>
      </c>
      <c r="E133" s="20">
        <v>1.1390850935066363</v>
      </c>
      <c r="F133" s="20">
        <v>1.4241183681119307</v>
      </c>
      <c r="G133" s="20">
        <v>2.8508042163684628</v>
      </c>
      <c r="H133" s="20">
        <v>4.2799266059882468</v>
      </c>
      <c r="I133" s="20">
        <v>4.995360788540208</v>
      </c>
      <c r="J133" s="20">
        <v>5.7113553464403042</v>
      </c>
      <c r="K133" s="20">
        <v>7.1449610492730029</v>
      </c>
      <c r="L133" s="20">
        <v>11.457559097358796</v>
      </c>
      <c r="M133" s="20">
        <v>14.341177500679215</v>
      </c>
      <c r="N133" s="20">
        <v>43.334874252605367</v>
      </c>
      <c r="O133" s="20">
        <v>72.022167964336631</v>
      </c>
      <c r="P133" s="20">
        <v>113.01545916649471</v>
      </c>
      <c r="Q133" s="20">
        <v>138.33981970842828</v>
      </c>
      <c r="R133" s="20">
        <v>161.80238732030008</v>
      </c>
      <c r="S133" s="20">
        <v>183.3697404407838</v>
      </c>
      <c r="T133" s="20">
        <v>203.1220051698414</v>
      </c>
      <c r="U133" s="20">
        <v>212.36096238514062</v>
      </c>
      <c r="V133" s="20">
        <v>221.20253775053797</v>
      </c>
      <c r="W133" s="20">
        <v>229.66822275060466</v>
      </c>
      <c r="X133" s="20">
        <v>237.77946102646101</v>
      </c>
      <c r="Y133" s="20">
        <v>245.55719940602796</v>
      </c>
      <c r="Z133" s="20">
        <v>253.02158537697755</v>
      </c>
      <c r="AA133" s="20">
        <v>260.19177799354907</v>
      </c>
      <c r="AB133" s="20">
        <v>267.08584371375468</v>
      </c>
      <c r="AC133" s="20">
        <v>273.72071380701021</v>
      </c>
      <c r="AD133" s="20">
        <v>280.11218491622026</v>
      </c>
      <c r="AE133" s="20">
        <v>286.2749486954616</v>
      </c>
      <c r="AF133" s="20">
        <v>292.22264003617272</v>
      </c>
      <c r="AG133" s="20">
        <f t="shared" si="5"/>
        <v>292.22264003617272</v>
      </c>
      <c r="AH133" s="14">
        <v>1326</v>
      </c>
    </row>
    <row r="134" spans="1:35" ht="9.9499999999999993" customHeight="1" x14ac:dyDescent="0.2">
      <c r="A134" s="20">
        <f t="shared" si="4"/>
        <v>0.14143856927783668</v>
      </c>
      <c r="B134" s="20">
        <v>0.14143856927783668</v>
      </c>
      <c r="C134" s="20">
        <v>0.35364398274228881</v>
      </c>
      <c r="D134" s="20">
        <v>0.7074454185627792</v>
      </c>
      <c r="E134" s="20">
        <v>1.1322121345017753</v>
      </c>
      <c r="F134" s="20">
        <v>1.4155125690359793</v>
      </c>
      <c r="G134" s="20">
        <v>2.8334475860259833</v>
      </c>
      <c r="H134" s="20">
        <v>4.2536765780056784</v>
      </c>
      <c r="I134" s="20">
        <v>4.9646113884105496</v>
      </c>
      <c r="J134" s="20">
        <v>5.6760718875359526</v>
      </c>
      <c r="K134" s="20">
        <v>7.1005067229011711</v>
      </c>
      <c r="L134" s="20">
        <v>11.38479439714339</v>
      </c>
      <c r="M134" s="20">
        <v>14.248902187893497</v>
      </c>
      <c r="N134" s="20">
        <v>43.024997540850009</v>
      </c>
      <c r="O134" s="20">
        <v>71.471628337115874</v>
      </c>
      <c r="P134" s="20">
        <v>112.11251476332244</v>
      </c>
      <c r="Q134" s="20">
        <v>137.23258547276851</v>
      </c>
      <c r="R134" s="20">
        <v>160.52480765218871</v>
      </c>
      <c r="S134" s="20">
        <v>181.95606351856622</v>
      </c>
      <c r="T134" s="20">
        <v>201.6027716227475</v>
      </c>
      <c r="U134" s="20">
        <v>210.79877620750483</v>
      </c>
      <c r="V134" s="20">
        <v>219.60304660639301</v>
      </c>
      <c r="W134" s="20">
        <v>228.03643307370376</v>
      </c>
      <c r="X134" s="20">
        <v>236.11978697031518</v>
      </c>
      <c r="Y134" s="20">
        <v>243.87351892304275</v>
      </c>
      <c r="Z134" s="20">
        <v>251.31729798030398</v>
      </c>
      <c r="AA134" s="20">
        <v>258.46986072329651</v>
      </c>
      <c r="AB134" s="20">
        <v>265.34890328104785</v>
      </c>
      <c r="AC134" s="20">
        <v>271.9710339025745</v>
      </c>
      <c r="AD134" s="20">
        <v>278.35176834055926</v>
      </c>
      <c r="AE134" s="20">
        <v>284.50555438572826</v>
      </c>
      <c r="AF134" s="20">
        <v>290.44581530581405</v>
      </c>
      <c r="AG134" s="20">
        <f t="shared" si="5"/>
        <v>290.44581530581405</v>
      </c>
      <c r="AH134" s="13">
        <v>1334</v>
      </c>
    </row>
    <row r="135" spans="1:35" ht="9.9499999999999993" customHeight="1" x14ac:dyDescent="0.2">
      <c r="A135" s="20">
        <f t="shared" si="4"/>
        <v>0.14059478210833323</v>
      </c>
      <c r="B135" s="20">
        <v>0.14059478210833323</v>
      </c>
      <c r="C135" s="20">
        <v>0.35153184790607384</v>
      </c>
      <c r="D135" s="20">
        <v>0.70321227893074789</v>
      </c>
      <c r="E135" s="20">
        <v>1.1254221331657022</v>
      </c>
      <c r="F135" s="20">
        <v>1.4070109590004158</v>
      </c>
      <c r="G135" s="20">
        <v>2.8163042499130211</v>
      </c>
      <c r="H135" s="20">
        <v>4.2277538540889417</v>
      </c>
      <c r="I135" s="20">
        <v>4.9342481314162789</v>
      </c>
      <c r="J135" s="20">
        <v>5.6412346302192038</v>
      </c>
      <c r="K135" s="20">
        <v>7.0566223610257586</v>
      </c>
      <c r="L135" s="20">
        <v>11.312999841487052</v>
      </c>
      <c r="M135" s="20">
        <v>14.157887493723393</v>
      </c>
      <c r="N135" s="20">
        <v>42.720205684756166</v>
      </c>
      <c r="O135" s="20">
        <v>70.931103374275835</v>
      </c>
      <c r="P135" s="20">
        <v>111.22698795058294</v>
      </c>
      <c r="Q135" s="20">
        <v>136.1466520408157</v>
      </c>
      <c r="R135" s="20">
        <v>159.2712429828232</v>
      </c>
      <c r="S135" s="20">
        <v>180.56803785466224</v>
      </c>
      <c r="T135" s="20">
        <v>200.1099865193145</v>
      </c>
      <c r="U135" s="20">
        <v>209.26320347785079</v>
      </c>
      <c r="V135" s="20">
        <v>218.03021663570564</v>
      </c>
      <c r="W135" s="20">
        <v>226.43125919468395</v>
      </c>
      <c r="X135" s="20">
        <v>234.48661054148192</v>
      </c>
      <c r="Y135" s="20">
        <v>242.21616180381898</v>
      </c>
      <c r="Z135" s="20">
        <v>249.63911710840102</v>
      </c>
      <c r="AA135" s="20">
        <v>256.7738013670708</v>
      </c>
      <c r="AB135" s="20">
        <v>263.6375489305089</v>
      </c>
      <c r="AC135" s="20">
        <v>270.24665174351003</v>
      </c>
      <c r="AD135" s="20">
        <v>276.61634991281989</v>
      </c>
      <c r="AE135" s="20">
        <v>282.76085144215705</v>
      </c>
      <c r="AF135" s="20">
        <v>288.6933711328615</v>
      </c>
      <c r="AG135" s="20">
        <f t="shared" si="5"/>
        <v>288.6933711328615</v>
      </c>
      <c r="AH135" s="14">
        <v>1342</v>
      </c>
    </row>
    <row r="136" spans="1:35" ht="9.9499999999999993" customHeight="1" x14ac:dyDescent="0.2">
      <c r="A136" s="20">
        <f t="shared" si="4"/>
        <v>0.13976101067525029</v>
      </c>
      <c r="B136" s="20">
        <v>0.13976101067525029</v>
      </c>
      <c r="C136" s="20">
        <v>0.349444841411161</v>
      </c>
      <c r="D136" s="20">
        <v>0.69902969258501846</v>
      </c>
      <c r="E136" s="20">
        <v>1.1187135863779492</v>
      </c>
      <c r="F136" s="20">
        <v>1.3986116413991942</v>
      </c>
      <c r="G136" s="20">
        <v>2.7993702365431519</v>
      </c>
      <c r="H136" s="20">
        <v>4.2021522066804122</v>
      </c>
      <c r="I136" s="20">
        <v>4.9042635932009491</v>
      </c>
      <c r="J136" s="20">
        <v>5.6068349070894072</v>
      </c>
      <c r="K136" s="20">
        <v>7.013296670333137</v>
      </c>
      <c r="L136" s="20">
        <v>11.242155124644908</v>
      </c>
      <c r="M136" s="20">
        <v>14.068106145768418</v>
      </c>
      <c r="N136" s="20">
        <v>42.420360878691483</v>
      </c>
      <c r="O136" s="20">
        <v>70.400290545823395</v>
      </c>
      <c r="P136" s="20">
        <v>110.35832826835541</v>
      </c>
      <c r="Q136" s="20">
        <v>135.0813576937872</v>
      </c>
      <c r="R136" s="20">
        <v>158.04097588534944</v>
      </c>
      <c r="S136" s="20">
        <v>179.20493547719155</v>
      </c>
      <c r="T136" s="20">
        <v>198.64294048312667</v>
      </c>
      <c r="U136" s="20">
        <v>207.75355053061634</v>
      </c>
      <c r="V136" s="20">
        <v>216.48337231652866</v>
      </c>
      <c r="W136" s="20">
        <v>224.85204515689568</v>
      </c>
      <c r="X136" s="20">
        <v>232.87929601685386</v>
      </c>
      <c r="Y136" s="20">
        <v>240.58451268604188</v>
      </c>
      <c r="Z136" s="20">
        <v>247.98644751336653</v>
      </c>
      <c r="AA136" s="20">
        <v>255.10302429845308</v>
      </c>
      <c r="AB136" s="20">
        <v>261.95122401119585</v>
      </c>
      <c r="AC136" s="20">
        <v>268.54702892203295</v>
      </c>
      <c r="AD136" s="20">
        <v>274.90540869604217</v>
      </c>
      <c r="AE136" s="20">
        <v>281.04033561734747</v>
      </c>
      <c r="AF136" s="20">
        <v>286.96481918934319</v>
      </c>
      <c r="AG136" s="20">
        <f t="shared" si="5"/>
        <v>286.96481918934319</v>
      </c>
      <c r="AH136" s="13">
        <v>1350</v>
      </c>
    </row>
    <row r="137" spans="1:35" ht="9.9499999999999993" customHeight="1" x14ac:dyDescent="0.2">
      <c r="A137" s="20">
        <f t="shared" si="4"/>
        <v>0.13893707754849091</v>
      </c>
      <c r="B137" s="20">
        <v>0.13893707754849091</v>
      </c>
      <c r="C137" s="20">
        <v>0.34738251652389218</v>
      </c>
      <c r="D137" s="20">
        <v>0.69489675550548979</v>
      </c>
      <c r="E137" s="20">
        <v>1.1120850273808023</v>
      </c>
      <c r="F137" s="20">
        <v>1.3903127657994483</v>
      </c>
      <c r="G137" s="20">
        <v>2.7826416740863271</v>
      </c>
      <c r="H137" s="20">
        <v>4.1768655689953391</v>
      </c>
      <c r="I137" s="20">
        <v>4.8746505436795005</v>
      </c>
      <c r="J137" s="20">
        <v>5.5728642805246471</v>
      </c>
      <c r="K137" s="20">
        <v>6.9705186644606751</v>
      </c>
      <c r="L137" s="20">
        <v>11.172240530779948</v>
      </c>
      <c r="M137" s="20">
        <v>13.979531695179892</v>
      </c>
      <c r="N137" s="20">
        <v>42.125330612127911</v>
      </c>
      <c r="O137" s="20">
        <v>69.878900194113925</v>
      </c>
      <c r="P137" s="20">
        <v>109.5060093164315</v>
      </c>
      <c r="Q137" s="20">
        <v>134.03606870796855</v>
      </c>
      <c r="R137" s="20">
        <v>156.83331758386754</v>
      </c>
      <c r="S137" s="20">
        <v>177.86605543674071</v>
      </c>
      <c r="T137" s="20">
        <v>197.20094843388853</v>
      </c>
      <c r="U137" s="20">
        <v>206.26914650620921</v>
      </c>
      <c r="V137" s="20">
        <v>214.9618594551055</v>
      </c>
      <c r="W137" s="20">
        <v>223.29815491026042</v>
      </c>
      <c r="X137" s="20">
        <v>231.29722624012842</v>
      </c>
      <c r="Y137" s="20">
        <v>238.97797352890314</v>
      </c>
      <c r="Z137" s="20">
        <v>246.35871012161374</v>
      </c>
      <c r="AA137" s="20">
        <v>253.45696901414976</v>
      </c>
      <c r="AB137" s="20">
        <v>260.28938603464042</v>
      </c>
      <c r="AC137" s="20">
        <v>266.87164031556512</v>
      </c>
      <c r="AD137" s="20">
        <v>273.21843623684435</v>
      </c>
      <c r="AE137" s="20">
        <v>279.34351441383853</v>
      </c>
      <c r="AF137" s="20">
        <v>285.25968222440537</v>
      </c>
      <c r="AG137" s="20">
        <f t="shared" si="5"/>
        <v>285.25968222440537</v>
      </c>
      <c r="AH137" s="14">
        <v>1358</v>
      </c>
    </row>
    <row r="138" spans="1:35" ht="9.9499999999999993" customHeight="1" x14ac:dyDescent="0.2">
      <c r="A138" s="20">
        <f t="shared" si="4"/>
        <v>0.13812280946826111</v>
      </c>
      <c r="B138" s="20">
        <v>0.13812280946826111</v>
      </c>
      <c r="C138" s="20">
        <v>0.34534443706250295</v>
      </c>
      <c r="D138" s="20">
        <v>0.69081258519870825</v>
      </c>
      <c r="E138" s="20">
        <v>1.1055350246773707</v>
      </c>
      <c r="F138" s="20">
        <v>1.3821125265308931</v>
      </c>
      <c r="G138" s="20">
        <v>2.7661147872181786</v>
      </c>
      <c r="H138" s="20">
        <v>4.1518880297409009</v>
      </c>
      <c r="I138" s="20">
        <v>4.8454019405536659</v>
      </c>
      <c r="J138" s="20">
        <v>5.5393145348931396</v>
      </c>
      <c r="K138" s="20">
        <v>6.9282776532876822</v>
      </c>
      <c r="L138" s="20">
        <v>11.103236911793294</v>
      </c>
      <c r="M138" s="20">
        <v>13.892138484393477</v>
      </c>
      <c r="N138" s="20">
        <v>41.834987405378783</v>
      </c>
      <c r="O138" s="20">
        <v>69.36665482895026</v>
      </c>
      <c r="P138" s="20">
        <v>108.66952742453734</v>
      </c>
      <c r="Q138" s="20">
        <v>133.01017788294078</v>
      </c>
      <c r="R138" s="20">
        <v>155.64760656859363</v>
      </c>
      <c r="S138" s="20">
        <v>176.550722637371</v>
      </c>
      <c r="T138" s="20">
        <v>195.78334866469262</v>
      </c>
      <c r="U138" s="20">
        <v>204.80934254150097</v>
      </c>
      <c r="V138" s="20">
        <v>213.46504447960413</v>
      </c>
      <c r="W138" s="20">
        <v>221.76897169618172</v>
      </c>
      <c r="X138" s="20">
        <v>229.73980208589865</v>
      </c>
      <c r="Y138" s="20">
        <v>237.3959631452183</v>
      </c>
      <c r="Z138" s="20">
        <v>244.75534162410048</v>
      </c>
      <c r="AA138" s="20">
        <v>251.83508977378631</v>
      </c>
      <c r="AB138" s="20">
        <v>258.65150635699365</v>
      </c>
      <c r="AC138" s="20">
        <v>265.21997380522856</v>
      </c>
      <c r="AD138" s="20">
        <v>271.55493631530823</v>
      </c>
      <c r="AE138" s="20">
        <v>277.66990686129907</v>
      </c>
      <c r="AF138" s="20">
        <v>283.57749386543827</v>
      </c>
      <c r="AG138" s="20">
        <f t="shared" si="5"/>
        <v>283.57749386543827</v>
      </c>
      <c r="AH138" s="13">
        <v>1366</v>
      </c>
    </row>
    <row r="139" spans="1:35" ht="9.9499999999999993" customHeight="1" x14ac:dyDescent="0.2">
      <c r="A139" s="20">
        <f t="shared" si="4"/>
        <v>0.13731803722313052</v>
      </c>
      <c r="B139" s="20">
        <v>0.13731803722313052</v>
      </c>
      <c r="C139" s="20">
        <v>0.34333017708657926</v>
      </c>
      <c r="D139" s="20">
        <v>0.68677632005760447</v>
      </c>
      <c r="E139" s="20">
        <v>1.0990621809698491</v>
      </c>
      <c r="F139" s="20">
        <v>1.3740091613271892</v>
      </c>
      <c r="G139" s="20">
        <v>2.7497858940758397</v>
      </c>
      <c r="H139" s="20">
        <v>4.1272138280471431</v>
      </c>
      <c r="I139" s="20">
        <v>4.8165109230923182</v>
      </c>
      <c r="J139" s="20">
        <v>5.5061776690883599</v>
      </c>
      <c r="K139" s="20">
        <v>6.88656323268573</v>
      </c>
      <c r="L139" s="20">
        <v>11.035125666183236</v>
      </c>
      <c r="M139" s="20">
        <v>13.805901616424345</v>
      </c>
      <c r="N139" s="20">
        <v>41.549208561537313</v>
      </c>
      <c r="O139" s="20">
        <v>68.863288469680256</v>
      </c>
      <c r="P139" s="20">
        <v>107.84840041048965</v>
      </c>
      <c r="Q139" s="20">
        <v>132.00310316029206</v>
      </c>
      <c r="R139" s="20">
        <v>154.48320728593103</v>
      </c>
      <c r="S139" s="20">
        <v>175.25828671988381</v>
      </c>
      <c r="T139" s="20">
        <v>194.38950194893303</v>
      </c>
      <c r="U139" s="20">
        <v>203.37351098387231</v>
      </c>
      <c r="V139" s="20">
        <v>211.99231375080899</v>
      </c>
      <c r="W139" s="20">
        <v>220.26389744425686</v>
      </c>
      <c r="X139" s="20">
        <v>228.20644193160632</v>
      </c>
      <c r="Y139" s="20">
        <v>235.8379167384559</v>
      </c>
      <c r="Z139" s="20">
        <v>243.17579406928391</v>
      </c>
      <c r="AA139" s="20">
        <v>250.23685524081785</v>
      </c>
      <c r="AB139" s="20">
        <v>257.03706986109592</v>
      </c>
      <c r="AC139" s="20">
        <v>263.59152999336754</v>
      </c>
      <c r="AD139" s="20">
        <v>269.91442469319804</v>
      </c>
      <c r="AE139" s="20">
        <v>276.01904329150352</v>
      </c>
      <c r="AF139" s="20">
        <v>281.91779841653471</v>
      </c>
      <c r="AG139" s="20">
        <f t="shared" si="5"/>
        <v>281.91779841653471</v>
      </c>
      <c r="AH139" s="14">
        <v>1374</v>
      </c>
    </row>
    <row r="140" spans="1:35" ht="9.9499999999999993" customHeight="1" x14ac:dyDescent="0.2">
      <c r="A140" s="20">
        <f t="shared" si="4"/>
        <v>0.13652259553235083</v>
      </c>
      <c r="B140" s="20">
        <v>0.13652259553235083</v>
      </c>
      <c r="C140" s="20">
        <v>0.34133932059744759</v>
      </c>
      <c r="D140" s="20">
        <v>0.68278711874408105</v>
      </c>
      <c r="E140" s="20">
        <v>1.0926651321362686</v>
      </c>
      <c r="F140" s="20">
        <v>1.3660009500170389</v>
      </c>
      <c r="G140" s="20">
        <v>2.733651403333496</v>
      </c>
      <c r="H140" s="20">
        <v>4.1028373485959966</v>
      </c>
      <c r="I140" s="20">
        <v>4.7879708061639166</v>
      </c>
      <c r="J140" s="20">
        <v>5.4734458893719271</v>
      </c>
      <c r="K140" s="20">
        <v>6.8453652747049718</v>
      </c>
      <c r="L140" s="20">
        <v>10.967888718876168</v>
      </c>
      <c r="M140" s="20">
        <v>13.720796925634673</v>
      </c>
      <c r="N140" s="20">
        <v>41.26787593344369</v>
      </c>
      <c r="O140" s="20">
        <v>68.368546030618646</v>
      </c>
      <c r="P140" s="20">
        <v>107.04216641959097</v>
      </c>
      <c r="Q140" s="20">
        <v>131.0142863266166</v>
      </c>
      <c r="R140" s="20">
        <v>153.33950889931066</v>
      </c>
      <c r="S140" s="20">
        <v>173.98812099547857</v>
      </c>
      <c r="T140" s="20">
        <v>193.0187906806824</v>
      </c>
      <c r="U140" s="20">
        <v>201.96104462906573</v>
      </c>
      <c r="V140" s="20">
        <v>210.54307289036009</v>
      </c>
      <c r="W140" s="20">
        <v>218.78235218155999</v>
      </c>
      <c r="X140" s="20">
        <v>226.69658113821382</v>
      </c>
      <c r="Y140" s="20">
        <v>234.30328544555465</v>
      </c>
      <c r="Z140" s="20">
        <v>241.61953445966554</v>
      </c>
      <c r="AA140" s="20">
        <v>248.66174812538182</v>
      </c>
      <c r="AB140" s="20">
        <v>255.44557463925452</v>
      </c>
      <c r="AC140" s="20">
        <v>261.98582192083876</v>
      </c>
      <c r="AD140" s="20">
        <v>268.2964288612248</v>
      </c>
      <c r="AE140" s="20">
        <v>274.39046511177384</v>
      </c>
      <c r="AF140" s="20">
        <v>280.28015065494071</v>
      </c>
      <c r="AG140" s="20">
        <f t="shared" si="5"/>
        <v>280.28015065494071</v>
      </c>
      <c r="AH140" s="13">
        <v>1382</v>
      </c>
    </row>
    <row r="141" spans="1:35" ht="9.9499999999999993" customHeight="1" x14ac:dyDescent="0.2">
      <c r="A141" s="20">
        <f t="shared" si="4"/>
        <v>0.13573632293226229</v>
      </c>
      <c r="B141" s="20">
        <v>0.13573632293226229</v>
      </c>
      <c r="C141" s="20">
        <v>0.3393714612490572</v>
      </c>
      <c r="D141" s="20">
        <v>0.67884415959350142</v>
      </c>
      <c r="E141" s="20">
        <v>1.0863425462440939</v>
      </c>
      <c r="F141" s="20">
        <v>1.3580862132628635</v>
      </c>
      <c r="G141" s="20">
        <v>2.7177078113890007</v>
      </c>
      <c r="H141" s="20">
        <v>4.0787531169624689</v>
      </c>
      <c r="I141" s="20">
        <v>4.7597750745043044</v>
      </c>
      <c r="J141" s="20">
        <v>5.441111602509122</v>
      </c>
      <c r="K141" s="20">
        <v>6.8046739181742302</v>
      </c>
      <c r="L141" s="20">
        <v>10.90150850197592</v>
      </c>
      <c r="M141" s="20">
        <v>13.636800949889315</v>
      </c>
      <c r="N141" s="20">
        <v>40.99087570460285</v>
      </c>
      <c r="O141" s="20">
        <v>67.882182746477739</v>
      </c>
      <c r="P141" s="20">
        <v>106.25038283913942</v>
      </c>
      <c r="Q141" s="20">
        <v>130.04319179505131</v>
      </c>
      <c r="R141" s="20">
        <v>152.21592411684605</v>
      </c>
      <c r="S141" s="20">
        <v>172.73962142790788</v>
      </c>
      <c r="T141" s="20">
        <v>191.670618045146</v>
      </c>
      <c r="U141" s="20">
        <v>200.57135598295031</v>
      </c>
      <c r="V141" s="20">
        <v>209.11674612696402</v>
      </c>
      <c r="W141" s="20">
        <v>217.32377345512205</v>
      </c>
      <c r="X141" s="20">
        <v>225.20967154032351</v>
      </c>
      <c r="Y141" s="20">
        <v>232.79153588629856</v>
      </c>
      <c r="Z141" s="20">
        <v>240.08604435268887</v>
      </c>
      <c r="AA141" s="20">
        <v>247.10926482983581</v>
      </c>
      <c r="AB141" s="20">
        <v>253.87653167743682</v>
      </c>
      <c r="AC141" s="20">
        <v>260.4023747847483</v>
      </c>
      <c r="AD141" s="20">
        <v>266.70048778599829</v>
      </c>
      <c r="AE141" s="20">
        <v>272.78372457750669</v>
      </c>
      <c r="AF141" s="20">
        <v>278.66411562609915</v>
      </c>
      <c r="AG141" s="20">
        <f t="shared" si="5"/>
        <v>278.66411562609915</v>
      </c>
      <c r="AH141" s="14">
        <v>1390</v>
      </c>
    </row>
    <row r="142" spans="1:35" ht="9.9499999999999993" customHeight="1" x14ac:dyDescent="0.2">
      <c r="A142" s="20">
        <f t="shared" si="4"/>
        <v>0.1349590616666205</v>
      </c>
      <c r="B142" s="20">
        <v>0.1349590616666205</v>
      </c>
      <c r="C142" s="20">
        <v>0.33742620206892049</v>
      </c>
      <c r="D142" s="20">
        <v>0.6749466400401708</v>
      </c>
      <c r="E142" s="20">
        <v>1.0800931225990988</v>
      </c>
      <c r="F142" s="20">
        <v>1.3502633113450495</v>
      </c>
      <c r="G142" s="20">
        <v>2.701951699656687</v>
      </c>
      <c r="H142" s="20">
        <v>4.0549557950969968</v>
      </c>
      <c r="I142" s="20">
        <v>4.7319173772375844</v>
      </c>
      <c r="J142" s="20">
        <v>5.4091674091783091</v>
      </c>
      <c r="K142" s="20">
        <v>6.7644795596903347</v>
      </c>
      <c r="L142" s="20">
        <v>10.835967936381779</v>
      </c>
      <c r="M142" s="20">
        <v>13.553890904020923</v>
      </c>
      <c r="N142" s="20">
        <v>40.71809818306469</v>
      </c>
      <c r="O142" s="20">
        <v>67.40396363452804</v>
      </c>
      <c r="P142" s="20">
        <v>105.47262528244563</v>
      </c>
      <c r="Q142" s="20">
        <v>129.08930546002642</v>
      </c>
      <c r="R142" s="20">
        <v>151.11188808205208</v>
      </c>
      <c r="S142" s="20">
        <v>171.51220566222929</v>
      </c>
      <c r="T142" s="20">
        <v>190.34440721988861</v>
      </c>
      <c r="U142" s="20">
        <v>199.2038765471724</v>
      </c>
      <c r="V142" s="20">
        <v>207.71277566087713</v>
      </c>
      <c r="W142" s="20">
        <v>215.88761576810808</v>
      </c>
      <c r="X142" s="20">
        <v>223.74518094635746</v>
      </c>
      <c r="Y142" s="20">
        <v>231.30214971991316</v>
      </c>
      <c r="Z142" s="20">
        <v>238.57481946666763</v>
      </c>
      <c r="AA142" s="20">
        <v>245.57891509764315</v>
      </c>
      <c r="AB142" s="20">
        <v>252.32946454152324</v>
      </c>
      <c r="AC142" s="20">
        <v>258.84072565724728</v>
      </c>
      <c r="AD142" s="20">
        <v>265.12615165725589</v>
      </c>
      <c r="AE142" s="20">
        <v>271.19838456435247</v>
      </c>
      <c r="AF142" s="20">
        <v>277.06926843783401</v>
      </c>
      <c r="AG142" s="20">
        <f t="shared" si="5"/>
        <v>277.06926843783401</v>
      </c>
      <c r="AH142" s="13">
        <v>1398</v>
      </c>
    </row>
    <row r="143" spans="1:35" ht="9.9499999999999993" customHeight="1" x14ac:dyDescent="0.2">
      <c r="A143" s="20">
        <f t="shared" si="4"/>
        <v>0.13419065758068813</v>
      </c>
      <c r="B143" s="20">
        <v>0.13419065758068813</v>
      </c>
      <c r="C143" s="20">
        <v>0.3355031551887096</v>
      </c>
      <c r="D143" s="20">
        <v>0.67109377606294374</v>
      </c>
      <c r="E143" s="20">
        <v>1.0739155908280738</v>
      </c>
      <c r="F143" s="20">
        <v>1.342530642989813</v>
      </c>
      <c r="G143" s="20">
        <v>2.6863797319616078</v>
      </c>
      <c r="H143" s="20">
        <v>4.0314401770272257</v>
      </c>
      <c r="I143" s="20">
        <v>4.7043915225621662</v>
      </c>
      <c r="J143" s="20">
        <v>5.3776060976693048</v>
      </c>
      <c r="K143" s="20">
        <v>6.7247728450025388</v>
      </c>
      <c r="L143" s="20">
        <v>10.771250414228199</v>
      </c>
      <c r="M143" s="20">
        <v>13.472044654531008</v>
      </c>
      <c r="N143" s="20">
        <v>40.449437607360281</v>
      </c>
      <c r="O143" s="20">
        <v>66.933662991381141</v>
      </c>
      <c r="P143" s="20">
        <v>104.70848663721581</v>
      </c>
      <c r="Q143" s="20">
        <v>128.15213362028624</v>
      </c>
      <c r="R143" s="20">
        <v>150.02685732405607</v>
      </c>
      <c r="S143" s="20">
        <v>170.30531209825182</v>
      </c>
      <c r="T143" s="20">
        <v>189.03960060604598</v>
      </c>
      <c r="U143" s="20">
        <v>197.85805612855086</v>
      </c>
      <c r="V143" s="20">
        <v>206.33062104682585</v>
      </c>
      <c r="W143" s="20">
        <v>214.47335003006927</v>
      </c>
      <c r="X143" s="20">
        <v>222.30259264930297</v>
      </c>
      <c r="Y143" s="20">
        <v>229.83462320944929</v>
      </c>
      <c r="Z143" s="20">
        <v>237.08536929233452</v>
      </c>
      <c r="AA143" s="20">
        <v>244.07022166619694</v>
      </c>
      <c r="AB143" s="20">
        <v>250.80390906619004</v>
      </c>
      <c r="AC143" s="20">
        <v>257.30042320594146</v>
      </c>
      <c r="AD143" s="20">
        <v>263.57298163590139</v>
      </c>
      <c r="AE143" s="20">
        <v>269.63401834055981</v>
      </c>
      <c r="AF143" s="20">
        <v>275.4951940541747</v>
      </c>
      <c r="AG143" s="20">
        <f t="shared" si="5"/>
        <v>275.4951940541747</v>
      </c>
      <c r="AH143" s="14">
        <v>1406</v>
      </c>
    </row>
    <row r="144" spans="1:35" ht="9.9499999999999993" customHeight="1" x14ac:dyDescent="0.2">
      <c r="A144" s="14">
        <v>9.9999999999999995E-8</v>
      </c>
      <c r="B144" s="14">
        <v>0.01</v>
      </c>
      <c r="C144" s="14">
        <v>2.5000000000000001E-2</v>
      </c>
      <c r="D144" s="14">
        <v>0.05</v>
      </c>
      <c r="E144" s="14">
        <v>0.08</v>
      </c>
      <c r="F144" s="14">
        <v>0.1</v>
      </c>
      <c r="G144" s="14">
        <v>0.2</v>
      </c>
      <c r="H144" s="14">
        <v>0.3</v>
      </c>
      <c r="I144" s="14">
        <v>0.35</v>
      </c>
      <c r="J144" s="14">
        <v>0.4</v>
      </c>
      <c r="K144" s="14">
        <v>0.5</v>
      </c>
      <c r="L144" s="16">
        <v>0.8</v>
      </c>
      <c r="M144" s="16">
        <v>1</v>
      </c>
      <c r="N144" s="16">
        <v>3</v>
      </c>
      <c r="O144" s="16">
        <v>5</v>
      </c>
      <c r="P144" s="16">
        <v>8</v>
      </c>
      <c r="Q144" s="16">
        <v>10</v>
      </c>
      <c r="R144" s="16">
        <v>12</v>
      </c>
      <c r="S144" s="16">
        <v>14</v>
      </c>
      <c r="T144" s="16">
        <v>16</v>
      </c>
      <c r="U144" s="16">
        <v>17</v>
      </c>
      <c r="V144" s="16">
        <v>18</v>
      </c>
      <c r="W144" s="16">
        <v>19</v>
      </c>
      <c r="X144" s="16">
        <v>20</v>
      </c>
      <c r="Y144" s="16">
        <v>21</v>
      </c>
      <c r="Z144" s="16">
        <v>22</v>
      </c>
      <c r="AA144" s="16">
        <v>23</v>
      </c>
      <c r="AB144" s="16">
        <v>24</v>
      </c>
      <c r="AC144" s="16">
        <v>25</v>
      </c>
      <c r="AD144" s="16">
        <v>26</v>
      </c>
      <c r="AE144" s="16">
        <v>27</v>
      </c>
      <c r="AF144" s="16">
        <v>28</v>
      </c>
      <c r="AG144" s="16">
        <v>2800000</v>
      </c>
      <c r="AH144" s="15"/>
      <c r="AI144" s="16" t="s">
        <v>24</v>
      </c>
    </row>
    <row r="145" spans="1:35" ht="9.9499999999999993" customHeight="1" x14ac:dyDescent="0.2"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3" t="s">
        <v>25</v>
      </c>
      <c r="AI145" s="15"/>
    </row>
    <row r="147" spans="1:35" ht="9.9499999999999993" customHeight="1" x14ac:dyDescent="0.2">
      <c r="A147" s="14">
        <v>1</v>
      </c>
      <c r="B147" s="14">
        <v>2</v>
      </c>
      <c r="C147" s="14">
        <v>3</v>
      </c>
      <c r="D147" s="14">
        <v>4</v>
      </c>
      <c r="E147" s="14">
        <v>5</v>
      </c>
      <c r="F147" s="14">
        <v>6</v>
      </c>
      <c r="G147" s="14">
        <v>7</v>
      </c>
      <c r="H147" s="14">
        <v>8</v>
      </c>
      <c r="I147" s="14">
        <v>9</v>
      </c>
      <c r="J147" s="14">
        <v>10</v>
      </c>
      <c r="K147" s="14">
        <v>11</v>
      </c>
      <c r="L147" s="14">
        <v>12</v>
      </c>
      <c r="M147" s="14">
        <v>13</v>
      </c>
      <c r="N147" s="14">
        <v>14</v>
      </c>
      <c r="O147" s="14">
        <v>15</v>
      </c>
      <c r="P147" s="14">
        <v>16</v>
      </c>
      <c r="Q147" s="14">
        <v>17</v>
      </c>
      <c r="R147" s="14">
        <v>18</v>
      </c>
      <c r="S147" s="14">
        <v>19</v>
      </c>
      <c r="T147" s="14">
        <v>20</v>
      </c>
      <c r="U147" s="14">
        <v>21</v>
      </c>
      <c r="V147" s="14">
        <v>22</v>
      </c>
      <c r="W147" s="14">
        <v>23</v>
      </c>
      <c r="X147" s="14">
        <v>24</v>
      </c>
      <c r="Y147" s="14">
        <v>25</v>
      </c>
      <c r="Z147" s="14">
        <v>26</v>
      </c>
      <c r="AA147" s="14">
        <v>27</v>
      </c>
      <c r="AB147" s="14">
        <v>28</v>
      </c>
      <c r="AC147" s="14">
        <v>29</v>
      </c>
      <c r="AD147" s="14">
        <v>30</v>
      </c>
      <c r="AE147" s="14">
        <v>31</v>
      </c>
      <c r="AF147" s="14">
        <v>32</v>
      </c>
      <c r="AG147" s="14">
        <v>33</v>
      </c>
      <c r="AH147" s="15"/>
      <c r="AI147" s="15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2E4BD-D24A-4A98-9AE4-DB0A69FF240E}">
  <dimension ref="A1:AK233"/>
  <sheetViews>
    <sheetView topLeftCell="A205" zoomScale="130" zoomScaleNormal="130" workbookViewId="0">
      <selection activeCell="I24" sqref="I24"/>
    </sheetView>
  </sheetViews>
  <sheetFormatPr defaultColWidth="9.140625" defaultRowHeight="11.25" x14ac:dyDescent="0.2"/>
  <cols>
    <col min="1" max="1" width="5.42578125" style="14" customWidth="1"/>
    <col min="2" max="2" width="4.85546875" style="14" bestFit="1" customWidth="1"/>
    <col min="3" max="3" width="5.28515625" style="14" bestFit="1" customWidth="1"/>
    <col min="4" max="34" width="4.85546875" style="14" bestFit="1" customWidth="1"/>
    <col min="35" max="35" width="4.28515625" style="14" customWidth="1"/>
    <col min="36" max="36" width="4.42578125" style="14" bestFit="1" customWidth="1"/>
    <col min="37" max="37" width="9.140625" style="14"/>
    <col min="38" max="38" width="13.42578125" style="14" customWidth="1"/>
    <col min="39" max="16384" width="9.140625" style="14"/>
  </cols>
  <sheetData>
    <row r="1" spans="1:36" ht="9.9499999999999993" customHeight="1" x14ac:dyDescent="0.2">
      <c r="A1" s="60">
        <f>B1</f>
        <v>1.678086617479295</v>
      </c>
      <c r="B1" s="60">
        <f>[1]!cp("oxygen","TP","SI",$AJ1,B$227)</f>
        <v>1.678086617479295</v>
      </c>
      <c r="C1" s="60">
        <f>[1]!cp("oxygen","TP","SI",$AJ1,C$227)</f>
        <v>1.6780543634329219</v>
      </c>
      <c r="D1" s="60">
        <f>[1]!cp("oxygen","TP","SI",$AJ1,D$227)</f>
        <v>1.6780006384452379</v>
      </c>
      <c r="E1" s="60">
        <f>[1]!cp("oxygen","TP","SI",$AJ1,E$227)</f>
        <v>1.6779362208106916</v>
      </c>
      <c r="F1" s="60">
        <f>[1]!cp("oxygen","TP","SI",$AJ1,F$227)</f>
        <v>1.6778933074180391</v>
      </c>
      <c r="G1" s="60">
        <f>[1]!cp("oxygen","TP","SI",$AJ1,G$227)</f>
        <v>1.677679120086538</v>
      </c>
      <c r="H1" s="60">
        <f>[1]!cp("oxygen","TP","SI",$AJ1,H$227)</f>
        <v>1.6774655636889424</v>
      </c>
      <c r="I1" s="60">
        <f>[1]!cp("oxygen","TP","SI",$AJ1,I$227)</f>
        <v>1.6772526358006719</v>
      </c>
      <c r="J1" s="60">
        <f>[1]!cp("oxygen","TP","SI",$AJ1,J$227)</f>
        <v>1.6771464067933894</v>
      </c>
      <c r="K1" s="60">
        <f>[1]!cp("oxygen","TP","SI",$AJ1,K$227)</f>
        <v>1.6770403340101001</v>
      </c>
      <c r="L1" s="60">
        <f>[1]!cp("oxygen","TP","SI",$AJ1,L$227)</f>
        <v>1.6759881330070612</v>
      </c>
      <c r="M1" s="60">
        <f>[1]!cp("oxygen","TP","SI",$AJ1,M$227)</f>
        <v>1.6739293374401401</v>
      </c>
      <c r="N1" s="60">
        <f>[1]!cp("oxygen","TP","SI",$AJ1,N$227)</f>
        <v>1.6699863784259581</v>
      </c>
      <c r="O1" s="60">
        <f>[1]!cp("oxygen","TP","SI",$AJ1,O$227)</f>
        <v>1.6627422648993797</v>
      </c>
      <c r="P1" s="60">
        <f>[1]!cp("oxygen","TP","SI",$AJ1,P$227)</f>
        <v>1.6594121100400967</v>
      </c>
      <c r="Q1" s="60">
        <f>[1]!cp("oxygen","TP","SI",$AJ1,Q$227)</f>
        <v>1.657814321955261</v>
      </c>
      <c r="R1" s="60">
        <f>[1]!cp("oxygen","TP","SI",$AJ1,R$227)</f>
        <v>1.6562594238895687</v>
      </c>
      <c r="S1" s="60">
        <f>[1]!cp("oxygen","TP","SI",$AJ1,S$227)</f>
        <v>1.6547460212718714</v>
      </c>
      <c r="T1" s="60">
        <f>[1]!cp("oxygen","TP","SI",$AJ1,T$227)</f>
        <v>1.6532727810959831</v>
      </c>
      <c r="U1" s="60">
        <f>[1]!cp("oxygen","TP","SI",$AJ1,U$227)</f>
        <v>1.6518384284700858</v>
      </c>
      <c r="V1" s="60">
        <f>[1]!cp("oxygen","TP","SI",$AJ1,V$227)</f>
        <v>1.6504417434024989</v>
      </c>
      <c r="W1" s="60">
        <f>[1]!cp("oxygen","TP","SI",$AJ1,W$227)</f>
        <v>1.649081557803884</v>
      </c>
      <c r="X1" s="60">
        <f>[1]!cp("oxygen","TP","SI",$AJ1,X$227)</f>
        <v>1.647756752689254</v>
      </c>
      <c r="Y1" s="60">
        <f>[1]!cp("oxygen","TP","SI",$AJ1,Y$227)</f>
        <v>1.6464662555633032</v>
      </c>
      <c r="Z1" s="60">
        <f>[1]!cp("oxygen","TP","SI",$AJ1,Z$227)</f>
        <v>1.6452090379756139</v>
      </c>
      <c r="AA1" s="60">
        <f>[1]!cp("oxygen","TP","SI",$AJ1,AA$227)</f>
        <v>1.64398411323209</v>
      </c>
      <c r="AB1" s="60">
        <f>[1]!cp("oxygen","TP","SI",$AJ1,AB$227)</f>
        <v>1.6427905342510518</v>
      </c>
      <c r="AC1" s="60">
        <f>[1]!cp("oxygen","TP","SI",$AJ1,AC$227)</f>
        <v>1.6416273915531385</v>
      </c>
      <c r="AD1" s="60">
        <f>[1]!cp("oxygen","TP","SI",$AJ1,AD$227)</f>
        <v>1.6404938113750787</v>
      </c>
      <c r="AE1" s="60">
        <f>[1]!cp("oxygen","TP","SI",$AJ1,AE$227)</f>
        <v>1.6393889538984405</v>
      </c>
      <c r="AF1" s="60">
        <f>[1]!cp("oxygen","TP","SI",$AJ1,AF$227)</f>
        <v>1.6383120115848757</v>
      </c>
      <c r="AG1" s="60">
        <f>[1]!cp("oxygen","TP","SI",$AJ1,AG$227)</f>
        <v>1.6372622076103656</v>
      </c>
      <c r="AH1" s="60">
        <f>[1]!cp("oxygen","TP","SI",$AJ1,AH$227)</f>
        <v>1.636238794391667</v>
      </c>
      <c r="AI1" s="60">
        <f>AH1</f>
        <v>1.636238794391667</v>
      </c>
      <c r="AJ1" s="14">
        <v>70</v>
      </c>
    </row>
    <row r="2" spans="1:36" ht="9.9499999999999993" customHeight="1" x14ac:dyDescent="0.2">
      <c r="A2" s="60">
        <f t="shared" ref="A2:A65" si="0">B2</f>
        <v>0.91330389042332827</v>
      </c>
      <c r="B2" s="60">
        <v>0.91330389042332827</v>
      </c>
      <c r="C2" s="60">
        <v>0.95174324214783479</v>
      </c>
      <c r="D2" s="60">
        <v>1.6815119096861366</v>
      </c>
      <c r="E2" s="60">
        <v>1.6814153026041656</v>
      </c>
      <c r="F2" s="60">
        <v>1.6813509552403387</v>
      </c>
      <c r="G2" s="60">
        <v>1.6810299049917898</v>
      </c>
      <c r="H2" s="60">
        <v>1.6807099948427007</v>
      </c>
      <c r="I2" s="60">
        <v>1.6803912191184116</v>
      </c>
      <c r="J2" s="60">
        <v>1.68023225490302</v>
      </c>
      <c r="K2" s="60">
        <v>1.6800735721837201</v>
      </c>
      <c r="L2" s="60">
        <v>1.6785020748412329</v>
      </c>
      <c r="M2" s="60">
        <v>1.675440607736419</v>
      </c>
      <c r="N2" s="60">
        <v>1.6696260021533622</v>
      </c>
      <c r="O2" s="60">
        <v>1.6591041277891048</v>
      </c>
      <c r="P2" s="60">
        <v>1.6543344115520155</v>
      </c>
      <c r="Q2" s="60">
        <v>1.6520604724347536</v>
      </c>
      <c r="R2" s="60">
        <v>1.6498564637562796</v>
      </c>
      <c r="S2" s="60">
        <v>1.6477195829490516</v>
      </c>
      <c r="T2" s="60">
        <v>1.6456471805400921</v>
      </c>
      <c r="U2" s="60">
        <v>1.6436367495113808</v>
      </c>
      <c r="V2" s="60">
        <v>1.6416859155588457</v>
      </c>
      <c r="W2" s="60">
        <v>1.6397924281602547</v>
      </c>
      <c r="X2" s="60">
        <v>1.6379541523734791</v>
      </c>
      <c r="Y2" s="60">
        <v>1.6361690612947184</v>
      </c>
      <c r="Z2" s="60">
        <v>1.6344352291144526</v>
      </c>
      <c r="AA2" s="60">
        <v>1.6327508247152949</v>
      </c>
      <c r="AB2" s="60">
        <v>1.6311141057620957</v>
      </c>
      <c r="AC2" s="60">
        <v>1.6295234132398428</v>
      </c>
      <c r="AD2" s="60">
        <v>1.627977166399398</v>
      </c>
      <c r="AE2" s="60">
        <v>1.6264738580752995</v>
      </c>
      <c r="AF2" s="60">
        <v>1.6250120503433798</v>
      </c>
      <c r="AG2" s="60">
        <v>1.623590370489308</v>
      </c>
      <c r="AH2" s="60">
        <v>1.6222075072617352</v>
      </c>
      <c r="AI2" s="60">
        <f t="shared" ref="AI2:AI65" si="1">AH2</f>
        <v>1.6222075072617352</v>
      </c>
      <c r="AJ2" s="13">
        <v>80</v>
      </c>
    </row>
    <row r="3" spans="1:36" ht="9.9499999999999993" customHeight="1" x14ac:dyDescent="0.2">
      <c r="A3" s="60">
        <f t="shared" si="0"/>
        <v>0.91062789493034646</v>
      </c>
      <c r="B3" s="60">
        <v>0.91062789493034646</v>
      </c>
      <c r="C3" s="60">
        <v>0.91938613969195615</v>
      </c>
      <c r="D3" s="60">
        <v>0.95476388066003048</v>
      </c>
      <c r="E3" s="60">
        <v>1.6878606668406859</v>
      </c>
      <c r="F3" s="60">
        <v>1.687779445541119</v>
      </c>
      <c r="G3" s="60">
        <v>1.6873742949807289</v>
      </c>
      <c r="H3" s="60">
        <v>1.6869707309724438</v>
      </c>
      <c r="I3" s="60">
        <v>1.6865687444698467</v>
      </c>
      <c r="J3" s="60">
        <v>1.6863683399759912</v>
      </c>
      <c r="K3" s="60">
        <v>1.6861683264989</v>
      </c>
      <c r="L3" s="60">
        <v>1.6841894554988555</v>
      </c>
      <c r="M3" s="60">
        <v>1.6803443913313829</v>
      </c>
      <c r="N3" s="60">
        <v>1.6730770821136964</v>
      </c>
      <c r="O3" s="60">
        <v>1.6600394269477716</v>
      </c>
      <c r="P3" s="60">
        <v>1.6541745820930704</v>
      </c>
      <c r="Q3" s="60">
        <v>1.6513879929971149</v>
      </c>
      <c r="R3" s="60">
        <v>1.648692749047912</v>
      </c>
      <c r="S3" s="60">
        <v>1.6460847837538461</v>
      </c>
      <c r="T3" s="60">
        <v>1.6435602778550493</v>
      </c>
      <c r="U3" s="60">
        <v>1.6411156402045626</v>
      </c>
      <c r="V3" s="60">
        <v>1.6387474904416361</v>
      </c>
      <c r="W3" s="60">
        <v>1.6364526432607034</v>
      </c>
      <c r="X3" s="60">
        <v>1.6342280941036447</v>
      </c>
      <c r="Y3" s="60">
        <v>1.6320710061245838</v>
      </c>
      <c r="Z3" s="60">
        <v>1.6299786982945097</v>
      </c>
      <c r="AA3" s="60">
        <v>1.6279486345289471</v>
      </c>
      <c r="AB3" s="60">
        <v>1.6259784137354754</v>
      </c>
      <c r="AC3" s="60">
        <v>1.6240657606898106</v>
      </c>
      <c r="AD3" s="60">
        <v>1.6222085176596337</v>
      </c>
      <c r="AE3" s="60">
        <v>1.620404636704122</v>
      </c>
      <c r="AF3" s="60">
        <v>1.618652172585384</v>
      </c>
      <c r="AG3" s="60">
        <v>1.6169492762347832</v>
      </c>
      <c r="AH3" s="60">
        <v>1.6152941887228416</v>
      </c>
      <c r="AI3" s="60">
        <f t="shared" si="1"/>
        <v>1.6152941887228416</v>
      </c>
      <c r="AJ3" s="13">
        <v>85</v>
      </c>
    </row>
    <row r="4" spans="1:36" ht="9.9499999999999993" customHeight="1" x14ac:dyDescent="0.2">
      <c r="A4" s="60">
        <f t="shared" si="0"/>
        <v>0.91110695070222736</v>
      </c>
      <c r="B4" s="60">
        <v>0.91110695070222736</v>
      </c>
      <c r="C4" s="60">
        <v>0.91492328621033936</v>
      </c>
      <c r="D4" s="60">
        <v>0.92637195980871179</v>
      </c>
      <c r="E4" s="60">
        <v>0.9491714343772456</v>
      </c>
      <c r="F4" s="60">
        <v>1.6988526897145626</v>
      </c>
      <c r="G4" s="60">
        <v>1.698337678131163</v>
      </c>
      <c r="H4" s="60">
        <v>1.6978249216977588</v>
      </c>
      <c r="I4" s="60">
        <v>1.6973144055615128</v>
      </c>
      <c r="J4" s="60">
        <v>1.6970599830009887</v>
      </c>
      <c r="K4" s="60">
        <v>1.6968061150072205</v>
      </c>
      <c r="L4" s="60">
        <v>1.6942975403631699</v>
      </c>
      <c r="M4" s="60">
        <v>1.6894392228184214</v>
      </c>
      <c r="N4" s="60">
        <v>1.6803130064694343</v>
      </c>
      <c r="O4" s="60">
        <v>1.6641155967032275</v>
      </c>
      <c r="P4" s="60">
        <v>1.6568986053026795</v>
      </c>
      <c r="Q4" s="60">
        <v>1.6534838650486114</v>
      </c>
      <c r="R4" s="60">
        <v>1.650189575514545</v>
      </c>
      <c r="S4" s="60">
        <v>1.6470097632023366</v>
      </c>
      <c r="T4" s="60">
        <v>1.6439388597327722</v>
      </c>
      <c r="U4" s="60">
        <v>1.6409716669342163</v>
      </c>
      <c r="V4" s="60">
        <v>1.6381033255692963</v>
      </c>
      <c r="W4" s="60">
        <v>1.6353292872568437</v>
      </c>
      <c r="X4" s="60">
        <v>1.632645289207836</v>
      </c>
      <c r="Y4" s="60">
        <v>1.630047331445752</v>
      </c>
      <c r="Z4" s="60">
        <v>1.6275316562256836</v>
      </c>
      <c r="AA4" s="60">
        <v>1.6250947294042335</v>
      </c>
      <c r="AB4" s="60">
        <v>1.6227332235436791</v>
      </c>
      <c r="AC4" s="60">
        <v>1.620444002561803</v>
      </c>
      <c r="AD4" s="60">
        <v>1.6182241077616724</v>
      </c>
      <c r="AE4" s="60">
        <v>1.6160707450964062</v>
      </c>
      <c r="AF4" s="60">
        <v>1.6139812735408996</v>
      </c>
      <c r="AG4" s="60">
        <v>1.6119531944580212</v>
      </c>
      <c r="AH4" s="60">
        <v>1.609984141859498</v>
      </c>
      <c r="AI4" s="60">
        <f t="shared" si="1"/>
        <v>1.609984141859498</v>
      </c>
      <c r="AJ4" s="13">
        <v>90</v>
      </c>
    </row>
    <row r="5" spans="1:36" ht="9.9499999999999993" customHeight="1" x14ac:dyDescent="0.2">
      <c r="A5" s="60">
        <f t="shared" si="0"/>
        <v>0.9116496346789551</v>
      </c>
      <c r="B5" s="60">
        <v>0.9116496346789551</v>
      </c>
      <c r="C5" s="60">
        <v>0.91492158638263077</v>
      </c>
      <c r="D5" s="60">
        <v>0.92184195753359899</v>
      </c>
      <c r="E5" s="60">
        <v>0.93252865796555695</v>
      </c>
      <c r="F5" s="60">
        <v>0.9412770916702845</v>
      </c>
      <c r="G5" s="60">
        <v>1.7148306223287761</v>
      </c>
      <c r="H5" s="60">
        <v>1.7141734425564159</v>
      </c>
      <c r="I5" s="60">
        <v>1.7135195240851642</v>
      </c>
      <c r="J5" s="60">
        <v>1.7131937800168904</v>
      </c>
      <c r="K5" s="60">
        <v>1.7128688419231313</v>
      </c>
      <c r="L5" s="60">
        <v>1.7096631197314462</v>
      </c>
      <c r="M5" s="60">
        <v>1.7034807673014585</v>
      </c>
      <c r="N5" s="60">
        <v>1.6919578539923854</v>
      </c>
      <c r="O5" s="60">
        <v>1.6717821513491229</v>
      </c>
      <c r="P5" s="60">
        <v>1.6628993705421304</v>
      </c>
      <c r="Q5" s="60">
        <v>1.6587182327324317</v>
      </c>
      <c r="R5" s="60">
        <v>1.6546974657551172</v>
      </c>
      <c r="S5" s="60">
        <v>1.6508281777492717</v>
      </c>
      <c r="T5" s="60">
        <v>1.6471021514730437</v>
      </c>
      <c r="U5" s="60">
        <v>1.64351177938231</v>
      </c>
      <c r="V5" s="60">
        <v>1.6400500062432637</v>
      </c>
      <c r="W5" s="60">
        <v>1.6367102782609542</v>
      </c>
      <c r="X5" s="60">
        <v>1.6334864978620174</v>
      </c>
      <c r="Y5" s="60">
        <v>1.6303729833992351</v>
      </c>
      <c r="Z5" s="60">
        <v>1.62736443315343</v>
      </c>
      <c r="AA5" s="60">
        <v>1.6244558930981188</v>
      </c>
      <c r="AB5" s="60">
        <v>1.6216427279681205</v>
      </c>
      <c r="AC5" s="60">
        <v>1.618920595236925</v>
      </c>
      <c r="AD5" s="60">
        <v>1.6162854216612956</v>
      </c>
      <c r="AE5" s="60">
        <v>1.613733382097486</v>
      </c>
      <c r="AF5" s="60">
        <v>1.6112608803318955</v>
      </c>
      <c r="AG5" s="60">
        <v>1.6088645317025316</v>
      </c>
      <c r="AH5" s="60">
        <v>1.6065411473155613</v>
      </c>
      <c r="AI5" s="60">
        <f t="shared" si="1"/>
        <v>1.6065411473155613</v>
      </c>
      <c r="AJ5" s="13">
        <v>95</v>
      </c>
    </row>
    <row r="6" spans="1:36" ht="9.9499999999999993" customHeight="1" x14ac:dyDescent="0.2">
      <c r="A6" s="60">
        <f t="shared" si="0"/>
        <v>0.91190315709066072</v>
      </c>
      <c r="B6" s="60">
        <v>0.91190315709066072</v>
      </c>
      <c r="C6" s="60">
        <v>0.91520627285096834</v>
      </c>
      <c r="D6" s="60">
        <v>0.92124713078192666</v>
      </c>
      <c r="E6" s="60">
        <v>0.92931712316737258</v>
      </c>
      <c r="F6" s="60">
        <v>0.93520081274876166</v>
      </c>
      <c r="G6" s="60">
        <v>0.97359548100260185</v>
      </c>
      <c r="H6" s="60">
        <v>1.7371324107023538</v>
      </c>
      <c r="I6" s="60">
        <v>1.7362839795161604</v>
      </c>
      <c r="J6" s="60">
        <v>1.735861586163209</v>
      </c>
      <c r="K6" s="60">
        <v>1.7354404003059019</v>
      </c>
      <c r="L6" s="60">
        <v>1.7312937710663103</v>
      </c>
      <c r="M6" s="60">
        <v>1.7233404542663109</v>
      </c>
      <c r="N6" s="60">
        <v>1.7086649458794998</v>
      </c>
      <c r="O6" s="60">
        <v>1.6834062430812347</v>
      </c>
      <c r="P6" s="60">
        <v>1.6724505073776788</v>
      </c>
      <c r="Q6" s="60">
        <v>1.6673266249975838</v>
      </c>
      <c r="R6" s="60">
        <v>1.6624186174994715</v>
      </c>
      <c r="S6" s="60">
        <v>1.6577130474904538</v>
      </c>
      <c r="T6" s="60">
        <v>1.6531976218397004</v>
      </c>
      <c r="U6" s="60">
        <v>1.6488610683875486</v>
      </c>
      <c r="V6" s="60">
        <v>1.6446930286236288</v>
      </c>
      <c r="W6" s="60">
        <v>1.6406839639331294</v>
      </c>
      <c r="X6" s="60">
        <v>1.6368250734194212</v>
      </c>
      <c r="Y6" s="60">
        <v>1.6331082216418362</v>
      </c>
      <c r="Z6" s="60">
        <v>1.6295258748781054</v>
      </c>
      <c r="AA6" s="60">
        <v>1.6260710447415341</v>
      </c>
      <c r="AB6" s="60">
        <v>1.6227372381655472</v>
      </c>
      <c r="AC6" s="60">
        <v>1.6195184129183529</v>
      </c>
      <c r="AD6" s="60">
        <v>1.6164089379356776</v>
      </c>
      <c r="AE6" s="60">
        <v>1.6134035578635864</v>
      </c>
      <c r="AF6" s="60">
        <v>1.6104973612904936</v>
      </c>
      <c r="AG6" s="60">
        <v>1.6076857522209773</v>
      </c>
      <c r="AH6" s="60">
        <v>1.6049644244054508</v>
      </c>
      <c r="AI6" s="60">
        <f t="shared" si="1"/>
        <v>1.6049644244054508</v>
      </c>
      <c r="AJ6" s="13">
        <v>100</v>
      </c>
    </row>
    <row r="7" spans="1:36" ht="9.9499999999999993" customHeight="1" x14ac:dyDescent="0.2">
      <c r="A7" s="60">
        <f t="shared" si="0"/>
        <v>0.91193949156416487</v>
      </c>
      <c r="B7" s="60">
        <v>0.91193949156416487</v>
      </c>
      <c r="C7" s="60">
        <v>0.91520378772633493</v>
      </c>
      <c r="D7" s="60">
        <v>0.92090278533348846</v>
      </c>
      <c r="E7" s="60">
        <v>0.9281372436740104</v>
      </c>
      <c r="F7" s="60">
        <v>0.93319165734048926</v>
      </c>
      <c r="G7" s="60">
        <v>0.96171193954854028</v>
      </c>
      <c r="H7" s="60">
        <v>0.99998710717243766</v>
      </c>
      <c r="I7" s="60">
        <v>1.7672356267461338</v>
      </c>
      <c r="J7" s="60">
        <v>1.7666775319374002</v>
      </c>
      <c r="K7" s="60">
        <v>1.7661213180110058</v>
      </c>
      <c r="L7" s="60">
        <v>1.7606604214804389</v>
      </c>
      <c r="M7" s="60">
        <v>1.7502615870260014</v>
      </c>
      <c r="N7" s="60">
        <v>1.7313229917373441</v>
      </c>
      <c r="O7" s="60">
        <v>1.6994316686421103</v>
      </c>
      <c r="P7" s="60">
        <v>1.6858557325734291</v>
      </c>
      <c r="Q7" s="60">
        <v>1.679556435336329</v>
      </c>
      <c r="R7" s="60">
        <v>1.6735514807536851</v>
      </c>
      <c r="S7" s="60">
        <v>1.6678202040576233</v>
      </c>
      <c r="T7" s="60">
        <v>1.6623439229177233</v>
      </c>
      <c r="U7" s="60">
        <v>1.6571056975573963</v>
      </c>
      <c r="V7" s="60">
        <v>1.6520901256402993</v>
      </c>
      <c r="W7" s="60">
        <v>1.6472831660971432</v>
      </c>
      <c r="X7" s="60">
        <v>1.6426719871661415</v>
      </c>
      <c r="Y7" s="60">
        <v>1.6382448347922569</v>
      </c>
      <c r="Z7" s="60">
        <v>1.6339909182236467</v>
      </c>
      <c r="AA7" s="60">
        <v>1.6299003101990193</v>
      </c>
      <c r="AB7" s="60">
        <v>1.6259638595663704</v>
      </c>
      <c r="AC7" s="60">
        <v>1.6221731145354357</v>
      </c>
      <c r="AD7" s="60">
        <v>1.6185202550605711</v>
      </c>
      <c r="AE7" s="60">
        <v>1.6149980330916427</v>
      </c>
      <c r="AF7" s="60">
        <v>1.611599719628376</v>
      </c>
      <c r="AG7" s="60">
        <v>1.6083190576769302</v>
      </c>
      <c r="AH7" s="60">
        <v>1.605150220343124</v>
      </c>
      <c r="AI7" s="60">
        <f t="shared" si="1"/>
        <v>1.605150220343124</v>
      </c>
      <c r="AJ7" s="13">
        <v>105</v>
      </c>
    </row>
    <row r="8" spans="1:36" ht="9.9499999999999993" customHeight="1" x14ac:dyDescent="0.2">
      <c r="A8" s="60">
        <f t="shared" si="0"/>
        <v>0.91185391104771762</v>
      </c>
      <c r="B8" s="60">
        <v>0.91185391104771762</v>
      </c>
      <c r="C8" s="60">
        <v>0.91496614358026707</v>
      </c>
      <c r="D8" s="60">
        <v>0.92030988967267768</v>
      </c>
      <c r="E8" s="60">
        <v>0.92696940456886157</v>
      </c>
      <c r="F8" s="60">
        <v>0.93155448127628659</v>
      </c>
      <c r="G8" s="60">
        <v>0.95629864509316176</v>
      </c>
      <c r="H8" s="60">
        <v>0.98506270462034684</v>
      </c>
      <c r="I8" s="60">
        <v>1.0211842336686545</v>
      </c>
      <c r="J8" s="60">
        <v>1.0440297856760188</v>
      </c>
      <c r="K8" s="60">
        <v>1.071822542717924</v>
      </c>
      <c r="L8" s="60">
        <v>1.8000937325963031</v>
      </c>
      <c r="M8" s="60">
        <v>1.7861774854302221</v>
      </c>
      <c r="N8" s="60">
        <v>1.7612701927117065</v>
      </c>
      <c r="O8" s="60">
        <v>1.7204967131594795</v>
      </c>
      <c r="P8" s="60">
        <v>1.7035456166099308</v>
      </c>
      <c r="Q8" s="60">
        <v>1.6957566956457832</v>
      </c>
      <c r="R8" s="60">
        <v>1.6883752240064069</v>
      </c>
      <c r="S8" s="60">
        <v>1.6813687699667883</v>
      </c>
      <c r="T8" s="60">
        <v>1.674708421489949</v>
      </c>
      <c r="U8" s="60">
        <v>1.6683683062718426</v>
      </c>
      <c r="V8" s="60">
        <v>1.6623251898709526</v>
      </c>
      <c r="W8" s="60">
        <v>1.6565581372825717</v>
      </c>
      <c r="X8" s="60">
        <v>1.6510482264044215</v>
      </c>
      <c r="Y8" s="60">
        <v>1.6457783042084169</v>
      </c>
      <c r="Z8" s="60">
        <v>1.6407327782647769</v>
      </c>
      <c r="AA8" s="60">
        <v>1.6358974376920765</v>
      </c>
      <c r="AB8" s="60">
        <v>1.6312592987277672</v>
      </c>
      <c r="AC8" s="60">
        <v>1.6268064709995136</v>
      </c>
      <c r="AD8" s="60">
        <v>1.6225280412825716</v>
      </c>
      <c r="AE8" s="60">
        <v>1.6184139720928961</v>
      </c>
      <c r="AF8" s="60">
        <v>1.6144550129197548</v>
      </c>
      <c r="AG8" s="60">
        <v>1.6106426222697665</v>
      </c>
      <c r="AH8" s="60">
        <v>1.6069688989934283</v>
      </c>
      <c r="AI8" s="60">
        <f t="shared" si="1"/>
        <v>1.6069688989934283</v>
      </c>
      <c r="AJ8" s="13">
        <v>110</v>
      </c>
    </row>
    <row r="9" spans="1:36" ht="9.9499999999999993" customHeight="1" x14ac:dyDescent="0.2">
      <c r="A9" s="60">
        <f t="shared" si="0"/>
        <v>0.91171050489217464</v>
      </c>
      <c r="B9" s="60">
        <v>0.91171050489217464</v>
      </c>
      <c r="C9" s="60">
        <v>0.91460404750172342</v>
      </c>
      <c r="D9" s="60">
        <v>0.91953516149102199</v>
      </c>
      <c r="E9" s="60">
        <v>0.92562846392738352</v>
      </c>
      <c r="F9" s="60">
        <v>0.92979623035172587</v>
      </c>
      <c r="G9" s="60">
        <v>0.95192779529505789</v>
      </c>
      <c r="H9" s="60">
        <v>0.97650512364069053</v>
      </c>
      <c r="I9" s="60">
        <v>1.0044587769005691</v>
      </c>
      <c r="J9" s="60">
        <v>1.0202411049817353</v>
      </c>
      <c r="K9" s="60">
        <v>1.0376737816086183</v>
      </c>
      <c r="L9" s="60">
        <v>1.8534884968132752</v>
      </c>
      <c r="M9" s="60">
        <v>1.8342392775294363</v>
      </c>
      <c r="N9" s="60">
        <v>1.8006006756726807</v>
      </c>
      <c r="O9" s="60">
        <v>1.7475531973181295</v>
      </c>
      <c r="P9" s="60">
        <v>1.7261583789172816</v>
      </c>
      <c r="Q9" s="60">
        <v>1.7164463610399625</v>
      </c>
      <c r="R9" s="60">
        <v>1.7073085202042191</v>
      </c>
      <c r="S9" s="60">
        <v>1.6986927395500557</v>
      </c>
      <c r="T9" s="60">
        <v>1.6905533304808513</v>
      </c>
      <c r="U9" s="60">
        <v>1.6828500409968163</v>
      </c>
      <c r="V9" s="60">
        <v>1.6755472457211957</v>
      </c>
      <c r="W9" s="60">
        <v>1.6686132794148625</v>
      </c>
      <c r="X9" s="60">
        <v>1.6620198847748469</v>
      </c>
      <c r="Y9" s="60">
        <v>1.6557417519784732</v>
      </c>
      <c r="Z9" s="60">
        <v>1.6497561324246952</v>
      </c>
      <c r="AA9" s="60">
        <v>1.6440425128956566</v>
      </c>
      <c r="AB9" s="60">
        <v>1.6385823392385857</v>
      </c>
      <c r="AC9" s="60">
        <v>1.6333587808811909</v>
      </c>
      <c r="AD9" s="60">
        <v>1.6283565292104176</v>
      </c>
      <c r="AE9" s="60">
        <v>1.6235616241854443</v>
      </c>
      <c r="AF9" s="60">
        <v>1.6189613046115097</v>
      </c>
      <c r="AG9" s="60">
        <v>1.6145438783372721</v>
      </c>
      <c r="AH9" s="60">
        <v>1.6102986093052161</v>
      </c>
      <c r="AI9" s="60">
        <f t="shared" si="1"/>
        <v>1.6102986093052161</v>
      </c>
      <c r="AJ9" s="13">
        <v>115</v>
      </c>
    </row>
    <row r="10" spans="1:36" ht="9.9499999999999993" customHeight="1" x14ac:dyDescent="0.2">
      <c r="A10" s="60">
        <f t="shared" si="0"/>
        <v>0.91154641364328881</v>
      </c>
      <c r="B10" s="60">
        <v>0.91154641364328881</v>
      </c>
      <c r="C10" s="60">
        <v>0.91419605904715973</v>
      </c>
      <c r="D10" s="60">
        <v>0.91869241874553331</v>
      </c>
      <c r="E10" s="60">
        <v>0.9242204974421937</v>
      </c>
      <c r="F10" s="60">
        <v>0.92798646222148706</v>
      </c>
      <c r="G10" s="60">
        <v>0.94780777918695192</v>
      </c>
      <c r="H10" s="60">
        <v>0.9694142833402043</v>
      </c>
      <c r="I10" s="60">
        <v>0.99314973207591584</v>
      </c>
      <c r="J10" s="60">
        <v>1.0059955803721194</v>
      </c>
      <c r="K10" s="60">
        <v>1.0196332758358913</v>
      </c>
      <c r="L10" s="60">
        <v>1.2567695729220076</v>
      </c>
      <c r="M10" s="60">
        <v>1.8998689255144514</v>
      </c>
      <c r="N10" s="60">
        <v>1.8527057545916981</v>
      </c>
      <c r="O10" s="60">
        <v>1.78202712025412</v>
      </c>
      <c r="P10" s="60">
        <v>1.7546318394948057</v>
      </c>
      <c r="Q10" s="60">
        <v>1.7423847996223276</v>
      </c>
      <c r="R10" s="60">
        <v>1.7309641392255632</v>
      </c>
      <c r="S10" s="60">
        <v>1.7202837672906193</v>
      </c>
      <c r="T10" s="60">
        <v>1.7102697237957691</v>
      </c>
      <c r="U10" s="60">
        <v>1.7008580535104003</v>
      </c>
      <c r="V10" s="60">
        <v>1.6919931201083407</v>
      </c>
      <c r="W10" s="60">
        <v>1.6836262564395144</v>
      </c>
      <c r="X10" s="60">
        <v>1.6757146742892028</v>
      </c>
      <c r="Y10" s="60">
        <v>1.6682205764873392</v>
      </c>
      <c r="Z10" s="60">
        <v>1.6611104283007865</v>
      </c>
      <c r="AA10" s="60">
        <v>1.6543543553043931</v>
      </c>
      <c r="AB10" s="60">
        <v>1.647925642498747</v>
      </c>
      <c r="AC10" s="60">
        <v>1.6418003150902156</v>
      </c>
      <c r="AD10" s="60">
        <v>1.6359567856029322</v>
      </c>
      <c r="AE10" s="60">
        <v>1.6303755552273096</v>
      </c>
      <c r="AF10" s="60">
        <v>1.6250389597905379</v>
      </c>
      <c r="AG10" s="60">
        <v>1.6199309526535464</v>
      </c>
      <c r="AH10" s="60">
        <v>1.6150369183339606</v>
      </c>
      <c r="AI10" s="60">
        <f t="shared" si="1"/>
        <v>1.6150369183339606</v>
      </c>
      <c r="AJ10" s="13">
        <v>120</v>
      </c>
    </row>
    <row r="11" spans="1:36" ht="9.9499999999999993" customHeight="1" x14ac:dyDescent="0.2">
      <c r="A11" s="60">
        <f t="shared" si="0"/>
        <v>0.9113816769208819</v>
      </c>
      <c r="B11" s="60">
        <v>0.9113816769208819</v>
      </c>
      <c r="C11" s="60">
        <v>0.91378764772365062</v>
      </c>
      <c r="D11" s="60">
        <v>0.91785891804725595</v>
      </c>
      <c r="E11" s="60">
        <v>0.92284653264658389</v>
      </c>
      <c r="F11" s="60">
        <v>0.92623420069276452</v>
      </c>
      <c r="G11" s="60">
        <v>0.94394741862868803</v>
      </c>
      <c r="H11" s="60">
        <v>0.96303699070912363</v>
      </c>
      <c r="I11" s="60">
        <v>0.98367616474751418</v>
      </c>
      <c r="J11" s="60">
        <v>0.99465545831712554</v>
      </c>
      <c r="K11" s="60">
        <v>1.0061306533341605</v>
      </c>
      <c r="L11" s="60">
        <v>1.1669659430424648</v>
      </c>
      <c r="M11" s="60">
        <v>1.99319352456566</v>
      </c>
      <c r="N11" s="60">
        <v>1.9233682390566613</v>
      </c>
      <c r="O11" s="60">
        <v>1.8260762775777</v>
      </c>
      <c r="P11" s="60">
        <v>1.7903334975837475</v>
      </c>
      <c r="Q11" s="60">
        <v>1.7746645141045465</v>
      </c>
      <c r="R11" s="60">
        <v>1.7602150046541687</v>
      </c>
      <c r="S11" s="60">
        <v>1.7468381003436277</v>
      </c>
      <c r="T11" s="60">
        <v>1.7344107098954522</v>
      </c>
      <c r="U11" s="60">
        <v>1.7228287625224012</v>
      </c>
      <c r="V11" s="60">
        <v>1.7120035686591444</v>
      </c>
      <c r="W11" s="60">
        <v>1.7018590000979528</v>
      </c>
      <c r="X11" s="60">
        <v>1.6923292795419898</v>
      </c>
      <c r="Y11" s="60">
        <v>1.6833572294297996</v>
      </c>
      <c r="Z11" s="60">
        <v>1.6748928710819382</v>
      </c>
      <c r="AA11" s="60">
        <v>1.6668922940434954</v>
      </c>
      <c r="AB11" s="60">
        <v>1.6593167359607983</v>
      </c>
      <c r="AC11" s="60">
        <v>1.6521318280590098</v>
      </c>
      <c r="AD11" s="60">
        <v>1.6453069720209872</v>
      </c>
      <c r="AE11" s="60">
        <v>1.6388148219813554</v>
      </c>
      <c r="AF11" s="60">
        <v>1.6326308512473147</v>
      </c>
      <c r="AG11" s="60">
        <v>1.6267329877972603</v>
      </c>
      <c r="AH11" s="60">
        <v>1.6211013059814823</v>
      </c>
      <c r="AI11" s="60">
        <f t="shared" si="1"/>
        <v>1.6211013059814823</v>
      </c>
      <c r="AJ11" s="13">
        <v>125</v>
      </c>
    </row>
    <row r="12" spans="1:36" ht="9.9499999999999993" customHeight="1" x14ac:dyDescent="0.2">
      <c r="A12" s="60">
        <f t="shared" si="0"/>
        <v>0.91122642722144775</v>
      </c>
      <c r="B12" s="60">
        <v>0.91122642722144775</v>
      </c>
      <c r="C12" s="60">
        <v>0.91340230752762464</v>
      </c>
      <c r="D12" s="60">
        <v>0.91707645614283573</v>
      </c>
      <c r="E12" s="60">
        <v>0.9215651508908862</v>
      </c>
      <c r="F12" s="60">
        <v>0.92460665994247904</v>
      </c>
      <c r="G12" s="60">
        <v>0.94042321641366255</v>
      </c>
      <c r="H12" s="60">
        <v>0.957316237374783</v>
      </c>
      <c r="I12" s="60">
        <v>0.97539315785313774</v>
      </c>
      <c r="J12" s="60">
        <v>0.98491883392390112</v>
      </c>
      <c r="K12" s="60">
        <v>0.99479777121888169</v>
      </c>
      <c r="L12" s="60">
        <v>1.1209611508683601</v>
      </c>
      <c r="M12" s="60">
        <v>2.135750565810735</v>
      </c>
      <c r="N12" s="60">
        <v>2.0232712354985791</v>
      </c>
      <c r="O12" s="60">
        <v>1.8830447882309329</v>
      </c>
      <c r="P12" s="60">
        <v>1.8352657078375958</v>
      </c>
      <c r="Q12" s="60">
        <v>1.8148491377896308</v>
      </c>
      <c r="R12" s="60">
        <v>1.7962864736230253</v>
      </c>
      <c r="S12" s="60">
        <v>1.7793175213480108</v>
      </c>
      <c r="T12" s="60">
        <v>1.7637307874556951</v>
      </c>
      <c r="U12" s="60">
        <v>1.7493523015148393</v>
      </c>
      <c r="V12" s="60">
        <v>1.7360374311382032</v>
      </c>
      <c r="W12" s="60">
        <v>1.7236647846776003</v>
      </c>
      <c r="X12" s="60">
        <v>1.7121315989761283</v>
      </c>
      <c r="Y12" s="60">
        <v>1.7013502019878946</v>
      </c>
      <c r="Z12" s="60">
        <v>1.6912452656596142</v>
      </c>
      <c r="AA12" s="60">
        <v>1.6817516481406787</v>
      </c>
      <c r="AB12" s="60">
        <v>1.6728126812040007</v>
      </c>
      <c r="AC12" s="60">
        <v>1.6643787980105758</v>
      </c>
      <c r="AD12" s="60">
        <v>1.6564064238977116</v>
      </c>
      <c r="AE12" s="60">
        <v>1.6488570724852885</v>
      </c>
      <c r="AF12" s="60">
        <v>1.6416966035480076</v>
      </c>
      <c r="AG12" s="60">
        <v>1.6348946094409453</v>
      </c>
      <c r="AH12" s="60">
        <v>1.6284239045054232</v>
      </c>
      <c r="AI12" s="60">
        <f t="shared" si="1"/>
        <v>1.6284239045054232</v>
      </c>
      <c r="AJ12" s="13">
        <v>130</v>
      </c>
    </row>
    <row r="13" spans="1:36" ht="9.9499999999999993" customHeight="1" x14ac:dyDescent="0.2">
      <c r="A13" s="60">
        <f t="shared" si="0"/>
        <v>0.91108531138005489</v>
      </c>
      <c r="B13" s="60">
        <v>0.91108531138005489</v>
      </c>
      <c r="C13" s="60">
        <v>0.91305063379843532</v>
      </c>
      <c r="D13" s="60">
        <v>0.91636370194082784</v>
      </c>
      <c r="E13" s="60">
        <v>0.92040222053522436</v>
      </c>
      <c r="F13" s="60">
        <v>0.92313326932165396</v>
      </c>
      <c r="G13" s="60">
        <v>0.93726926593161619</v>
      </c>
      <c r="H13" s="60">
        <v>0.95225196904886888</v>
      </c>
      <c r="I13" s="60">
        <v>0.96815452342269537</v>
      </c>
      <c r="J13" s="60">
        <v>0.97647802641809789</v>
      </c>
      <c r="K13" s="60">
        <v>0.98506660547977198</v>
      </c>
      <c r="L13" s="60">
        <v>1.0896387166384962</v>
      </c>
      <c r="M13" s="60">
        <v>1.5820102516243451</v>
      </c>
      <c r="N13" s="60">
        <v>2.1747438303800708</v>
      </c>
      <c r="O13" s="60">
        <v>1.958324639797653</v>
      </c>
      <c r="P13" s="60">
        <v>1.8924076892618757</v>
      </c>
      <c r="Q13" s="60">
        <v>1.8651897805336413</v>
      </c>
      <c r="R13" s="60">
        <v>1.8408921709266688</v>
      </c>
      <c r="S13" s="60">
        <v>1.8190330566873909</v>
      </c>
      <c r="T13" s="60">
        <v>1.7992355729301062</v>
      </c>
      <c r="U13" s="60">
        <v>1.7812000256819784</v>
      </c>
      <c r="V13" s="60">
        <v>1.7646846255797164</v>
      </c>
      <c r="W13" s="60">
        <v>1.7494918046684422</v>
      </c>
      <c r="X13" s="60">
        <v>1.7354582970661552</v>
      </c>
      <c r="Y13" s="60">
        <v>1.7224478163333563</v>
      </c>
      <c r="Z13" s="60">
        <v>1.7103455614365024</v>
      </c>
      <c r="AA13" s="60">
        <v>1.6990540342327038</v>
      </c>
      <c r="AB13" s="60">
        <v>1.6884898132633499</v>
      </c>
      <c r="AC13" s="60">
        <v>1.6785810353351447</v>
      </c>
      <c r="AD13" s="60">
        <v>1.6692654081081777</v>
      </c>
      <c r="AE13" s="60">
        <v>1.6604886260312579</v>
      </c>
      <c r="AF13" s="60">
        <v>1.6522030961561258</v>
      </c>
      <c r="AG13" s="60">
        <v>1.6443669045240306</v>
      </c>
      <c r="AH13" s="60">
        <v>1.6369429711308749</v>
      </c>
      <c r="AI13" s="60">
        <f t="shared" si="1"/>
        <v>1.6369429711308749</v>
      </c>
      <c r="AJ13" s="13">
        <v>135</v>
      </c>
    </row>
    <row r="14" spans="1:36" ht="9.9499999999999993" customHeight="1" x14ac:dyDescent="0.2">
      <c r="A14" s="60">
        <f t="shared" si="0"/>
        <v>0.91096006307838651</v>
      </c>
      <c r="B14" s="60">
        <v>0.91096006307838651</v>
      </c>
      <c r="C14" s="60">
        <v>0.91273613379782115</v>
      </c>
      <c r="D14" s="60">
        <v>0.91572608164723501</v>
      </c>
      <c r="E14" s="60">
        <v>0.9193639644937327</v>
      </c>
      <c r="F14" s="60">
        <v>0.92181997694723894</v>
      </c>
      <c r="G14" s="60">
        <v>0.93448160656225976</v>
      </c>
      <c r="H14" s="60">
        <v>0.94781268906366978</v>
      </c>
      <c r="I14" s="60">
        <v>0.96186478441069301</v>
      </c>
      <c r="J14" s="60">
        <v>0.96917959034396339</v>
      </c>
      <c r="K14" s="60">
        <v>0.97669788685270931</v>
      </c>
      <c r="L14" s="60">
        <v>1.065497197896085</v>
      </c>
      <c r="M14" s="60">
        <v>1.395790636101186</v>
      </c>
      <c r="N14" s="60">
        <v>2.4347657460113199</v>
      </c>
      <c r="O14" s="60">
        <v>2.0611113145607498</v>
      </c>
      <c r="P14" s="60">
        <v>1.9663058087791292</v>
      </c>
      <c r="Q14" s="60">
        <v>1.9289707390470294</v>
      </c>
      <c r="R14" s="60">
        <v>1.8964345913729459</v>
      </c>
      <c r="S14" s="60">
        <v>1.8677582117967808</v>
      </c>
      <c r="T14" s="60">
        <v>1.8422419712134896</v>
      </c>
      <c r="U14" s="60">
        <v>1.8193523760800581</v>
      </c>
      <c r="V14" s="60">
        <v>1.7986744487009594</v>
      </c>
      <c r="W14" s="60">
        <v>1.7798798149163637</v>
      </c>
      <c r="X14" s="60">
        <v>1.7627047167645062</v>
      </c>
      <c r="Y14" s="60">
        <v>1.7469344939260076</v>
      </c>
      <c r="Z14" s="60">
        <v>1.7323923967957524</v>
      </c>
      <c r="AA14" s="60">
        <v>1.7189313698682787</v>
      </c>
      <c r="AB14" s="60">
        <v>1.7064279153348989</v>
      </c>
      <c r="AC14" s="60">
        <v>1.6947774412101819</v>
      </c>
      <c r="AD14" s="60">
        <v>1.6838906869612873</v>
      </c>
      <c r="AE14" s="60">
        <v>1.6736909432640266</v>
      </c>
      <c r="AF14" s="60">
        <v>1.6641118652228828</v>
      </c>
      <c r="AG14" s="60">
        <v>1.6550957347540165</v>
      </c>
      <c r="AH14" s="60">
        <v>1.6465920668884717</v>
      </c>
      <c r="AI14" s="60">
        <f t="shared" si="1"/>
        <v>1.6465920668884717</v>
      </c>
      <c r="AJ14" s="13">
        <v>140</v>
      </c>
    </row>
    <row r="15" spans="1:36" ht="9.9499999999999993" customHeight="1" x14ac:dyDescent="0.2">
      <c r="A15" s="60">
        <f t="shared" si="0"/>
        <v>0.91085096716845804</v>
      </c>
      <c r="B15" s="60">
        <v>0.91085096716845804</v>
      </c>
      <c r="C15" s="60">
        <v>0.91245866570663359</v>
      </c>
      <c r="D15" s="60">
        <v>0.91516207679097317</v>
      </c>
      <c r="E15" s="60">
        <v>0.91844618307450399</v>
      </c>
      <c r="F15" s="60">
        <v>0.92066020775752744</v>
      </c>
      <c r="G15" s="60">
        <v>0.93203512203328631</v>
      </c>
      <c r="H15" s="60">
        <v>0.94394259424329174</v>
      </c>
      <c r="I15" s="60">
        <v>0.95641945597579392</v>
      </c>
      <c r="J15" s="60">
        <v>0.96288417558970163</v>
      </c>
      <c r="K15" s="60">
        <v>0.96950720653059219</v>
      </c>
      <c r="L15" s="60">
        <v>1.0459898755181087</v>
      </c>
      <c r="M15" s="60">
        <v>1.2958410622632395</v>
      </c>
      <c r="N15" s="60">
        <v>3.0160971682726747</v>
      </c>
      <c r="O15" s="60">
        <v>2.2082900893647275</v>
      </c>
      <c r="P15" s="60">
        <v>2.0641145833115915</v>
      </c>
      <c r="Q15" s="60">
        <v>2.0110582568478321</v>
      </c>
      <c r="R15" s="60">
        <v>1.966289764533665</v>
      </c>
      <c r="S15" s="60">
        <v>1.9278691037841447</v>
      </c>
      <c r="T15" s="60">
        <v>1.8944384850973788</v>
      </c>
      <c r="U15" s="60">
        <v>1.8650152479009867</v>
      </c>
      <c r="V15" s="60">
        <v>1.8388682435467945</v>
      </c>
      <c r="W15" s="60">
        <v>1.8154406296955767</v>
      </c>
      <c r="X15" s="60">
        <v>1.7942997938989937</v>
      </c>
      <c r="Y15" s="60">
        <v>1.7751038142107392</v>
      </c>
      <c r="Z15" s="60">
        <v>1.7575783668128029</v>
      </c>
      <c r="AA15" s="60">
        <v>1.7415004400239553</v>
      </c>
      <c r="AB15" s="60">
        <v>1.7266866036569681</v>
      </c>
      <c r="AC15" s="60">
        <v>1.7129844002290395</v>
      </c>
      <c r="AD15" s="60">
        <v>1.7002659210783755</v>
      </c>
      <c r="AE15" s="60">
        <v>1.6884229406453164</v>
      </c>
      <c r="AF15" s="60">
        <v>1.6773631808954093</v>
      </c>
      <c r="AG15" s="60">
        <v>1.6670074080614776</v>
      </c>
      <c r="AH15" s="60">
        <v>1.6572871509392142</v>
      </c>
      <c r="AI15" s="60">
        <f t="shared" si="1"/>
        <v>1.6572871509392142</v>
      </c>
      <c r="AJ15" s="13">
        <v>145</v>
      </c>
    </row>
    <row r="16" spans="1:36" ht="9.9499999999999993" customHeight="1" x14ac:dyDescent="0.2">
      <c r="A16" s="60">
        <f t="shared" si="0"/>
        <v>0.91075768257961442</v>
      </c>
      <c r="B16" s="60">
        <v>0.91075768257961442</v>
      </c>
      <c r="C16" s="60">
        <v>0.9122164008637017</v>
      </c>
      <c r="D16" s="60">
        <v>0.91466692051162657</v>
      </c>
      <c r="E16" s="60">
        <v>0.91763984392987619</v>
      </c>
      <c r="F16" s="60">
        <v>0.91964164553264482</v>
      </c>
      <c r="G16" s="60">
        <v>0.92989581395746068</v>
      </c>
      <c r="H16" s="60">
        <v>0.94057656302993542</v>
      </c>
      <c r="I16" s="60">
        <v>0.95171038655642204</v>
      </c>
      <c r="J16" s="60">
        <v>0.95745621697554961</v>
      </c>
      <c r="K16" s="60">
        <v>0.96332650489197913</v>
      </c>
      <c r="L16" s="60">
        <v>1.0299036289111683</v>
      </c>
      <c r="M16" s="60">
        <v>1.2298991897166296</v>
      </c>
      <c r="N16" s="60">
        <v>3.6905087455706109</v>
      </c>
      <c r="O16" s="60">
        <v>2.4339987035270991</v>
      </c>
      <c r="P16" s="60">
        <v>2.1974422845504353</v>
      </c>
      <c r="Q16" s="60">
        <v>2.1187329897110696</v>
      </c>
      <c r="R16" s="60">
        <v>2.0551661942696726</v>
      </c>
      <c r="S16" s="60">
        <v>2.0024767935364109</v>
      </c>
      <c r="T16" s="60">
        <v>1.9579090350575732</v>
      </c>
      <c r="U16" s="60">
        <v>1.9195934739449316</v>
      </c>
      <c r="V16" s="60">
        <v>1.8862116544438887</v>
      </c>
      <c r="W16" s="60">
        <v>1.856803706999292</v>
      </c>
      <c r="X16" s="60">
        <v>1.8306520873908867</v>
      </c>
      <c r="Y16" s="60">
        <v>1.8072082574152479</v>
      </c>
      <c r="Z16" s="60">
        <v>1.7860447535787374</v>
      </c>
      <c r="AA16" s="60">
        <v>1.7668228759970908</v>
      </c>
      <c r="AB16" s="60">
        <v>1.7492703214811833</v>
      </c>
      <c r="AC16" s="60">
        <v>1.7331653374470661</v>
      </c>
      <c r="AD16" s="60">
        <v>1.7183252640552116</v>
      </c>
      <c r="AE16" s="60">
        <v>1.7045980978122901</v>
      </c>
      <c r="AF16" s="60">
        <v>1.6918561783863177</v>
      </c>
      <c r="AG16" s="60">
        <v>1.6799913949144816</v>
      </c>
      <c r="AH16" s="60">
        <v>1.6689114977880604</v>
      </c>
      <c r="AI16" s="60">
        <f t="shared" si="1"/>
        <v>1.6689114977880604</v>
      </c>
      <c r="AJ16" s="13">
        <v>150</v>
      </c>
    </row>
    <row r="17" spans="1:36" ht="9.9499999999999993" customHeight="1" x14ac:dyDescent="0.2">
      <c r="A17" s="60">
        <f t="shared" si="0"/>
        <v>0.91067969799890947</v>
      </c>
      <c r="B17" s="60">
        <v>0.91067969799890947</v>
      </c>
      <c r="C17" s="60">
        <v>0.91200691388553268</v>
      </c>
      <c r="D17" s="60">
        <v>0.91423466901828565</v>
      </c>
      <c r="E17" s="60">
        <v>0.91693423914015615</v>
      </c>
      <c r="F17" s="60">
        <v>0.91875007612852433</v>
      </c>
      <c r="G17" s="60">
        <v>0.92802786423181205</v>
      </c>
      <c r="H17" s="60">
        <v>0.93764982179961676</v>
      </c>
      <c r="I17" s="60">
        <v>0.94763511269479539</v>
      </c>
      <c r="J17" s="60">
        <v>0.95277044331864469</v>
      </c>
      <c r="K17" s="60">
        <v>0.95800455079187485</v>
      </c>
      <c r="L17" s="60">
        <v>1.0164824180324135</v>
      </c>
      <c r="M17" s="60">
        <v>1.181802616581225</v>
      </c>
      <c r="N17" s="60">
        <v>2.2328291690188209</v>
      </c>
      <c r="O17" s="60">
        <v>2.816732466334003</v>
      </c>
      <c r="P17" s="60">
        <v>2.3855254086730251</v>
      </c>
      <c r="Q17" s="60">
        <v>2.2627900380681365</v>
      </c>
      <c r="R17" s="60">
        <v>2.1694126566914873</v>
      </c>
      <c r="S17" s="60">
        <v>2.0954294811111969</v>
      </c>
      <c r="T17" s="60">
        <v>2.0350247539384392</v>
      </c>
      <c r="U17" s="60">
        <v>1.9845523245712582</v>
      </c>
      <c r="V17" s="60">
        <v>1.9415981434909815</v>
      </c>
      <c r="W17" s="60">
        <v>1.9044935831273553</v>
      </c>
      <c r="X17" s="60">
        <v>1.8720442898888991</v>
      </c>
      <c r="Y17" s="60">
        <v>1.8433703254932328</v>
      </c>
      <c r="Z17" s="60">
        <v>1.8178074442202239</v>
      </c>
      <c r="AA17" s="60">
        <v>1.7948437129862227</v>
      </c>
      <c r="AB17" s="60">
        <v>1.7740774575841498</v>
      </c>
      <c r="AC17" s="60">
        <v>1.7551885560558775</v>
      </c>
      <c r="AD17" s="60">
        <v>1.737918353128064</v>
      </c>
      <c r="AE17" s="60">
        <v>1.7220552985012094</v>
      </c>
      <c r="AF17" s="60">
        <v>1.707424478688129</v>
      </c>
      <c r="AG17" s="60">
        <v>1.6938798549966059</v>
      </c>
      <c r="AH17" s="60">
        <v>1.6812984189133366</v>
      </c>
      <c r="AI17" s="60">
        <f t="shared" si="1"/>
        <v>1.6812984189133366</v>
      </c>
      <c r="AJ17" s="13">
        <v>155</v>
      </c>
    </row>
    <row r="18" spans="1:36" ht="9.9499999999999993" customHeight="1" x14ac:dyDescent="0.2">
      <c r="A18" s="60">
        <f t="shared" si="0"/>
        <v>0.91061657762760695</v>
      </c>
      <c r="B18" s="60">
        <v>0.91061657762760695</v>
      </c>
      <c r="C18" s="60">
        <v>0.91182776892171535</v>
      </c>
      <c r="D18" s="60">
        <v>0.9138593134315588</v>
      </c>
      <c r="E18" s="60">
        <v>0.91631867137144651</v>
      </c>
      <c r="F18" s="60">
        <v>0.91797142944809695</v>
      </c>
      <c r="G18" s="60">
        <v>0.92639723895335135</v>
      </c>
      <c r="H18" s="60">
        <v>0.93510274437674901</v>
      </c>
      <c r="I18" s="60">
        <v>0.94410188414677731</v>
      </c>
      <c r="J18" s="60">
        <v>0.94871619970044263</v>
      </c>
      <c r="K18" s="60">
        <v>0.9534096189740362</v>
      </c>
      <c r="L18" s="60">
        <v>1.0051851802620153</v>
      </c>
      <c r="M18" s="60">
        <v>1.1448284646207278</v>
      </c>
      <c r="N18" s="60">
        <v>1.8086419201241823</v>
      </c>
      <c r="O18" s="60">
        <v>3.5603639519383394</v>
      </c>
      <c r="P18" s="60">
        <v>2.6591969426202757</v>
      </c>
      <c r="Q18" s="60">
        <v>2.4581012510372497</v>
      </c>
      <c r="R18" s="60">
        <v>2.3166938770715984</v>
      </c>
      <c r="S18" s="60">
        <v>2.210814315255758</v>
      </c>
      <c r="T18" s="60">
        <v>2.1279756321539214</v>
      </c>
      <c r="U18" s="60">
        <v>2.0610275821810835</v>
      </c>
      <c r="V18" s="60">
        <v>2.0055585183667266</v>
      </c>
      <c r="W18" s="60">
        <v>1.9586869493433656</v>
      </c>
      <c r="X18" s="60">
        <v>1.9184442456354909</v>
      </c>
      <c r="Y18" s="60">
        <v>1.8834355367520632</v>
      </c>
      <c r="Z18" s="60">
        <v>1.8526422590321674</v>
      </c>
      <c r="AA18" s="60">
        <v>1.8253015556365033</v>
      </c>
      <c r="AB18" s="60">
        <v>1.8008296119918559</v>
      </c>
      <c r="AC18" s="60">
        <v>1.7787712370346753</v>
      </c>
      <c r="AD18" s="60">
        <v>1.7587657216699228</v>
      </c>
      <c r="AE18" s="60">
        <v>1.7405231241226804</v>
      </c>
      <c r="AF18" s="60">
        <v>1.7238074258984746</v>
      </c>
      <c r="AG18" s="60">
        <v>1.7084243290164891</v>
      </c>
      <c r="AH18" s="60">
        <v>1.6942122585252626</v>
      </c>
      <c r="AI18" s="60">
        <f t="shared" si="1"/>
        <v>1.6942122585252626</v>
      </c>
      <c r="AJ18" s="13">
        <v>160</v>
      </c>
    </row>
    <row r="19" spans="1:36" ht="9.9499999999999993" customHeight="1" x14ac:dyDescent="0.2">
      <c r="A19" s="60">
        <f t="shared" si="0"/>
        <v>0.91056808664990085</v>
      </c>
      <c r="B19" s="60">
        <v>0.91056808664990085</v>
      </c>
      <c r="C19" s="60">
        <v>0.91167681804303691</v>
      </c>
      <c r="D19" s="60">
        <v>0.91353534020453309</v>
      </c>
      <c r="E19" s="60">
        <v>0.9157832901244527</v>
      </c>
      <c r="F19" s="60">
        <v>0.91729277871698112</v>
      </c>
      <c r="G19" s="60">
        <v>0.92497329136972151</v>
      </c>
      <c r="H19" s="60">
        <v>0.93288270863352851</v>
      </c>
      <c r="I19" s="60">
        <v>0.94103122535306694</v>
      </c>
      <c r="J19" s="60">
        <v>0.94519850650156612</v>
      </c>
      <c r="K19" s="60">
        <v>0.94942967987587457</v>
      </c>
      <c r="L19" s="60">
        <v>0.99560221718653386</v>
      </c>
      <c r="M19" s="60">
        <v>1.1154918864939163</v>
      </c>
      <c r="N19" s="60">
        <v>1.5941353789785533</v>
      </c>
      <c r="O19" s="60">
        <v>4.9587886736059072</v>
      </c>
      <c r="P19" s="60">
        <v>3.0504954981894676</v>
      </c>
      <c r="Q19" s="60">
        <v>2.7175876828875944</v>
      </c>
      <c r="R19" s="60">
        <v>2.5023959549139678</v>
      </c>
      <c r="S19" s="60">
        <v>2.3507323801961904</v>
      </c>
      <c r="T19" s="60">
        <v>2.2373439152587817</v>
      </c>
      <c r="U19" s="60">
        <v>2.148882226879262</v>
      </c>
      <c r="V19" s="60">
        <v>2.0776204710801816</v>
      </c>
      <c r="W19" s="60">
        <v>2.018767864409325</v>
      </c>
      <c r="X19" s="60">
        <v>1.9691899991718376</v>
      </c>
      <c r="Y19" s="60">
        <v>1.9267456419888502</v>
      </c>
      <c r="Z19" s="60">
        <v>1.8899192579889681</v>
      </c>
      <c r="AA19" s="60">
        <v>1.8576059656615349</v>
      </c>
      <c r="AB19" s="60">
        <v>1.8289798377069326</v>
      </c>
      <c r="AC19" s="60">
        <v>1.8034100809709208</v>
      </c>
      <c r="AD19" s="60">
        <v>1.7804059001677044</v>
      </c>
      <c r="AE19" s="60">
        <v>1.75957917798232</v>
      </c>
      <c r="AF19" s="60">
        <v>1.7406185749019081</v>
      </c>
      <c r="AG19" s="60">
        <v>1.7232711535987406</v>
      </c>
      <c r="AH19" s="60">
        <v>1.7073290839213515</v>
      </c>
      <c r="AI19" s="60">
        <f t="shared" si="1"/>
        <v>1.7073290839213515</v>
      </c>
      <c r="AJ19" s="13">
        <v>165</v>
      </c>
    </row>
    <row r="20" spans="1:36" ht="9.9499999999999993" customHeight="1" x14ac:dyDescent="0.2">
      <c r="A20" s="60">
        <f t="shared" si="0"/>
        <v>0.91053424750098744</v>
      </c>
      <c r="B20" s="60">
        <v>0.91053424750098744</v>
      </c>
      <c r="C20" s="60">
        <v>0.91155233659663726</v>
      </c>
      <c r="D20" s="60">
        <v>0.91325798073907749</v>
      </c>
      <c r="E20" s="60">
        <v>0.91531945091404909</v>
      </c>
      <c r="F20" s="60">
        <v>0.91670275675720958</v>
      </c>
      <c r="G20" s="60">
        <v>0.92372928158106404</v>
      </c>
      <c r="H20" s="60">
        <v>0.93094440357910235</v>
      </c>
      <c r="I20" s="60">
        <v>0.93835562086049584</v>
      </c>
      <c r="J20" s="60">
        <v>0.94213721959430108</v>
      </c>
      <c r="K20" s="60">
        <v>0.94597084092433548</v>
      </c>
      <c r="L20" s="60">
        <v>0.98741607301887047</v>
      </c>
      <c r="M20" s="60">
        <v>1.0917024811620957</v>
      </c>
      <c r="N20" s="60">
        <v>1.4610959004648434</v>
      </c>
      <c r="O20" s="60">
        <v>4.9966217782431404</v>
      </c>
      <c r="P20" s="60">
        <v>3.4932342752843422</v>
      </c>
      <c r="Q20" s="60">
        <v>3.0166607309605391</v>
      </c>
      <c r="R20" s="60">
        <v>2.714496220591029</v>
      </c>
      <c r="S20" s="60">
        <v>2.5080536594042568</v>
      </c>
      <c r="T20" s="60">
        <v>2.3583147142184662</v>
      </c>
      <c r="U20" s="60">
        <v>2.2445833675377824</v>
      </c>
      <c r="V20" s="60">
        <v>2.1550519941293893</v>
      </c>
      <c r="W20" s="60">
        <v>2.0825501857671722</v>
      </c>
      <c r="X20" s="60">
        <v>2.0224907707008839</v>
      </c>
      <c r="Y20" s="60">
        <v>1.971808568056846</v>
      </c>
      <c r="Z20" s="60">
        <v>1.9283789074071491</v>
      </c>
      <c r="AA20" s="60">
        <v>1.8906824628778316</v>
      </c>
      <c r="AB20" s="60">
        <v>1.8576034175185234</v>
      </c>
      <c r="AC20" s="60">
        <v>1.8283032087277391</v>
      </c>
      <c r="AD20" s="60">
        <v>1.8021388848017241</v>
      </c>
      <c r="AE20" s="60">
        <v>1.7786087455405601</v>
      </c>
      <c r="AF20" s="60">
        <v>1.7573152026284327</v>
      </c>
      <c r="AG20" s="60">
        <v>1.7379388160077498</v>
      </c>
      <c r="AH20" s="60">
        <v>1.7202197672037769</v>
      </c>
      <c r="AI20" s="60">
        <f t="shared" si="1"/>
        <v>1.7202197672037769</v>
      </c>
      <c r="AJ20" s="13">
        <v>170</v>
      </c>
    </row>
    <row r="21" spans="1:36" ht="9.9499999999999993" customHeight="1" x14ac:dyDescent="0.2">
      <c r="A21" s="60">
        <f t="shared" si="0"/>
        <v>0.91051535615796253</v>
      </c>
      <c r="B21" s="60">
        <v>0.91051535615796253</v>
      </c>
      <c r="C21" s="60">
        <v>0.91145306725176733</v>
      </c>
      <c r="D21" s="60">
        <v>0.9130232894669299</v>
      </c>
      <c r="E21" s="60">
        <v>0.91491981428079583</v>
      </c>
      <c r="F21" s="60">
        <v>0.91619165697792915</v>
      </c>
      <c r="G21" s="60">
        <v>0.9226423422348542</v>
      </c>
      <c r="H21" s="60">
        <v>0.92924939901120818</v>
      </c>
      <c r="I21" s="60">
        <v>0.93601837096868534</v>
      </c>
      <c r="J21" s="60">
        <v>0.93946537881095593</v>
      </c>
      <c r="K21" s="60">
        <v>0.94295506391598671</v>
      </c>
      <c r="L21" s="60">
        <v>0.98037787875876736</v>
      </c>
      <c r="M21" s="60">
        <v>1.0720884276109359</v>
      </c>
      <c r="N21" s="60">
        <v>1.3694313305526846</v>
      </c>
      <c r="O21" s="60">
        <v>3.4857963604549496</v>
      </c>
      <c r="P21" s="60">
        <v>3.6601071217114804</v>
      </c>
      <c r="Q21" s="60">
        <v>3.2307695778832617</v>
      </c>
      <c r="R21" s="60">
        <v>2.896052487038435</v>
      </c>
      <c r="S21" s="60">
        <v>2.653225455079284</v>
      </c>
      <c r="T21" s="60">
        <v>2.4739637605882252</v>
      </c>
      <c r="U21" s="60">
        <v>2.3376131134731812</v>
      </c>
      <c r="V21" s="60">
        <v>2.2308572833160651</v>
      </c>
      <c r="W21" s="60">
        <v>2.1451153488460468</v>
      </c>
      <c r="X21" s="60">
        <v>2.0747304107512048</v>
      </c>
      <c r="Y21" s="60">
        <v>2.0158689338779854</v>
      </c>
      <c r="Z21" s="60">
        <v>1.9658607516752251</v>
      </c>
      <c r="AA21" s="60">
        <v>1.9227975651413549</v>
      </c>
      <c r="AB21" s="60">
        <v>1.8852831237813175</v>
      </c>
      <c r="AC21" s="60">
        <v>1.8522738988293574</v>
      </c>
      <c r="AD21" s="60">
        <v>1.8229749439531326</v>
      </c>
      <c r="AE21" s="60">
        <v>1.7967702120934292</v>
      </c>
      <c r="AF21" s="60">
        <v>1.7731748918295247</v>
      </c>
      <c r="AG21" s="60">
        <v>1.7518021336410443</v>
      </c>
      <c r="AH21" s="60">
        <v>1.7323393805328555</v>
      </c>
      <c r="AI21" s="60">
        <f t="shared" si="1"/>
        <v>1.7323393805328555</v>
      </c>
      <c r="AJ21" s="13">
        <v>175</v>
      </c>
    </row>
    <row r="22" spans="1:36" ht="9.9499999999999993" customHeight="1" x14ac:dyDescent="0.2">
      <c r="A22" s="60">
        <f t="shared" si="0"/>
        <v>0.91051197527957539</v>
      </c>
      <c r="B22" s="60">
        <v>0.91051197527957539</v>
      </c>
      <c r="C22" s="60">
        <v>0.91137821383832418</v>
      </c>
      <c r="D22" s="60">
        <v>0.91282813016852116</v>
      </c>
      <c r="E22" s="60">
        <v>0.91457830863590317</v>
      </c>
      <c r="F22" s="60">
        <v>0.91575137169988385</v>
      </c>
      <c r="G22" s="60">
        <v>0.92169318328303806</v>
      </c>
      <c r="H22" s="60">
        <v>0.92776541364567167</v>
      </c>
      <c r="I22" s="60">
        <v>0.93397218088055056</v>
      </c>
      <c r="J22" s="60">
        <v>0.93712734853718227</v>
      </c>
      <c r="K22" s="60">
        <v>0.94031777140886663</v>
      </c>
      <c r="L22" s="60">
        <v>0.97429094229593616</v>
      </c>
      <c r="M22" s="60">
        <v>1.0556978979490588</v>
      </c>
      <c r="N22" s="60">
        <v>1.3021386702099453</v>
      </c>
      <c r="O22" s="60">
        <v>2.643432540449929</v>
      </c>
      <c r="P22" s="60">
        <v>3.3116713624982363</v>
      </c>
      <c r="Q22" s="60">
        <v>3.1902033984390199</v>
      </c>
      <c r="R22" s="60">
        <v>2.9558120530439744</v>
      </c>
      <c r="S22" s="60">
        <v>2.7347941645540543</v>
      </c>
      <c r="T22" s="60">
        <v>2.5536199978888523</v>
      </c>
      <c r="U22" s="60">
        <v>2.4088199975779947</v>
      </c>
      <c r="V22" s="60">
        <v>2.2925540878895254</v>
      </c>
      <c r="W22" s="60">
        <v>2.1979909928801091</v>
      </c>
      <c r="X22" s="60">
        <v>2.1199378173644798</v>
      </c>
      <c r="Y22" s="60">
        <v>2.0545731009316963</v>
      </c>
      <c r="Z22" s="60">
        <v>1.9990938565480365</v>
      </c>
      <c r="AA22" s="60">
        <v>1.9514288882562318</v>
      </c>
      <c r="AB22" s="60">
        <v>1.9100296699914854</v>
      </c>
      <c r="AC22" s="60">
        <v>1.8737228272052113</v>
      </c>
      <c r="AD22" s="60">
        <v>1.8416069167773834</v>
      </c>
      <c r="AE22" s="60">
        <v>1.8129799965438111</v>
      </c>
      <c r="AF22" s="60">
        <v>1.7872883852238486</v>
      </c>
      <c r="AG22" s="60">
        <v>1.7640900226611116</v>
      </c>
      <c r="AH22" s="60">
        <v>1.7430279567639659</v>
      </c>
      <c r="AI22" s="60">
        <f t="shared" si="1"/>
        <v>1.7430279567639659</v>
      </c>
      <c r="AJ22" s="13">
        <v>180</v>
      </c>
    </row>
    <row r="23" spans="1:36" ht="9.9499999999999993" customHeight="1" x14ac:dyDescent="0.2">
      <c r="A23" s="60">
        <f t="shared" si="0"/>
        <v>0.91052491398402835</v>
      </c>
      <c r="B23" s="60">
        <v>0.91052491398402835</v>
      </c>
      <c r="C23" s="60">
        <v>0.91132740849277505</v>
      </c>
      <c r="D23" s="60">
        <v>0.91267011582117041</v>
      </c>
      <c r="E23" s="60">
        <v>0.91429002684030691</v>
      </c>
      <c r="F23" s="60">
        <v>0.9153752533640942</v>
      </c>
      <c r="G23" s="60">
        <v>0.92086569343960245</v>
      </c>
      <c r="H23" s="60">
        <v>0.92646550377625159</v>
      </c>
      <c r="I23" s="60">
        <v>0.93217775591390373</v>
      </c>
      <c r="J23" s="60">
        <v>0.93507703691967481</v>
      </c>
      <c r="K23" s="60">
        <v>0.93800562935709142</v>
      </c>
      <c r="L23" s="60">
        <v>0.96899871220270206</v>
      </c>
      <c r="M23" s="60">
        <v>1.0418456461747638</v>
      </c>
      <c r="N23" s="60">
        <v>1.2505920552229848</v>
      </c>
      <c r="O23" s="60">
        <v>2.1892226577228562</v>
      </c>
      <c r="P23" s="60">
        <v>2.8016571975826636</v>
      </c>
      <c r="Q23" s="60">
        <v>2.901124086527858</v>
      </c>
      <c r="R23" s="60">
        <v>2.8428557028308119</v>
      </c>
      <c r="S23" s="60">
        <v>2.710685274275459</v>
      </c>
      <c r="T23" s="60">
        <v>2.5673718008156983</v>
      </c>
      <c r="U23" s="60">
        <v>2.4372016106243604</v>
      </c>
      <c r="V23" s="60">
        <v>2.3253276371025118</v>
      </c>
      <c r="W23" s="60">
        <v>2.2306227559351077</v>
      </c>
      <c r="X23" s="60">
        <v>2.1504857059957065</v>
      </c>
      <c r="Y23" s="60">
        <v>2.0823127513697348</v>
      </c>
      <c r="Z23" s="60">
        <v>2.0238760360421062</v>
      </c>
      <c r="AA23" s="60">
        <v>1.9733671971871047</v>
      </c>
      <c r="AB23" s="60">
        <v>1.9293465363154976</v>
      </c>
      <c r="AC23" s="60">
        <v>1.8906740659456989</v>
      </c>
      <c r="AD23" s="60">
        <v>1.8564459253124479</v>
      </c>
      <c r="AE23" s="60">
        <v>1.8259420018069208</v>
      </c>
      <c r="AF23" s="60">
        <v>1.7985847331914064</v>
      </c>
      <c r="AG23" s="60">
        <v>1.7739073588385368</v>
      </c>
      <c r="AH23" s="60">
        <v>1.7515296488295595</v>
      </c>
      <c r="AI23" s="60">
        <f t="shared" si="1"/>
        <v>1.7515296488295595</v>
      </c>
      <c r="AJ23" s="13">
        <v>185</v>
      </c>
    </row>
    <row r="24" spans="1:36" ht="9.9499999999999993" customHeight="1" x14ac:dyDescent="0.2">
      <c r="A24" s="60">
        <f t="shared" si="0"/>
        <v>0.91055520005430457</v>
      </c>
      <c r="B24" s="60">
        <v>0.91055520005430457</v>
      </c>
      <c r="C24" s="60">
        <v>0.91130066554024303</v>
      </c>
      <c r="D24" s="60">
        <v>0.91254752741368761</v>
      </c>
      <c r="E24" s="60">
        <v>0.91405109526897887</v>
      </c>
      <c r="F24" s="60">
        <v>0.91505794564325027</v>
      </c>
      <c r="G24" s="60">
        <v>0.92014652027495969</v>
      </c>
      <c r="H24" s="60">
        <v>0.92532727896069933</v>
      </c>
      <c r="I24" s="60">
        <v>0.9306025200617507</v>
      </c>
      <c r="J24" s="60">
        <v>0.93327630852306021</v>
      </c>
      <c r="K24" s="60">
        <v>0.93597461078949806</v>
      </c>
      <c r="L24" s="60">
        <v>0.96437575931535302</v>
      </c>
      <c r="M24" s="60">
        <v>1.030025039864199</v>
      </c>
      <c r="N24" s="60">
        <v>1.2098743396935621</v>
      </c>
      <c r="O24" s="60">
        <v>1.913320521705878</v>
      </c>
      <c r="P24" s="60">
        <v>2.3940558425571474</v>
      </c>
      <c r="Q24" s="60">
        <v>2.5527976569039685</v>
      </c>
      <c r="R24" s="60">
        <v>2.6103148127163354</v>
      </c>
      <c r="S24" s="60">
        <v>2.5811886552530701</v>
      </c>
      <c r="T24" s="60">
        <v>2.5039674274778352</v>
      </c>
      <c r="U24" s="60">
        <v>2.410841696087866</v>
      </c>
      <c r="V24" s="60">
        <v>2.318818067601049</v>
      </c>
      <c r="W24" s="60">
        <v>2.2345080507510295</v>
      </c>
      <c r="X24" s="60">
        <v>2.1595737258412546</v>
      </c>
      <c r="Y24" s="60">
        <v>2.0937150239900348</v>
      </c>
      <c r="Z24" s="60">
        <v>2.0359777629091487</v>
      </c>
      <c r="AA24" s="60">
        <v>1.9852758172216545</v>
      </c>
      <c r="AB24" s="60">
        <v>1.940585684127889</v>
      </c>
      <c r="AC24" s="60">
        <v>1.9010086375933253</v>
      </c>
      <c r="AD24" s="60">
        <v>1.8657801616343568</v>
      </c>
      <c r="AE24" s="60">
        <v>1.8342594718937488</v>
      </c>
      <c r="AF24" s="60">
        <v>1.8059128271502547</v>
      </c>
      <c r="AG24" s="60">
        <v>1.7802962903128641</v>
      </c>
      <c r="AH24" s="60">
        <v>1.7570401122650185</v>
      </c>
      <c r="AI24" s="60">
        <f t="shared" si="1"/>
        <v>1.7570401122650185</v>
      </c>
      <c r="AJ24" s="13">
        <v>190</v>
      </c>
    </row>
    <row r="25" spans="1:36" ht="9.9499999999999993" customHeight="1" x14ac:dyDescent="0.2">
      <c r="A25" s="60">
        <f t="shared" si="0"/>
        <v>0.91060404808143691</v>
      </c>
      <c r="B25" s="60">
        <v>0.91060404808143691</v>
      </c>
      <c r="C25" s="60">
        <v>0.91129832976453173</v>
      </c>
      <c r="D25" s="60">
        <v>0.91245922578633099</v>
      </c>
      <c r="E25" s="60">
        <v>0.9138585363174867</v>
      </c>
      <c r="F25" s="60">
        <v>0.91479520954569715</v>
      </c>
      <c r="G25" s="60">
        <v>0.9195246692298249</v>
      </c>
      <c r="H25" s="60">
        <v>0.9243321905741908</v>
      </c>
      <c r="I25" s="60">
        <v>0.92921949727984166</v>
      </c>
      <c r="J25" s="60">
        <v>0.93169362063581196</v>
      </c>
      <c r="K25" s="60">
        <v>0.93418835643495457</v>
      </c>
      <c r="L25" s="60">
        <v>0.96032095180054844</v>
      </c>
      <c r="M25" s="60">
        <v>1.0198536762526729</v>
      </c>
      <c r="N25" s="60">
        <v>1.1769473958660586</v>
      </c>
      <c r="O25" s="60">
        <v>1.7296738840581041</v>
      </c>
      <c r="P25" s="60">
        <v>2.1029705532073937</v>
      </c>
      <c r="Q25" s="60">
        <v>2.2569608900425009</v>
      </c>
      <c r="R25" s="60">
        <v>2.3563113084857288</v>
      </c>
      <c r="S25" s="60">
        <v>2.3933355761219195</v>
      </c>
      <c r="T25" s="60">
        <v>2.3788531167839682</v>
      </c>
      <c r="U25" s="60">
        <v>2.3323779190328113</v>
      </c>
      <c r="V25" s="60">
        <v>2.2712394882428093</v>
      </c>
      <c r="W25" s="60">
        <v>2.2064694492944077</v>
      </c>
      <c r="X25" s="60">
        <v>2.1437426901594061</v>
      </c>
      <c r="Y25" s="60">
        <v>2.0854845393502792</v>
      </c>
      <c r="Z25" s="60">
        <v>2.0324459705395168</v>
      </c>
      <c r="AA25" s="60">
        <v>1.984595856602601</v>
      </c>
      <c r="AB25" s="60">
        <v>1.9415716879663627</v>
      </c>
      <c r="AC25" s="60">
        <v>1.9028957824284645</v>
      </c>
      <c r="AD25" s="60">
        <v>1.8680755197025241</v>
      </c>
      <c r="AE25" s="60">
        <v>1.8366473966542505</v>
      </c>
      <c r="AF25" s="60">
        <v>1.8081939749100862</v>
      </c>
      <c r="AG25" s="60">
        <v>1.7823478695341706</v>
      </c>
      <c r="AH25" s="60">
        <v>1.7587897581519643</v>
      </c>
      <c r="AI25" s="60">
        <f t="shared" si="1"/>
        <v>1.7587897581519643</v>
      </c>
      <c r="AJ25" s="13">
        <v>195</v>
      </c>
    </row>
    <row r="26" spans="1:36" ht="9.9499999999999993" customHeight="1" x14ac:dyDescent="0.2">
      <c r="A26" s="60">
        <f t="shared" si="0"/>
        <v>0.91067282574998776</v>
      </c>
      <c r="B26" s="60">
        <v>0.91067282574998776</v>
      </c>
      <c r="C26" s="60">
        <v>0.91132102341359733</v>
      </c>
      <c r="D26" s="60">
        <v>0.9124045640704378</v>
      </c>
      <c r="E26" s="60">
        <v>0.91371013522853539</v>
      </c>
      <c r="F26" s="60">
        <v>0.91458375724600482</v>
      </c>
      <c r="G26" s="60">
        <v>0.91899113928336751</v>
      </c>
      <c r="H26" s="60">
        <v>0.92346490813081406</v>
      </c>
      <c r="I26" s="60">
        <v>0.92800635798104203</v>
      </c>
      <c r="J26" s="60">
        <v>0.93030287502844544</v>
      </c>
      <c r="K26" s="60">
        <v>0.93261680980290784</v>
      </c>
      <c r="L26" s="60">
        <v>0.9567522538407397</v>
      </c>
      <c r="M26" s="60">
        <v>1.0110379819041597</v>
      </c>
      <c r="N26" s="60">
        <v>1.149821116869415</v>
      </c>
      <c r="O26" s="60">
        <v>1.5992297045050274</v>
      </c>
      <c r="P26" s="60">
        <v>1.894466166754972</v>
      </c>
      <c r="Q26" s="60">
        <v>2.0285835190371762</v>
      </c>
      <c r="R26" s="60">
        <v>2.1334742044648523</v>
      </c>
      <c r="S26" s="60">
        <v>2.1992468831168397</v>
      </c>
      <c r="T26" s="60">
        <v>2.2251688634789515</v>
      </c>
      <c r="U26" s="60">
        <v>2.2185058603773542</v>
      </c>
      <c r="V26" s="60">
        <v>2.1899466875331162</v>
      </c>
      <c r="W26" s="60">
        <v>2.1493126271388578</v>
      </c>
      <c r="X26" s="60">
        <v>2.1036437014642169</v>
      </c>
      <c r="Y26" s="60">
        <v>2.0572330363394729</v>
      </c>
      <c r="Z26" s="60">
        <v>2.0123973298372064</v>
      </c>
      <c r="AA26" s="60">
        <v>1.9702367691622917</v>
      </c>
      <c r="AB26" s="60">
        <v>1.9311660856829702</v>
      </c>
      <c r="AC26" s="60">
        <v>1.8952360453747561</v>
      </c>
      <c r="AD26" s="60">
        <v>1.8623152609142155</v>
      </c>
      <c r="AE26" s="60">
        <v>1.8321896340743766</v>
      </c>
      <c r="AF26" s="60">
        <v>1.8046156370515891</v>
      </c>
      <c r="AG26" s="60">
        <v>1.779348178571956</v>
      </c>
      <c r="AH26" s="60">
        <v>1.756154524691188</v>
      </c>
      <c r="AI26" s="60">
        <f t="shared" si="1"/>
        <v>1.756154524691188</v>
      </c>
      <c r="AJ26" s="13">
        <v>200</v>
      </c>
    </row>
    <row r="27" spans="1:36" ht="9.9499999999999993" customHeight="1" x14ac:dyDescent="0.2">
      <c r="A27" s="60">
        <f t="shared" si="0"/>
        <v>0.91076301971140261</v>
      </c>
      <c r="B27" s="60">
        <v>0.91076301971140261</v>
      </c>
      <c r="C27" s="60">
        <v>0.91136959440048404</v>
      </c>
      <c r="D27" s="60">
        <v>0.91238330463489115</v>
      </c>
      <c r="E27" s="60">
        <v>0.91360431647396789</v>
      </c>
      <c r="F27" s="60">
        <v>0.91442109951045847</v>
      </c>
      <c r="G27" s="60">
        <v>0.91853860109871233</v>
      </c>
      <c r="H27" s="60">
        <v>0.92271278316965533</v>
      </c>
      <c r="I27" s="60">
        <v>0.92694461725918464</v>
      </c>
      <c r="J27" s="60">
        <v>0.92908246177485865</v>
      </c>
      <c r="K27" s="60">
        <v>0.93123509085084799</v>
      </c>
      <c r="L27" s="60">
        <v>0.95360273531940276</v>
      </c>
      <c r="M27" s="60">
        <v>1.0033493036140315</v>
      </c>
      <c r="N27" s="60">
        <v>1.127132925678181</v>
      </c>
      <c r="O27" s="60">
        <v>1.5020857414831286</v>
      </c>
      <c r="P27" s="60">
        <v>1.740985733739056</v>
      </c>
      <c r="Q27" s="60">
        <v>1.854759015864327</v>
      </c>
      <c r="R27" s="60">
        <v>1.9523136524237381</v>
      </c>
      <c r="S27" s="60">
        <v>2.0258294754357591</v>
      </c>
      <c r="T27" s="60">
        <v>2.0716616881330228</v>
      </c>
      <c r="U27" s="60">
        <v>2.0910173339930447</v>
      </c>
      <c r="V27" s="60">
        <v>2.0887059146042435</v>
      </c>
      <c r="W27" s="60">
        <v>2.0709744206879224</v>
      </c>
      <c r="X27" s="60">
        <v>2.0436689653757063</v>
      </c>
      <c r="Y27" s="60">
        <v>2.0113203616572091</v>
      </c>
      <c r="Z27" s="60">
        <v>1.9770222066901717</v>
      </c>
      <c r="AA27" s="60">
        <v>1.9426991497952677</v>
      </c>
      <c r="AB27" s="60">
        <v>1.9094564895326804</v>
      </c>
      <c r="AC27" s="60">
        <v>1.8778726137572264</v>
      </c>
      <c r="AD27" s="60">
        <v>1.8482048200779466</v>
      </c>
      <c r="AE27" s="60">
        <v>1.8205222210481373</v>
      </c>
      <c r="AF27" s="60">
        <v>1.7947877818949081</v>
      </c>
      <c r="AG27" s="60">
        <v>1.7709077630450292</v>
      </c>
      <c r="AH27" s="60">
        <v>1.7487610906047564</v>
      </c>
      <c r="AI27" s="60">
        <f t="shared" si="1"/>
        <v>1.7487610906047564</v>
      </c>
      <c r="AJ27" s="13">
        <v>205</v>
      </c>
    </row>
    <row r="28" spans="1:36" ht="9.9499999999999993" customHeight="1" x14ac:dyDescent="0.2">
      <c r="A28" s="60">
        <f t="shared" si="0"/>
        <v>0.9108762020382648</v>
      </c>
      <c r="B28" s="60">
        <v>0.9108762020382648</v>
      </c>
      <c r="C28" s="60">
        <v>0.91144506708145245</v>
      </c>
      <c r="D28" s="60">
        <v>0.91239554239607101</v>
      </c>
      <c r="E28" s="60">
        <v>0.91354003182592181</v>
      </c>
      <c r="F28" s="60">
        <v>0.91430540885286082</v>
      </c>
      <c r="G28" s="60">
        <v>0.91816111743499773</v>
      </c>
      <c r="H28" s="60">
        <v>0.92206539372715723</v>
      </c>
      <c r="I28" s="60">
        <v>0.92601896578127763</v>
      </c>
      <c r="J28" s="60">
        <v>0.92801446767640428</v>
      </c>
      <c r="K28" s="60">
        <v>0.93002257056723148</v>
      </c>
      <c r="L28" s="60">
        <v>0.95081748962461776</v>
      </c>
      <c r="M28" s="60">
        <v>0.99660730136444209</v>
      </c>
      <c r="N28" s="60">
        <v>1.1079169127551562</v>
      </c>
      <c r="O28" s="60">
        <v>1.4271131314222558</v>
      </c>
      <c r="P28" s="60">
        <v>1.6246168338162434</v>
      </c>
      <c r="Q28" s="60">
        <v>1.7210057583019456</v>
      </c>
      <c r="R28" s="60">
        <v>1.8079410550720805</v>
      </c>
      <c r="S28" s="60">
        <v>1.8798283829639353</v>
      </c>
      <c r="T28" s="60">
        <v>1.9329773698669173</v>
      </c>
      <c r="U28" s="60">
        <v>1.9663765264301054</v>
      </c>
      <c r="V28" s="60">
        <v>1.9815522399772083</v>
      </c>
      <c r="W28" s="60">
        <v>1.9817239565611002</v>
      </c>
      <c r="X28" s="60">
        <v>1.9707440920136479</v>
      </c>
      <c r="Y28" s="60">
        <v>1.9522517837702202</v>
      </c>
      <c r="Z28" s="60">
        <v>1.9292194917462533</v>
      </c>
      <c r="AA28" s="60">
        <v>1.9038421368809715</v>
      </c>
      <c r="AB28" s="60">
        <v>1.8776241423817892</v>
      </c>
      <c r="AC28" s="60">
        <v>1.8515367235268214</v>
      </c>
      <c r="AD28" s="60">
        <v>1.8261723216057497</v>
      </c>
      <c r="AE28" s="60">
        <v>1.8018681788036068</v>
      </c>
      <c r="AF28" s="60">
        <v>1.7787956067404762</v>
      </c>
      <c r="AG28" s="60">
        <v>1.7570209150109968</v>
      </c>
      <c r="AH28" s="60">
        <v>1.7365456806855661</v>
      </c>
      <c r="AI28" s="60">
        <f t="shared" si="1"/>
        <v>1.7365456806855661</v>
      </c>
      <c r="AJ28" s="13">
        <v>210</v>
      </c>
    </row>
    <row r="29" spans="1:36" ht="9.9499999999999993" customHeight="1" x14ac:dyDescent="0.2">
      <c r="A29" s="60">
        <f t="shared" si="0"/>
        <v>0.91101399796936977</v>
      </c>
      <c r="B29" s="60">
        <v>0.91101399796936977</v>
      </c>
      <c r="C29" s="60">
        <v>0.91154859637458785</v>
      </c>
      <c r="D29" s="60">
        <v>0.91244163521995181</v>
      </c>
      <c r="E29" s="60">
        <v>0.91351666059377967</v>
      </c>
      <c r="F29" s="60">
        <v>0.91423539859724556</v>
      </c>
      <c r="G29" s="60">
        <v>0.91785390279282664</v>
      </c>
      <c r="H29" s="60">
        <v>0.9215141599374771</v>
      </c>
      <c r="I29" s="60">
        <v>0.9252167136290167</v>
      </c>
      <c r="J29" s="60">
        <v>0.92708402275999324</v>
      </c>
      <c r="K29" s="60">
        <v>0.92896211185889721</v>
      </c>
      <c r="L29" s="60">
        <v>0.94835123626198803</v>
      </c>
      <c r="M29" s="60">
        <v>0.99066815007005837</v>
      </c>
      <c r="N29" s="60">
        <v>1.091468825737572</v>
      </c>
      <c r="O29" s="60">
        <v>1.3676233643035349</v>
      </c>
      <c r="P29" s="60">
        <v>1.5339962536261336</v>
      </c>
      <c r="Q29" s="60">
        <v>1.6162444607907709</v>
      </c>
      <c r="R29" s="60">
        <v>1.6926868056527868</v>
      </c>
      <c r="S29" s="60">
        <v>1.7593999677398247</v>
      </c>
      <c r="T29" s="60">
        <v>1.8133471120798406</v>
      </c>
      <c r="U29" s="60">
        <v>1.8529503657644932</v>
      </c>
      <c r="V29" s="60">
        <v>1.8782404388165161</v>
      </c>
      <c r="W29" s="60">
        <v>1.8905876673028637</v>
      </c>
      <c r="X29" s="60">
        <v>1.8921896255034421</v>
      </c>
      <c r="Y29" s="60">
        <v>1.8855310457372603</v>
      </c>
      <c r="Z29" s="60">
        <v>1.8729693848681008</v>
      </c>
      <c r="AA29" s="60">
        <v>1.8565008997633508</v>
      </c>
      <c r="AB29" s="60">
        <v>1.8376841184868815</v>
      </c>
      <c r="AC29" s="60">
        <v>1.8176639043490377</v>
      </c>
      <c r="AD29" s="60">
        <v>1.7972417382726242</v>
      </c>
      <c r="AE29" s="60">
        <v>1.7769558318800454</v>
      </c>
      <c r="AF29" s="60">
        <v>1.7571527448667714</v>
      </c>
      <c r="AG29" s="60">
        <v>1.7380443245104575</v>
      </c>
      <c r="AH29" s="60">
        <v>1.7197500581944556</v>
      </c>
      <c r="AI29" s="60">
        <f t="shared" si="1"/>
        <v>1.7197500581944556</v>
      </c>
      <c r="AJ29" s="13">
        <v>215</v>
      </c>
    </row>
    <row r="30" spans="1:36" ht="9.9499999999999993" customHeight="1" x14ac:dyDescent="0.2">
      <c r="A30" s="60">
        <f t="shared" si="0"/>
        <v>0.91117805546577868</v>
      </c>
      <c r="B30" s="60">
        <v>0.91117805546577868</v>
      </c>
      <c r="C30" s="60">
        <v>0.91168142562319288</v>
      </c>
      <c r="D30" s="60">
        <v>0.91252214153871891</v>
      </c>
      <c r="E30" s="60">
        <v>0.91353392165944491</v>
      </c>
      <c r="F30" s="60">
        <v>0.91421021705812056</v>
      </c>
      <c r="G30" s="60">
        <v>0.91761311815809854</v>
      </c>
      <c r="H30" s="60">
        <v>0.92105202095884708</v>
      </c>
      <c r="I30" s="60">
        <v>0.92452732887346589</v>
      </c>
      <c r="J30" s="60">
        <v>0.92627876123698982</v>
      </c>
      <c r="K30" s="60">
        <v>0.92803944684013406</v>
      </c>
      <c r="L30" s="60">
        <v>0.94616644312263387</v>
      </c>
      <c r="M30" s="60">
        <v>0.98541599711777073</v>
      </c>
      <c r="N30" s="60">
        <v>1.0772630646947394</v>
      </c>
      <c r="O30" s="60">
        <v>1.3193619873450613</v>
      </c>
      <c r="P30" s="60">
        <v>1.461784108913138</v>
      </c>
      <c r="Q30" s="60">
        <v>1.5326578173162069</v>
      </c>
      <c r="R30" s="60">
        <v>1.59977365803301</v>
      </c>
      <c r="S30" s="60">
        <v>1.6603626695485096</v>
      </c>
      <c r="T30" s="60">
        <v>1.7120804410829562</v>
      </c>
      <c r="U30" s="60">
        <v>1.7533873128556612</v>
      </c>
      <c r="V30" s="60">
        <v>1.7837345615569746</v>
      </c>
      <c r="W30" s="60">
        <v>1.8035177024393334</v>
      </c>
      <c r="X30" s="60">
        <v>1.8138518972543252</v>
      </c>
      <c r="Y30" s="60">
        <v>1.8162700496252533</v>
      </c>
      <c r="Z30" s="60">
        <v>1.8124365499915651</v>
      </c>
      <c r="AA30" s="60">
        <v>1.8039331687366638</v>
      </c>
      <c r="AB30" s="60">
        <v>1.7921335660712732</v>
      </c>
      <c r="AC30" s="60">
        <v>1.7781544652193773</v>
      </c>
      <c r="AD30" s="60">
        <v>1.762859104611187</v>
      </c>
      <c r="AE30" s="60">
        <v>1.7468887012137599</v>
      </c>
      <c r="AF30" s="60">
        <v>1.7307039590557702</v>
      </c>
      <c r="AG30" s="60">
        <v>1.7146259528193062</v>
      </c>
      <c r="AH30" s="60">
        <v>1.6988714125182027</v>
      </c>
      <c r="AI30" s="60">
        <f t="shared" si="1"/>
        <v>1.6988714125182027</v>
      </c>
      <c r="AJ30" s="13">
        <v>220</v>
      </c>
    </row>
    <row r="31" spans="1:36" ht="9.9499999999999993" customHeight="1" x14ac:dyDescent="0.2">
      <c r="A31" s="60">
        <f t="shared" si="0"/>
        <v>0.91137001695988906</v>
      </c>
      <c r="B31" s="60">
        <v>0.91137001695988906</v>
      </c>
      <c r="C31" s="60">
        <v>0.9118448483946503</v>
      </c>
      <c r="D31" s="60">
        <v>0.91263776498950289</v>
      </c>
      <c r="E31" s="60">
        <v>0.91359179654917488</v>
      </c>
      <c r="F31" s="60">
        <v>0.91422935562794139</v>
      </c>
      <c r="G31" s="60">
        <v>0.91743569649750079</v>
      </c>
      <c r="H31" s="60">
        <v>0.92067316407015187</v>
      </c>
      <c r="I31" s="60">
        <v>0.92394205495466608</v>
      </c>
      <c r="J31" s="60">
        <v>0.92558837676563577</v>
      </c>
      <c r="K31" s="60">
        <v>0.927242665510424</v>
      </c>
      <c r="L31" s="60">
        <v>0.94423184577339692</v>
      </c>
      <c r="M31" s="60">
        <v>0.98075667468101979</v>
      </c>
      <c r="N31" s="60">
        <v>1.0648995383009328</v>
      </c>
      <c r="O31" s="60">
        <v>1.279496974757161</v>
      </c>
      <c r="P31" s="60">
        <v>1.4031040128327044</v>
      </c>
      <c r="Q31" s="60">
        <v>1.464802962076748</v>
      </c>
      <c r="R31" s="60">
        <v>1.5239407691372586</v>
      </c>
      <c r="S31" s="60">
        <v>1.5785316499433779</v>
      </c>
      <c r="T31" s="60">
        <v>1.6268001935076208</v>
      </c>
      <c r="U31" s="60">
        <v>1.6674259954825172</v>
      </c>
      <c r="V31" s="60">
        <v>1.6996989603025683</v>
      </c>
      <c r="W31" s="60">
        <v>1.7235481900899441</v>
      </c>
      <c r="X31" s="60">
        <v>1.7394552581705636</v>
      </c>
      <c r="Y31" s="60">
        <v>1.7482960524539275</v>
      </c>
      <c r="Z31" s="60">
        <v>1.7511629383907841</v>
      </c>
      <c r="AA31" s="60">
        <v>1.7492072793506337</v>
      </c>
      <c r="AB31" s="60">
        <v>1.7435235870048165</v>
      </c>
      <c r="AC31" s="60">
        <v>1.7350796894900677</v>
      </c>
      <c r="AD31" s="60">
        <v>1.7246862905021896</v>
      </c>
      <c r="AE31" s="60">
        <v>1.712994549958887</v>
      </c>
      <c r="AF31" s="60">
        <v>1.7005102523316213</v>
      </c>
      <c r="AG31" s="60">
        <v>1.6876155373302772</v>
      </c>
      <c r="AH31" s="60">
        <v>1.6745922232445456</v>
      </c>
      <c r="AI31" s="60">
        <f t="shared" si="1"/>
        <v>1.6745922232445456</v>
      </c>
      <c r="AJ31" s="13">
        <v>225</v>
      </c>
    </row>
    <row r="32" spans="1:36" ht="9.9499999999999993" customHeight="1" x14ac:dyDescent="0.2">
      <c r="A32" s="60">
        <f t="shared" si="0"/>
        <v>0.91159149357085034</v>
      </c>
      <c r="B32" s="60">
        <v>0.91159149357085034</v>
      </c>
      <c r="C32" s="60">
        <v>0.91204017427284201</v>
      </c>
      <c r="D32" s="60">
        <v>0.91278930572789263</v>
      </c>
      <c r="E32" s="60">
        <v>0.91369046262847764</v>
      </c>
      <c r="F32" s="60">
        <v>0.91429256943080606</v>
      </c>
      <c r="G32" s="60">
        <v>0.91731919487927827</v>
      </c>
      <c r="H32" s="60">
        <v>0.92037279781915948</v>
      </c>
      <c r="I32" s="60">
        <v>0.92345359335031973</v>
      </c>
      <c r="J32" s="60">
        <v>0.92500425520429486</v>
      </c>
      <c r="K32" s="60">
        <v>0.92656179526972093</v>
      </c>
      <c r="L32" s="60">
        <v>0.94252127224025295</v>
      </c>
      <c r="M32" s="60">
        <v>0.97661300392569661</v>
      </c>
      <c r="N32" s="60">
        <v>1.0540684757279222</v>
      </c>
      <c r="O32" s="60">
        <v>1.2460718759911222</v>
      </c>
      <c r="P32" s="60">
        <v>1.3546206866622925</v>
      </c>
      <c r="Q32" s="60">
        <v>1.408858330718477</v>
      </c>
      <c r="R32" s="60">
        <v>1.4612614538979221</v>
      </c>
      <c r="S32" s="60">
        <v>1.5103782842000413</v>
      </c>
      <c r="T32" s="60">
        <v>1.5548657680832201</v>
      </c>
      <c r="U32" s="60">
        <v>1.5936464964145181</v>
      </c>
      <c r="V32" s="60">
        <v>1.6260239517078627</v>
      </c>
      <c r="W32" s="60">
        <v>1.6517295276434416</v>
      </c>
      <c r="X32" s="60">
        <v>1.6708980641532736</v>
      </c>
      <c r="Y32" s="60">
        <v>1.6839894966106292</v>
      </c>
      <c r="Z32" s="60">
        <v>1.6916839167114437</v>
      </c>
      <c r="AA32" s="60">
        <v>1.6947755918241463</v>
      </c>
      <c r="AB32" s="60">
        <v>1.694083318447245</v>
      </c>
      <c r="AC32" s="60">
        <v>1.6903851708656956</v>
      </c>
      <c r="AD32" s="60">
        <v>1.6843783144828464</v>
      </c>
      <c r="AE32" s="60">
        <v>1.6766600512137173</v>
      </c>
      <c r="AF32" s="60">
        <v>1.6677243995684508</v>
      </c>
      <c r="AG32" s="60">
        <v>1.6579685156283355</v>
      </c>
      <c r="AH32" s="60">
        <v>1.6477042814563003</v>
      </c>
      <c r="AI32" s="60">
        <f t="shared" si="1"/>
        <v>1.6477042814563003</v>
      </c>
      <c r="AJ32" s="13">
        <v>230</v>
      </c>
    </row>
    <row r="33" spans="1:36" ht="9.9499999999999993" customHeight="1" x14ac:dyDescent="0.2">
      <c r="A33" s="60">
        <f t="shared" si="0"/>
        <v>0.91184404196905555</v>
      </c>
      <c r="B33" s="60">
        <v>0.91184404196905555</v>
      </c>
      <c r="C33" s="60">
        <v>0.91226869861488236</v>
      </c>
      <c r="D33" s="60">
        <v>0.91297761799960997</v>
      </c>
      <c r="E33" s="60">
        <v>0.91383023548041797</v>
      </c>
      <c r="F33" s="60">
        <v>0.91439980921746</v>
      </c>
      <c r="G33" s="60">
        <v>0.91726166949687815</v>
      </c>
      <c r="H33" s="60">
        <v>0.92014696222882553</v>
      </c>
      <c r="I33" s="60">
        <v>0.92305584025970677</v>
      </c>
      <c r="J33" s="60">
        <v>0.92451917101514347</v>
      </c>
      <c r="K33" s="60">
        <v>0.92598845455168322</v>
      </c>
      <c r="L33" s="60">
        <v>0.94101270455609221</v>
      </c>
      <c r="M33" s="60">
        <v>0.97292124224397158</v>
      </c>
      <c r="N33" s="60">
        <v>1.0445264570886934</v>
      </c>
      <c r="O33" s="60">
        <v>1.2176927915327134</v>
      </c>
      <c r="P33" s="60">
        <v>1.3139900107068454</v>
      </c>
      <c r="Q33" s="60">
        <v>1.3620979224864382</v>
      </c>
      <c r="R33" s="60">
        <v>1.4088289494809227</v>
      </c>
      <c r="S33" s="60">
        <v>1.4531006558210002</v>
      </c>
      <c r="T33" s="60">
        <v>1.4938898831825302</v>
      </c>
      <c r="U33" s="60">
        <v>1.530334440567801</v>
      </c>
      <c r="V33" s="60">
        <v>1.5618148901922031</v>
      </c>
      <c r="W33" s="60">
        <v>1.5879992138904289</v>
      </c>
      <c r="X33" s="60">
        <v>1.6088442288636624</v>
      </c>
      <c r="Y33" s="60">
        <v>1.6245596074635988</v>
      </c>
      <c r="Z33" s="60">
        <v>1.635548121648339</v>
      </c>
      <c r="AA33" s="60">
        <v>1.6423374434346778</v>
      </c>
      <c r="AB33" s="60">
        <v>1.6455159278221516</v>
      </c>
      <c r="AC33" s="60">
        <v>1.6456799770261274</v>
      </c>
      <c r="AD33" s="60">
        <v>1.6433959812378005</v>
      </c>
      <c r="AE33" s="60">
        <v>1.6391764797078627</v>
      </c>
      <c r="AF33" s="60">
        <v>1.6334682600404009</v>
      </c>
      <c r="AG33" s="60">
        <v>1.6266493629042724</v>
      </c>
      <c r="AH33" s="60">
        <v>1.6190320040986121</v>
      </c>
      <c r="AI33" s="60">
        <f t="shared" si="1"/>
        <v>1.6190320040986121</v>
      </c>
      <c r="AJ33" s="13">
        <v>235</v>
      </c>
    </row>
    <row r="34" spans="1:36" ht="9.9499999999999993" customHeight="1" x14ac:dyDescent="0.2">
      <c r="A34" s="60">
        <f t="shared" si="0"/>
        <v>0.91212914399448208</v>
      </c>
      <c r="B34" s="60">
        <v>0.91212914399448208</v>
      </c>
      <c r="C34" s="60">
        <v>0.91253167618149589</v>
      </c>
      <c r="D34" s="60">
        <v>0.9132035735288444</v>
      </c>
      <c r="E34" s="60">
        <v>0.91401151956208182</v>
      </c>
      <c r="F34" s="60">
        <v>0.91455116326044805</v>
      </c>
      <c r="G34" s="60">
        <v>0.91726157032999489</v>
      </c>
      <c r="H34" s="60">
        <v>0.91999237013644553</v>
      </c>
      <c r="I34" s="60">
        <v>0.9227436679896267</v>
      </c>
      <c r="J34" s="60">
        <v>0.92412703600555979</v>
      </c>
      <c r="K34" s="60">
        <v>0.92551556703976479</v>
      </c>
      <c r="L34" s="60">
        <v>0.93968752512085307</v>
      </c>
      <c r="M34" s="60">
        <v>0.96962836369934224</v>
      </c>
      <c r="N34" s="60">
        <v>1.0360796835260146</v>
      </c>
      <c r="O34" s="60">
        <v>1.1933404478444871</v>
      </c>
      <c r="P34" s="60">
        <v>1.2795234504121622</v>
      </c>
      <c r="Q34" s="60">
        <v>1.3225420173526994</v>
      </c>
      <c r="R34" s="60">
        <v>1.3644822445109261</v>
      </c>
      <c r="S34" s="60">
        <v>1.4045217236262202</v>
      </c>
      <c r="T34" s="60">
        <v>1.4418726520001801</v>
      </c>
      <c r="U34" s="60">
        <v>1.4758488183012199</v>
      </c>
      <c r="V34" s="60">
        <v>1.5059227537286093</v>
      </c>
      <c r="W34" s="60">
        <v>1.5317623068736155</v>
      </c>
      <c r="X34" s="60">
        <v>1.5532411664359771</v>
      </c>
      <c r="Y34" s="60">
        <v>1.570424463529863</v>
      </c>
      <c r="Z34" s="60">
        <v>1.5835358591176911</v>
      </c>
      <c r="AA34" s="60">
        <v>1.5929148787865632</v>
      </c>
      <c r="AB34" s="60">
        <v>1.5989727525659339</v>
      </c>
      <c r="AC34" s="60">
        <v>1.6021527807842424</v>
      </c>
      <c r="AD34" s="60">
        <v>1.6028985562253386</v>
      </c>
      <c r="AE34" s="60">
        <v>1.601631077122581</v>
      </c>
      <c r="AF34" s="60">
        <v>1.5987342164468779</v>
      </c>
      <c r="AG34" s="60">
        <v>1.5945471570636747</v>
      </c>
      <c r="AH34" s="60">
        <v>1.5893620962104151</v>
      </c>
      <c r="AI34" s="60">
        <f t="shared" si="1"/>
        <v>1.5893620962104151</v>
      </c>
      <c r="AJ34" s="13">
        <v>240</v>
      </c>
    </row>
    <row r="35" spans="1:36" ht="9.9499999999999993" customHeight="1" x14ac:dyDescent="0.2">
      <c r="A35" s="60">
        <f t="shared" si="0"/>
        <v>0.9124481890659869</v>
      </c>
      <c r="B35" s="60">
        <v>0.9124481890659869</v>
      </c>
      <c r="C35" s="60">
        <v>0.91283029850461406</v>
      </c>
      <c r="D35" s="60">
        <v>0.91346803027904755</v>
      </c>
      <c r="E35" s="60">
        <v>0.91423476629413913</v>
      </c>
      <c r="F35" s="60">
        <v>0.91474680811727294</v>
      </c>
      <c r="G35" s="60">
        <v>0.91731765262243725</v>
      </c>
      <c r="H35" s="60">
        <v>0.91990627469198505</v>
      </c>
      <c r="I35" s="60">
        <v>0.92251274338705913</v>
      </c>
      <c r="J35" s="60">
        <v>0.92382269119071581</v>
      </c>
      <c r="K35" s="60">
        <v>0.92513712552873317</v>
      </c>
      <c r="L35" s="60">
        <v>0.93852990832926919</v>
      </c>
      <c r="M35" s="60">
        <v>0.96668995519447032</v>
      </c>
      <c r="N35" s="60">
        <v>1.0285720507012548</v>
      </c>
      <c r="O35" s="60">
        <v>1.1722527499157607</v>
      </c>
      <c r="P35" s="60">
        <v>1.2499776869623709</v>
      </c>
      <c r="Q35" s="60">
        <v>1.2887268673350687</v>
      </c>
      <c r="R35" s="60">
        <v>1.3265992207303925</v>
      </c>
      <c r="S35" s="60">
        <v>1.3629588748041028</v>
      </c>
      <c r="T35" s="60">
        <v>1.3971918944185415</v>
      </c>
      <c r="U35" s="60">
        <v>1.4287512563908622</v>
      </c>
      <c r="V35" s="60">
        <v>1.4571967348821888</v>
      </c>
      <c r="W35" s="60">
        <v>1.4822230700866621</v>
      </c>
      <c r="X35" s="60">
        <v>1.503672328288481</v>
      </c>
      <c r="Y35" s="60">
        <v>1.5215299489306553</v>
      </c>
      <c r="Z35" s="60">
        <v>1.535907288064817</v>
      </c>
      <c r="AA35" s="60">
        <v>1.5470154749999061</v>
      </c>
      <c r="AB35" s="60">
        <v>1.5551357960127554</v>
      </c>
      <c r="AC35" s="60">
        <v>1.5605909678961019</v>
      </c>
      <c r="AD35" s="60">
        <v>1.5637202164154591</v>
      </c>
      <c r="AE35" s="60">
        <v>1.5648596053181478</v>
      </c>
      <c r="AF35" s="60">
        <v>1.5643278999198889</v>
      </c>
      <c r="AG35" s="60">
        <v>1.562417493372674</v>
      </c>
      <c r="AH35" s="60">
        <v>1.5593895314397062</v>
      </c>
      <c r="AI35" s="60">
        <f t="shared" si="1"/>
        <v>1.5593895314397062</v>
      </c>
      <c r="AJ35" s="13">
        <v>245</v>
      </c>
    </row>
    <row r="36" spans="1:36" ht="9.9499999999999993" customHeight="1" x14ac:dyDescent="0.2">
      <c r="A36" s="60">
        <f t="shared" si="0"/>
        <v>0.91280245936026549</v>
      </c>
      <c r="B36" s="60">
        <v>0.91280245936026549</v>
      </c>
      <c r="C36" s="60">
        <v>0.91316567482039246</v>
      </c>
      <c r="D36" s="60">
        <v>0.91377180614974551</v>
      </c>
      <c r="E36" s="60">
        <v>0.91450043880601217</v>
      </c>
      <c r="F36" s="60">
        <v>0.9149869672421107</v>
      </c>
      <c r="G36" s="60">
        <v>0.91742890276005196</v>
      </c>
      <c r="H36" s="60">
        <v>0.91988635885973669</v>
      </c>
      <c r="I36" s="60">
        <v>0.92235937703759252</v>
      </c>
      <c r="J36" s="60">
        <v>0.9236017342739421</v>
      </c>
      <c r="K36" s="60">
        <v>0.92484799659027561</v>
      </c>
      <c r="L36" s="60">
        <v>0.93752632715138939</v>
      </c>
      <c r="M36" s="60">
        <v>0.96406857334577312</v>
      </c>
      <c r="N36" s="60">
        <v>1.0218764871300445</v>
      </c>
      <c r="O36" s="60">
        <v>1.1538488195335683</v>
      </c>
      <c r="P36" s="60">
        <v>1.2244191372340254</v>
      </c>
      <c r="Q36" s="60">
        <v>1.2595516188902831</v>
      </c>
      <c r="R36" s="60">
        <v>1.2939478855959052</v>
      </c>
      <c r="S36" s="60">
        <v>1.3271083747119599</v>
      </c>
      <c r="T36" s="60">
        <v>1.3585487281696957</v>
      </c>
      <c r="U36" s="60">
        <v>1.3878305913241717</v>
      </c>
      <c r="V36" s="60">
        <v>1.4145896166805472</v>
      </c>
      <c r="W36" s="60">
        <v>1.4385565729079421</v>
      </c>
      <c r="X36" s="60">
        <v>1.4595687111108637</v>
      </c>
      <c r="Y36" s="60">
        <v>1.4775704920875172</v>
      </c>
      <c r="Z36" s="60">
        <v>1.4926047852540199</v>
      </c>
      <c r="AA36" s="60">
        <v>1.5047971089471326</v>
      </c>
      <c r="AB36" s="60">
        <v>1.5143360887978792</v>
      </c>
      <c r="AC36" s="60">
        <v>1.521453119686957</v>
      </c>
      <c r="AD36" s="60">
        <v>1.5264035150961734</v>
      </c>
      <c r="AE36" s="60">
        <v>1.529450551377358</v>
      </c>
      <c r="AF36" s="60">
        <v>1.5308530149798227</v>
      </c>
      <c r="AG36" s="60">
        <v>1.5308562630939189</v>
      </c>
      <c r="AH36" s="60">
        <v>1.5296864348154391</v>
      </c>
      <c r="AI36" s="60">
        <f t="shared" si="1"/>
        <v>1.5296864348154391</v>
      </c>
      <c r="AJ36" s="13">
        <v>250</v>
      </c>
    </row>
    <row r="37" spans="1:36" ht="9.9499999999999993" customHeight="1" x14ac:dyDescent="0.2">
      <c r="A37" s="60">
        <f t="shared" si="0"/>
        <v>0.9131931176897311</v>
      </c>
      <c r="B37" s="60">
        <v>0.9131931176897311</v>
      </c>
      <c r="C37" s="60">
        <v>0.91353881636835199</v>
      </c>
      <c r="D37" s="60">
        <v>0.91411565718548771</v>
      </c>
      <c r="E37" s="60">
        <v>0.91480898262575205</v>
      </c>
      <c r="F37" s="60">
        <v>0.91527187653284248</v>
      </c>
      <c r="G37" s="60">
        <v>0.91759447648479853</v>
      </c>
      <c r="H37" s="60">
        <v>0.91993064345578557</v>
      </c>
      <c r="I37" s="60">
        <v>0.9222803980747587</v>
      </c>
      <c r="J37" s="60">
        <v>0.9234603766294236</v>
      </c>
      <c r="K37" s="60">
        <v>0.92464375888270889</v>
      </c>
      <c r="L37" s="60">
        <v>0.93666515126115268</v>
      </c>
      <c r="M37" s="60">
        <v>0.96173245003237451</v>
      </c>
      <c r="N37" s="60">
        <v>1.0158885592575206</v>
      </c>
      <c r="O37" s="60">
        <v>1.1376783902654346</v>
      </c>
      <c r="P37" s="60">
        <v>1.2021344552030802</v>
      </c>
      <c r="Q37" s="60">
        <v>1.2341751211312642</v>
      </c>
      <c r="R37" s="60">
        <v>1.2655809188338267</v>
      </c>
      <c r="S37" s="60">
        <v>1.2959536604077304</v>
      </c>
      <c r="T37" s="60">
        <v>1.3249066215836944</v>
      </c>
      <c r="U37" s="60">
        <v>1.3520860450072574</v>
      </c>
      <c r="V37" s="60">
        <v>1.3771909948025745</v>
      </c>
      <c r="W37" s="60">
        <v>1.3999890014587379</v>
      </c>
      <c r="X37" s="60">
        <v>1.4203255752867199</v>
      </c>
      <c r="Y37" s="60">
        <v>1.4381267427637054</v>
      </c>
      <c r="Z37" s="60">
        <v>1.4533949589435853</v>
      </c>
      <c r="AA37" s="60">
        <v>1.4661997351045593</v>
      </c>
      <c r="AB37" s="60">
        <v>1.4766648732127043</v>
      </c>
      <c r="AC37" s="60">
        <v>1.484954274958949</v>
      </c>
      <c r="AD37" s="60">
        <v>1.4912580003160585</v>
      </c>
      <c r="AE37" s="60">
        <v>1.4957797644037343</v>
      </c>
      <c r="AF37" s="60">
        <v>1.4987265459923891</v>
      </c>
      <c r="AG37" s="60">
        <v>1.5003005441340327</v>
      </c>
      <c r="AH37" s="60">
        <v>1.5006934068233313</v>
      </c>
      <c r="AI37" s="60">
        <f t="shared" si="1"/>
        <v>1.5006934068233313</v>
      </c>
      <c r="AJ37" s="13">
        <v>255</v>
      </c>
    </row>
    <row r="38" spans="1:36" ht="9.9499999999999993" customHeight="1" x14ac:dyDescent="0.2">
      <c r="A38" s="60">
        <f t="shared" si="0"/>
        <v>0.91362119796773977</v>
      </c>
      <c r="B38" s="60">
        <v>0.91362119796773977</v>
      </c>
      <c r="C38" s="60">
        <v>0.9139506238363827</v>
      </c>
      <c r="D38" s="60">
        <v>0.9145002598877342</v>
      </c>
      <c r="E38" s="60">
        <v>0.9151608016655336</v>
      </c>
      <c r="F38" s="60">
        <v>0.9156017559962295</v>
      </c>
      <c r="G38" s="60">
        <v>0.91781364768290108</v>
      </c>
      <c r="H38" s="60">
        <v>0.92003741082603163</v>
      </c>
      <c r="I38" s="60">
        <v>0.92227305036191831</v>
      </c>
      <c r="J38" s="60">
        <v>0.92339532479127628</v>
      </c>
      <c r="K38" s="60">
        <v>0.92452056928972992</v>
      </c>
      <c r="L38" s="60">
        <v>0.93593631851607351</v>
      </c>
      <c r="M38" s="60">
        <v>0.95965446461208892</v>
      </c>
      <c r="N38" s="60">
        <v>1.010521680284135</v>
      </c>
      <c r="O38" s="60">
        <v>1.1233872147866946</v>
      </c>
      <c r="P38" s="60">
        <v>1.1825700039888221</v>
      </c>
      <c r="Q38" s="60">
        <v>1.2119452173661442</v>
      </c>
      <c r="R38" s="60">
        <v>1.2407609387996932</v>
      </c>
      <c r="S38" s="60">
        <v>1.2686956238501739</v>
      </c>
      <c r="T38" s="60">
        <v>1.2954369873878895</v>
      </c>
      <c r="U38" s="60">
        <v>1.3206972950763065</v>
      </c>
      <c r="V38" s="60">
        <v>1.344227603593158</v>
      </c>
      <c r="W38" s="60">
        <v>1.3658293282472658</v>
      </c>
      <c r="X38" s="60">
        <v>1.3853618569499113</v>
      </c>
      <c r="Y38" s="60">
        <v>1.4027455352120333</v>
      </c>
      <c r="Z38" s="60">
        <v>1.4179600630858356</v>
      </c>
      <c r="AA38" s="60">
        <v>1.4310389883171852</v>
      </c>
      <c r="AB38" s="60">
        <v>1.442061407995787</v>
      </c>
      <c r="AC38" s="60">
        <v>1.4511421460105196</v>
      </c>
      <c r="AD38" s="60">
        <v>1.4584215844636894</v>
      </c>
      <c r="AE38" s="60">
        <v>1.4640560775278713</v>
      </c>
      <c r="AF38" s="60">
        <v>1.4682095626124934</v>
      </c>
      <c r="AG38" s="60">
        <v>1.4710466838489933</v>
      </c>
      <c r="AH38" s="60">
        <v>1.4727275022709008</v>
      </c>
      <c r="AI38" s="60">
        <f t="shared" si="1"/>
        <v>1.4727275022709008</v>
      </c>
      <c r="AJ38" s="13">
        <v>260</v>
      </c>
    </row>
    <row r="39" spans="1:36" ht="9.9499999999999993" customHeight="1" x14ac:dyDescent="0.2">
      <c r="A39" s="60">
        <f t="shared" si="0"/>
        <v>0.91408759811710638</v>
      </c>
      <c r="B39" s="60">
        <v>0.91408759811710638</v>
      </c>
      <c r="C39" s="60">
        <v>0.91440187771625558</v>
      </c>
      <c r="D39" s="60">
        <v>0.91492619723630486</v>
      </c>
      <c r="E39" s="60">
        <v>0.91555623890980098</v>
      </c>
      <c r="F39" s="60">
        <v>0.91597678679897099</v>
      </c>
      <c r="G39" s="60">
        <v>0.91808576624018468</v>
      </c>
      <c r="H39" s="60">
        <v>0.92020514174211476</v>
      </c>
      <c r="I39" s="60">
        <v>0.92233490655194639</v>
      </c>
      <c r="J39" s="60">
        <v>0.92340368235445891</v>
      </c>
      <c r="K39" s="60">
        <v>0.92447505214843595</v>
      </c>
      <c r="L39" s="60">
        <v>0.93533106554242773</v>
      </c>
      <c r="M39" s="60">
        <v>0.95781132206277075</v>
      </c>
      <c r="N39" s="60">
        <v>1.0057034730083116</v>
      </c>
      <c r="O39" s="60">
        <v>1.110692876423427</v>
      </c>
      <c r="P39" s="60">
        <v>1.1652900325238209</v>
      </c>
      <c r="Q39" s="60">
        <v>1.1923494754581752</v>
      </c>
      <c r="R39" s="60">
        <v>1.2189071996717491</v>
      </c>
      <c r="S39" s="60">
        <v>1.2447004948849463</v>
      </c>
      <c r="T39" s="60">
        <v>1.2694745114601789</v>
      </c>
      <c r="U39" s="60">
        <v>1.2929933219406526</v>
      </c>
      <c r="V39" s="60">
        <v>1.3150502595503213</v>
      </c>
      <c r="W39" s="60">
        <v>1.3354764918506286</v>
      </c>
      <c r="X39" s="60">
        <v>1.3541469776645436</v>
      </c>
      <c r="Y39" s="60">
        <v>1.3709833051740188</v>
      </c>
      <c r="Z39" s="60">
        <v>1.3859533407545734</v>
      </c>
      <c r="AA39" s="60">
        <v>1.3990680316866542</v>
      </c>
      <c r="AB39" s="60">
        <v>1.4103760141154549</v>
      </c>
      <c r="AC39" s="60">
        <v>1.4199568326806924</v>
      </c>
      <c r="AD39" s="60">
        <v>1.427913579498395</v>
      </c>
      <c r="AE39" s="60">
        <v>1.4343656438143577</v>
      </c>
      <c r="AF39" s="60">
        <v>1.4394420825027792</v>
      </c>
      <c r="AG39" s="60">
        <v>1.4432759259641426</v>
      </c>
      <c r="AH39" s="60">
        <v>1.4459995599279654</v>
      </c>
      <c r="AI39" s="60">
        <f t="shared" si="1"/>
        <v>1.4459995599279654</v>
      </c>
      <c r="AJ39" s="13">
        <v>265</v>
      </c>
    </row>
    <row r="40" spans="1:36" ht="9.9499999999999993" customHeight="1" x14ac:dyDescent="0.2">
      <c r="A40" s="60">
        <f t="shared" si="0"/>
        <v>0.91459307525317457</v>
      </c>
      <c r="B40" s="60">
        <v>0.91459307525317457</v>
      </c>
      <c r="C40" s="60">
        <v>0.91489323132459477</v>
      </c>
      <c r="D40" s="60">
        <v>0.91539394804364549</v>
      </c>
      <c r="E40" s="60">
        <v>0.91599556126372594</v>
      </c>
      <c r="F40" s="60">
        <v>0.91639709304722072</v>
      </c>
      <c r="G40" s="60">
        <v>0.91841022367231362</v>
      </c>
      <c r="H40" s="60">
        <v>0.92043246348177499</v>
      </c>
      <c r="I40" s="60">
        <v>0.92246379713287907</v>
      </c>
      <c r="J40" s="60">
        <v>0.92348286891892339</v>
      </c>
      <c r="K40" s="60">
        <v>0.92450420768750741</v>
      </c>
      <c r="L40" s="60">
        <v>0.93484170619862905</v>
      </c>
      <c r="M40" s="60">
        <v>0.95618289156283531</v>
      </c>
      <c r="N40" s="60">
        <v>1.0013729758155727</v>
      </c>
      <c r="O40" s="60">
        <v>1.0993675332566533</v>
      </c>
      <c r="P40" s="60">
        <v>1.149947206192252</v>
      </c>
      <c r="Q40" s="60">
        <v>1.174980290075673</v>
      </c>
      <c r="R40" s="60">
        <v>1.1995572101273075</v>
      </c>
      <c r="S40" s="60">
        <v>1.2234610557821293</v>
      </c>
      <c r="T40" s="60">
        <v>1.2464818117672551</v>
      </c>
      <c r="U40" s="60">
        <v>1.2684244864473297</v>
      </c>
      <c r="V40" s="60">
        <v>1.289116709233123</v>
      </c>
      <c r="W40" s="60">
        <v>1.3084151174892471</v>
      </c>
      <c r="X40" s="60">
        <v>1.3262099648795147</v>
      </c>
      <c r="Y40" s="60">
        <v>1.3424275908930419</v>
      </c>
      <c r="Z40" s="60">
        <v>1.3570306551593174</v>
      </c>
      <c r="AA40" s="60">
        <v>1.3700163051761738</v>
      </c>
      <c r="AB40" s="60">
        <v>1.3814126600783103</v>
      </c>
      <c r="AC40" s="60">
        <v>1.391274121854424</v>
      </c>
      <c r="AD40" s="60">
        <v>1.3996760599435312</v>
      </c>
      <c r="AE40" s="60">
        <v>1.4067093689701617</v>
      </c>
      <c r="AF40" s="60">
        <v>1.4124752998440369</v>
      </c>
      <c r="AG40" s="60">
        <v>1.4170808419482588</v>
      </c>
      <c r="AH40" s="60">
        <v>1.420634814065727</v>
      </c>
      <c r="AI40" s="60">
        <f t="shared" si="1"/>
        <v>1.420634814065727</v>
      </c>
      <c r="AJ40" s="13">
        <v>270</v>
      </c>
    </row>
    <row r="41" spans="1:36" ht="9.9499999999999993" customHeight="1" x14ac:dyDescent="0.2">
      <c r="A41" s="60">
        <f t="shared" si="0"/>
        <v>0.91513824295528168</v>
      </c>
      <c r="B41" s="60">
        <v>0.91513824295528168</v>
      </c>
      <c r="C41" s="60">
        <v>0.91542520623949752</v>
      </c>
      <c r="D41" s="60">
        <v>0.91590387928261008</v>
      </c>
      <c r="E41" s="60">
        <v>0.91647894806549346</v>
      </c>
      <c r="F41" s="60">
        <v>0.9168627277030309</v>
      </c>
      <c r="G41" s="60">
        <v>0.91878642541800781</v>
      </c>
      <c r="H41" s="60">
        <v>0.92071810738067816</v>
      </c>
      <c r="I41" s="60">
        <v>0.92265775205712242</v>
      </c>
      <c r="J41" s="60">
        <v>0.92363055329416266</v>
      </c>
      <c r="K41" s="60">
        <v>0.92460533648700383</v>
      </c>
      <c r="L41" s="60">
        <v>0.93446144901060346</v>
      </c>
      <c r="M41" s="60">
        <v>0.95475167109946868</v>
      </c>
      <c r="N41" s="60">
        <v>0.99747847324686201</v>
      </c>
      <c r="O41" s="60">
        <v>1.0892253860097167</v>
      </c>
      <c r="P41" s="60">
        <v>1.1362614696299087</v>
      </c>
      <c r="Q41" s="60">
        <v>1.1595097760463517</v>
      </c>
      <c r="R41" s="60">
        <v>1.1823387935895759</v>
      </c>
      <c r="S41" s="60">
        <v>1.204567725094299</v>
      </c>
      <c r="T41" s="60">
        <v>1.2260219447207872</v>
      </c>
      <c r="U41" s="60">
        <v>1.2465390570430568</v>
      </c>
      <c r="V41" s="60">
        <v>1.2659745458502092</v>
      </c>
      <c r="W41" s="60">
        <v>1.2842065629086346</v>
      </c>
      <c r="X41" s="60">
        <v>1.3011394758412158</v>
      </c>
      <c r="Y41" s="60">
        <v>1.3167059214568242</v>
      </c>
      <c r="Z41" s="60">
        <v>1.3308672749767725</v>
      </c>
      <c r="AA41" s="60">
        <v>1.3436126161160722</v>
      </c>
      <c r="AB41" s="60">
        <v>1.3549564189311056</v>
      </c>
      <c r="AC41" s="60">
        <v>1.3649352909033043</v>
      </c>
      <c r="AD41" s="60">
        <v>1.3736041282215143</v>
      </c>
      <c r="AE41" s="60">
        <v>1.3810320423840916</v>
      </c>
      <c r="AF41" s="60">
        <v>1.3872983614586805</v>
      </c>
      <c r="AG41" s="60">
        <v>1.392488935153475</v>
      </c>
      <c r="AH41" s="60">
        <v>1.3966928929018734</v>
      </c>
      <c r="AI41" s="60">
        <f t="shared" si="1"/>
        <v>1.3966928929018734</v>
      </c>
      <c r="AJ41" s="13">
        <v>275</v>
      </c>
    </row>
    <row r="42" spans="1:36" ht="9.9499999999999993" customHeight="1" x14ac:dyDescent="0.2">
      <c r="A42" s="60">
        <f t="shared" si="0"/>
        <v>0.91572357042949126</v>
      </c>
      <c r="B42" s="60">
        <v>0.91572357042949126</v>
      </c>
      <c r="C42" s="60">
        <v>0.91599818990270276</v>
      </c>
      <c r="D42" s="60">
        <v>0.91645624104670476</v>
      </c>
      <c r="E42" s="60">
        <v>0.91700648280778807</v>
      </c>
      <c r="F42" s="60">
        <v>0.91737366210462035</v>
      </c>
      <c r="G42" s="60">
        <v>0.91921376883518957</v>
      </c>
      <c r="H42" s="60">
        <v>0.92106087440720374</v>
      </c>
      <c r="I42" s="60">
        <v>0.92291495295016746</v>
      </c>
      <c r="J42" s="60">
        <v>0.92384459865532409</v>
      </c>
      <c r="K42" s="60">
        <v>0.92477597732712391</v>
      </c>
      <c r="L42" s="60">
        <v>0.93418424646980225</v>
      </c>
      <c r="M42" s="60">
        <v>0.95350235182233511</v>
      </c>
      <c r="N42" s="60">
        <v>0.99397579508357914</v>
      </c>
      <c r="O42" s="60">
        <v>1.0801134297057784</v>
      </c>
      <c r="P42" s="60">
        <v>1.1240046382986788</v>
      </c>
      <c r="Q42" s="60">
        <v>1.1456714389354719</v>
      </c>
      <c r="R42" s="60">
        <v>1.1669495173099027</v>
      </c>
      <c r="S42" s="60">
        <v>1.1876868882774738</v>
      </c>
      <c r="T42" s="60">
        <v>1.2077371554306142</v>
      </c>
      <c r="U42" s="60">
        <v>1.2269640867423994</v>
      </c>
      <c r="V42" s="60">
        <v>1.2452458612845176</v>
      </c>
      <c r="W42" s="60">
        <v>1.2624786853076089</v>
      </c>
      <c r="X42" s="60">
        <v>1.2785795206910211</v>
      </c>
      <c r="Y42" s="60">
        <v>1.2934877489627079</v>
      </c>
      <c r="Z42" s="60">
        <v>1.3071656981286588</v>
      </c>
      <c r="AA42" s="60">
        <v>1.3195980701846586</v>
      </c>
      <c r="AB42" s="60">
        <v>1.3307904060369038</v>
      </c>
      <c r="AC42" s="60">
        <v>1.3407667968677337</v>
      </c>
      <c r="AD42" s="60">
        <v>1.3495670888627012</v>
      </c>
      <c r="AE42" s="60">
        <v>1.3572438315250235</v>
      </c>
      <c r="AF42" s="60">
        <v>1.3638591947399621</v>
      </c>
      <c r="AG42" s="60">
        <v>1.3694820360928681</v>
      </c>
      <c r="AH42" s="60">
        <v>1.3741852481040031</v>
      </c>
      <c r="AI42" s="60">
        <f t="shared" si="1"/>
        <v>1.3741852481040031</v>
      </c>
      <c r="AJ42" s="13">
        <v>280</v>
      </c>
    </row>
    <row r="43" spans="1:36" ht="9.9499999999999993" customHeight="1" x14ac:dyDescent="0.2">
      <c r="A43" s="60">
        <f t="shared" si="0"/>
        <v>0.91634938336020444</v>
      </c>
      <c r="B43" s="60">
        <v>0.91634938336020444</v>
      </c>
      <c r="C43" s="60">
        <v>0.91661243514082824</v>
      </c>
      <c r="D43" s="60">
        <v>0.91705116382082541</v>
      </c>
      <c r="E43" s="60">
        <v>0.91757814765246337</v>
      </c>
      <c r="F43" s="60">
        <v>0.91792977860963587</v>
      </c>
      <c r="G43" s="60">
        <v>0.91969162606849453</v>
      </c>
      <c r="H43" s="60">
        <v>0.92145960753071021</v>
      </c>
      <c r="I43" s="60">
        <v>0.92323369422019497</v>
      </c>
      <c r="J43" s="60">
        <v>0.9241230177271591</v>
      </c>
      <c r="K43" s="60">
        <v>0.92501385624264754</v>
      </c>
      <c r="L43" s="60">
        <v>0.9340046704846322</v>
      </c>
      <c r="M43" s="60">
        <v>0.95242146189005916</v>
      </c>
      <c r="N43" s="60">
        <v>0.99082697093377226</v>
      </c>
      <c r="O43" s="60">
        <v>1.071904529508743</v>
      </c>
      <c r="P43" s="60">
        <v>1.1129889990185504</v>
      </c>
      <c r="Q43" s="60">
        <v>1.1332466089361382</v>
      </c>
      <c r="R43" s="60">
        <v>1.1531413747111878</v>
      </c>
      <c r="S43" s="60">
        <v>1.1725445462553679</v>
      </c>
      <c r="T43" s="60">
        <v>1.1913324683122626</v>
      </c>
      <c r="U43" s="60">
        <v>1.2093900766447119</v>
      </c>
      <c r="V43" s="60">
        <v>1.2266141238077235</v>
      </c>
      <c r="W43" s="60">
        <v>1.242915929601262</v>
      </c>
      <c r="X43" s="60">
        <v>1.2582234816249696</v>
      </c>
      <c r="Y43" s="60">
        <v>1.2724827634178364</v>
      </c>
      <c r="Z43" s="60">
        <v>1.2856582549403115</v>
      </c>
      <c r="AA43" s="60">
        <v>1.2977326227365056</v>
      </c>
      <c r="AB43" s="60">
        <v>1.3087056840356941</v>
      </c>
      <c r="AC43" s="60">
        <v>1.3185927809227154</v>
      </c>
      <c r="AD43" s="60">
        <v>1.3274227317305303</v>
      </c>
      <c r="AE43" s="60">
        <v>1.3352355356224637</v>
      </c>
      <c r="AF43" s="60">
        <v>1.342079995573789</v>
      </c>
      <c r="AG43" s="60">
        <v>1.3480113999387169</v>
      </c>
      <c r="AH43" s="60">
        <v>1.3530893698251865</v>
      </c>
      <c r="AI43" s="60">
        <f t="shared" si="1"/>
        <v>1.3530893698251865</v>
      </c>
      <c r="AJ43" s="13">
        <v>285</v>
      </c>
    </row>
    <row r="44" spans="1:36" ht="9.9499999999999993" customHeight="1" x14ac:dyDescent="0.2">
      <c r="A44" s="60">
        <f t="shared" si="0"/>
        <v>0.91701586624785281</v>
      </c>
      <c r="B44" s="60">
        <v>0.91701586624785281</v>
      </c>
      <c r="C44" s="60">
        <v>0.91726806136621664</v>
      </c>
      <c r="D44" s="60">
        <v>0.91768865776029873</v>
      </c>
      <c r="E44" s="60">
        <v>0.91819382035829644</v>
      </c>
      <c r="F44" s="60">
        <v>0.91853086592770561</v>
      </c>
      <c r="G44" s="60">
        <v>0.92021933106587539</v>
      </c>
      <c r="H44" s="60">
        <v>0.92191316983604421</v>
      </c>
      <c r="I44" s="60">
        <v>0.92361235165701339</v>
      </c>
      <c r="J44" s="60">
        <v>0.92446393638637281</v>
      </c>
      <c r="K44" s="60">
        <v>0.92531684496473088</v>
      </c>
      <c r="L44" s="60">
        <v>0.93391780937416002</v>
      </c>
      <c r="M44" s="60">
        <v>0.95149707407263928</v>
      </c>
      <c r="N44" s="60">
        <v>0.9879991574111654</v>
      </c>
      <c r="O44" s="60">
        <v>1.0644921685589104</v>
      </c>
      <c r="P44" s="60">
        <v>1.1030587617800285</v>
      </c>
      <c r="Q44" s="60">
        <v>1.1220542715121919</v>
      </c>
      <c r="R44" s="60">
        <v>1.1407092534933692</v>
      </c>
      <c r="S44" s="60">
        <v>1.1589138802579495</v>
      </c>
      <c r="T44" s="60">
        <v>1.1765629857709821</v>
      </c>
      <c r="U44" s="60">
        <v>1.1935587652469679</v>
      </c>
      <c r="V44" s="60">
        <v>1.2098132489004338</v>
      </c>
      <c r="W44" s="60">
        <v>1.2252504089391272</v>
      </c>
      <c r="X44" s="60">
        <v>1.2398077804703083</v>
      </c>
      <c r="Y44" s="60">
        <v>1.2534375117343672</v>
      </c>
      <c r="Z44" s="60">
        <v>1.2661068034528917</v>
      </c>
      <c r="AA44" s="60">
        <v>1.277797745293612</v>
      </c>
      <c r="AB44" s="60">
        <v>1.2885066029191259</v>
      </c>
      <c r="AC44" s="60">
        <v>1.2982426458658738</v>
      </c>
      <c r="AD44" s="60">
        <v>1.3070266305491895</v>
      </c>
      <c r="AE44" s="60">
        <v>1.3148890624944412</v>
      </c>
      <c r="AF44" s="60">
        <v>1.3218683584114157</v>
      </c>
      <c r="AG44" s="60">
        <v>1.3280090147713288</v>
      </c>
      <c r="AH44" s="60">
        <v>1.3333598688790689</v>
      </c>
      <c r="AI44" s="60">
        <f t="shared" si="1"/>
        <v>1.3333598688790689</v>
      </c>
      <c r="AJ44" s="13">
        <v>290</v>
      </c>
    </row>
    <row r="45" spans="1:36" ht="9.9499999999999993" customHeight="1" x14ac:dyDescent="0.2">
      <c r="A45" s="60">
        <f t="shared" si="0"/>
        <v>0.91772306603350084</v>
      </c>
      <c r="B45" s="60">
        <v>0.91772306603350084</v>
      </c>
      <c r="C45" s="60">
        <v>0.9179650572276804</v>
      </c>
      <c r="D45" s="60">
        <v>0.91836861369641565</v>
      </c>
      <c r="E45" s="60">
        <v>0.91885327327538213</v>
      </c>
      <c r="F45" s="60">
        <v>0.919176616751475</v>
      </c>
      <c r="G45" s="60">
        <v>0.92079617011562742</v>
      </c>
      <c r="H45" s="60">
        <v>0.92242042748949249</v>
      </c>
      <c r="I45" s="60">
        <v>0.92404935732904525</v>
      </c>
      <c r="J45" s="60">
        <v>0.92486556433074518</v>
      </c>
      <c r="K45" s="60">
        <v>0.92568292722961643</v>
      </c>
      <c r="L45" s="60">
        <v>0.93391918265962093</v>
      </c>
      <c r="M45" s="60">
        <v>0.95071856478632177</v>
      </c>
      <c r="N45" s="60">
        <v>0.98546377635638904</v>
      </c>
      <c r="O45" s="60">
        <v>1.0577864165364945</v>
      </c>
      <c r="P45" s="60">
        <v>1.0940835699082745</v>
      </c>
      <c r="Q45" s="60">
        <v>1.111943353597538</v>
      </c>
      <c r="R45" s="60">
        <v>1.1294821619930717</v>
      </c>
      <c r="S45" s="60">
        <v>1.1466057174750997</v>
      </c>
      <c r="T45" s="60">
        <v>1.16322401552632</v>
      </c>
      <c r="U45" s="60">
        <v>1.1792534295522992</v>
      </c>
      <c r="V45" s="60">
        <v>1.1946186245938217</v>
      </c>
      <c r="W45" s="60">
        <v>1.2092541824153158</v>
      </c>
      <c r="X45" s="60">
        <v>1.2231058559730104</v>
      </c>
      <c r="Y45" s="60">
        <v>1.2361313950549824</v>
      </c>
      <c r="Z45" s="60">
        <v>1.2483009147243957</v>
      </c>
      <c r="AA45" s="60">
        <v>1.2595968106525999</v>
      </c>
      <c r="AB45" s="60">
        <v>1.2700132565009166</v>
      </c>
      <c r="AC45" s="60">
        <v>1.2795553444567502</v>
      </c>
      <c r="AD45" s="60">
        <v>1.288237948106437</v>
      </c>
      <c r="AE45" s="60">
        <v>1.296084395735664</v>
      </c>
      <c r="AF45" s="60">
        <v>1.3031250421034495</v>
      </c>
      <c r="AG45" s="60">
        <v>1.3093958191920299</v>
      </c>
      <c r="AH45" s="60">
        <v>1.3149368336044052</v>
      </c>
      <c r="AI45" s="60">
        <f t="shared" si="1"/>
        <v>1.3149368336044052</v>
      </c>
      <c r="AJ45" s="13">
        <v>295</v>
      </c>
    </row>
    <row r="46" spans="1:36" ht="9.9499999999999993" customHeight="1" x14ac:dyDescent="0.2">
      <c r="A46" s="60">
        <f t="shared" si="0"/>
        <v>0.91847089681808658</v>
      </c>
      <c r="B46" s="60">
        <v>0.91847089681808658</v>
      </c>
      <c r="C46" s="60">
        <v>0.91870328449344152</v>
      </c>
      <c r="D46" s="60">
        <v>0.91909080560736989</v>
      </c>
      <c r="E46" s="60">
        <v>0.91955617409141199</v>
      </c>
      <c r="F46" s="60">
        <v>0.91986662733457791</v>
      </c>
      <c r="G46" s="60">
        <v>0.92142137535576496</v>
      </c>
      <c r="H46" s="60">
        <v>0.92298023678967056</v>
      </c>
      <c r="I46" s="60">
        <v>0.92454317976976352</v>
      </c>
      <c r="J46" s="60">
        <v>0.92532617167600806</v>
      </c>
      <c r="K46" s="60">
        <v>0.92611017167829779</v>
      </c>
      <c r="L46" s="60">
        <v>0.93400467059758008</v>
      </c>
      <c r="M46" s="60">
        <v>0.95007641484002081</v>
      </c>
      <c r="N46" s="60">
        <v>0.98319581790000898</v>
      </c>
      <c r="O46" s="60">
        <v>1.0517108015781431</v>
      </c>
      <c r="P46" s="60">
        <v>1.0859535166897776</v>
      </c>
      <c r="Q46" s="60">
        <v>1.1027868078321335</v>
      </c>
      <c r="R46" s="60">
        <v>1.1193164869735419</v>
      </c>
      <c r="S46" s="60">
        <v>1.135461160528026</v>
      </c>
      <c r="T46" s="60">
        <v>1.1511433559620607</v>
      </c>
      <c r="U46" s="60">
        <v>1.1662911768815043</v>
      </c>
      <c r="V46" s="60">
        <v>1.1808397953485907</v>
      </c>
      <c r="W46" s="60">
        <v>1.1947327132999479</v>
      </c>
      <c r="X46" s="60">
        <v>1.2079227364986067</v>
      </c>
      <c r="Y46" s="60">
        <v>1.2203726211249164</v>
      </c>
      <c r="Z46" s="60">
        <v>1.2320553735519706</v>
      </c>
      <c r="AA46" s="60">
        <v>1.2429542059919274</v>
      </c>
      <c r="AB46" s="60">
        <v>1.2530621720931587</v>
      </c>
      <c r="AC46" s="60">
        <v>1.2623815248529302</v>
      </c>
      <c r="AD46" s="60">
        <v>1.2709228525543141</v>
      </c>
      <c r="AE46" s="60">
        <v>1.2787040558375145</v>
      </c>
      <c r="AF46" s="60">
        <v>1.2857492303947848</v>
      </c>
      <c r="AG46" s="60">
        <v>1.2920875158655685</v>
      </c>
      <c r="AH46" s="60">
        <v>1.2977519635918562</v>
      </c>
      <c r="AI46" s="60">
        <f t="shared" si="1"/>
        <v>1.2977519635918562</v>
      </c>
      <c r="AJ46" s="13">
        <v>300</v>
      </c>
    </row>
    <row r="47" spans="1:36" ht="9.9499999999999993" customHeight="1" x14ac:dyDescent="0.2">
      <c r="A47" s="60">
        <f t="shared" si="0"/>
        <v>0.91925914549343724</v>
      </c>
      <c r="B47" s="60">
        <v>0.91925914549343724</v>
      </c>
      <c r="C47" s="60">
        <v>0.91948248296217894</v>
      </c>
      <c r="D47" s="60">
        <v>0.91985489431438816</v>
      </c>
      <c r="E47" s="60">
        <v>0.92030208804496705</v>
      </c>
      <c r="F47" s="60">
        <v>0.9206003987011161</v>
      </c>
      <c r="G47" s="60">
        <v>0.92209412077773933</v>
      </c>
      <c r="H47" s="60">
        <v>0.92359143464538385</v>
      </c>
      <c r="I47" s="60">
        <v>0.9250923085973054</v>
      </c>
      <c r="J47" s="60">
        <v>0.92584407051776318</v>
      </c>
      <c r="K47" s="60">
        <v>0.92659671027290103</v>
      </c>
      <c r="L47" s="60">
        <v>0.93417045594859094</v>
      </c>
      <c r="M47" s="60">
        <v>0.9495620441729391</v>
      </c>
      <c r="N47" s="60">
        <v>0.98117327333383397</v>
      </c>
      <c r="O47" s="60">
        <v>1.0461998589844959</v>
      </c>
      <c r="P47" s="60">
        <v>1.078575278590916</v>
      </c>
      <c r="Q47" s="60">
        <v>1.0944770292528387</v>
      </c>
      <c r="R47" s="60">
        <v>1.1100907632767263</v>
      </c>
      <c r="S47" s="60">
        <v>1.1253458434051802</v>
      </c>
      <c r="T47" s="60">
        <v>1.1401752323159937</v>
      </c>
      <c r="U47" s="60">
        <v>1.1545168041442733</v>
      </c>
      <c r="V47" s="60">
        <v>1.1683145166442241</v>
      </c>
      <c r="W47" s="60">
        <v>1.1815193960908175</v>
      </c>
      <c r="X47" s="60">
        <v>1.1940902958073614</v>
      </c>
      <c r="Y47" s="60">
        <v>1.2059944011363721</v>
      </c>
      <c r="Z47" s="60">
        <v>1.2172074679202274</v>
      </c>
      <c r="AA47" s="60">
        <v>1.2277137968624852</v>
      </c>
      <c r="AB47" s="60">
        <v>1.2375059609909913</v>
      </c>
      <c r="AC47" s="60">
        <v>1.2465843163469392</v>
      </c>
      <c r="AD47" s="60">
        <v>1.2549563357694207</v>
      </c>
      <c r="AE47" s="60">
        <v>1.2626358115010206</v>
      </c>
      <c r="AF47" s="60">
        <v>1.2696419741363332</v>
      </c>
      <c r="AG47" s="60">
        <v>1.2759985735249024</v>
      </c>
      <c r="AH47" s="60">
        <v>1.2817329623684455</v>
      </c>
      <c r="AI47" s="60">
        <f t="shared" si="1"/>
        <v>1.2817329623684455</v>
      </c>
      <c r="AJ47" s="13">
        <v>305</v>
      </c>
    </row>
    <row r="48" spans="1:36" ht="9.9499999999999993" customHeight="1" x14ac:dyDescent="0.2">
      <c r="A48" s="60">
        <f t="shared" si="0"/>
        <v>0.92008747811350888</v>
      </c>
      <c r="B48" s="60">
        <v>0.92008747811350888</v>
      </c>
      <c r="C48" s="60">
        <v>0.92030227621290128</v>
      </c>
      <c r="D48" s="60">
        <v>0.92066043218360194</v>
      </c>
      <c r="E48" s="60">
        <v>0.92109048134917426</v>
      </c>
      <c r="F48" s="60">
        <v>0.92137733920455667</v>
      </c>
      <c r="G48" s="60">
        <v>0.92281352030742125</v>
      </c>
      <c r="H48" s="60">
        <v>0.92425283191491703</v>
      </c>
      <c r="I48" s="60">
        <v>0.92569524283874915</v>
      </c>
      <c r="J48" s="60">
        <v>0.92641760064272471</v>
      </c>
      <c r="K48" s="60">
        <v>0.9271407213229127</v>
      </c>
      <c r="L48" s="60">
        <v>0.93441297591728945</v>
      </c>
      <c r="M48" s="60">
        <v>0.9491676744129256</v>
      </c>
      <c r="N48" s="60">
        <v>0.97937667097248404</v>
      </c>
      <c r="O48" s="60">
        <v>1.0411971927552752</v>
      </c>
      <c r="P48" s="60">
        <v>1.071869085835002</v>
      </c>
      <c r="Q48" s="60">
        <v>1.0869222705401023</v>
      </c>
      <c r="R48" s="60">
        <v>1.1017015800065157</v>
      </c>
      <c r="S48" s="60">
        <v>1.1161454196504796</v>
      </c>
      <c r="T48" s="60">
        <v>1.1301955010846902</v>
      </c>
      <c r="U48" s="60">
        <v>1.1437978886164586</v>
      </c>
      <c r="V48" s="60">
        <v>1.1569039259710343</v>
      </c>
      <c r="W48" s="60">
        <v>1.1694710094072613</v>
      </c>
      <c r="X48" s="60">
        <v>1.1814631801737363</v>
      </c>
      <c r="Y48" s="60">
        <v>1.1928515179522201</v>
      </c>
      <c r="Z48" s="60">
        <v>1.2036143270308777</v>
      </c>
      <c r="AA48" s="60">
        <v>1.2137371176642648</v>
      </c>
      <c r="AB48" s="60">
        <v>1.2232123954725609</v>
      </c>
      <c r="AC48" s="60">
        <v>1.2320392808638527</v>
      </c>
      <c r="AD48" s="60">
        <v>1.2402229875358506</v>
      </c>
      <c r="AE48" s="60">
        <v>1.2477741936105295</v>
      </c>
      <c r="AF48" s="60">
        <v>1.2547083407020443</v>
      </c>
      <c r="AG48" s="60">
        <v>1.2610448953757065</v>
      </c>
      <c r="AH48" s="60">
        <v>1.2668066044540645</v>
      </c>
      <c r="AI48" s="60">
        <f t="shared" si="1"/>
        <v>1.2668066044540645</v>
      </c>
      <c r="AJ48" s="13">
        <v>310</v>
      </c>
    </row>
    <row r="49" spans="1:36" ht="9.9499999999999993" customHeight="1" x14ac:dyDescent="0.2">
      <c r="A49" s="60">
        <f t="shared" si="0"/>
        <v>0.92095544684690034</v>
      </c>
      <c r="B49" s="60">
        <v>0.92095544684690034</v>
      </c>
      <c r="C49" s="60">
        <v>0.92116217801985623</v>
      </c>
      <c r="D49" s="60">
        <v>0.92150686863466058</v>
      </c>
      <c r="E49" s="60">
        <v>0.92192072559564675</v>
      </c>
      <c r="F49" s="60">
        <v>0.92219676818476493</v>
      </c>
      <c r="G49" s="60">
        <v>0.92357862759986453</v>
      </c>
      <c r="H49" s="60">
        <v>0.9249632091203116</v>
      </c>
      <c r="I49" s="60">
        <v>0.92635048233822048</v>
      </c>
      <c r="J49" s="60">
        <v>0.92704511869679018</v>
      </c>
      <c r="K49" s="60">
        <v>0.92774041635397753</v>
      </c>
      <c r="L49" s="60">
        <v>0.93472888255728936</v>
      </c>
      <c r="M49" s="60">
        <v>0.94888621429462905</v>
      </c>
      <c r="N49" s="60">
        <v>0.97778869429499493</v>
      </c>
      <c r="O49" s="60">
        <v>1.0366539297850106</v>
      </c>
      <c r="P49" s="60">
        <v>1.0657663277732343</v>
      </c>
      <c r="Q49" s="60">
        <v>1.0800438134694468</v>
      </c>
      <c r="R49" s="60">
        <v>1.0940603493061181</v>
      </c>
      <c r="S49" s="60">
        <v>1.1077619915611336</v>
      </c>
      <c r="T49" s="60">
        <v>1.1210978337281965</v>
      </c>
      <c r="U49" s="60">
        <v>1.1340208467499353</v>
      </c>
      <c r="V49" s="60">
        <v>1.1464886160030701</v>
      </c>
      <c r="W49" s="60">
        <v>1.1584639510726518</v>
      </c>
      <c r="X49" s="60">
        <v>1.1699153496509584</v>
      </c>
      <c r="Y49" s="60">
        <v>1.18081730334248</v>
      </c>
      <c r="Z49" s="60">
        <v>1.1911504404177642</v>
      </c>
      <c r="AA49" s="60">
        <v>1.2009015081512433</v>
      </c>
      <c r="AB49" s="60">
        <v>1.2100632047168602</v>
      </c>
      <c r="AC49" s="60">
        <v>1.2186338771010472</v>
      </c>
      <c r="AD49" s="60">
        <v>1.2266171066069587</v>
      </c>
      <c r="AE49" s="60">
        <v>1.234021206910022</v>
      </c>
      <c r="AF49" s="60">
        <v>1.2408586611349344</v>
      </c>
      <c r="AG49" s="60">
        <v>1.2471455241244045</v>
      </c>
      <c r="AH49" s="60">
        <v>1.2529008142085853</v>
      </c>
      <c r="AI49" s="60">
        <f t="shared" si="1"/>
        <v>1.2529008142085853</v>
      </c>
      <c r="AJ49" s="13">
        <v>315</v>
      </c>
    </row>
    <row r="50" spans="1:36" ht="9.9499999999999993" customHeight="1" x14ac:dyDescent="0.2">
      <c r="A50" s="60">
        <f t="shared" si="0"/>
        <v>0.92186249736508752</v>
      </c>
      <c r="B50" s="60">
        <v>0.92186249736508752</v>
      </c>
      <c r="C50" s="60">
        <v>0.92206159927447717</v>
      </c>
      <c r="D50" s="60">
        <v>0.92239355627695763</v>
      </c>
      <c r="E50" s="60">
        <v>0.92279210293359215</v>
      </c>
      <c r="F50" s="60">
        <v>0.92305792050032232</v>
      </c>
      <c r="G50" s="60">
        <v>0.92438843723145292</v>
      </c>
      <c r="H50" s="60">
        <v>0.92572131411807868</v>
      </c>
      <c r="I50" s="60">
        <v>0.92705652171923647</v>
      </c>
      <c r="J50" s="60">
        <v>0.92772499022123567</v>
      </c>
      <c r="K50" s="60">
        <v>0.92839403016899846</v>
      </c>
      <c r="L50" s="60">
        <v>0.93511501022476962</v>
      </c>
      <c r="M50" s="60">
        <v>0.94871116392703136</v>
      </c>
      <c r="N50" s="60">
        <v>0.97639386624173485</v>
      </c>
      <c r="O50" s="60">
        <v>1.0325274776180737</v>
      </c>
      <c r="P50" s="60">
        <v>1.0602076443466568</v>
      </c>
      <c r="Q50" s="60">
        <v>1.0737737186674983</v>
      </c>
      <c r="R50" s="60">
        <v>1.087090735795422</v>
      </c>
      <c r="S50" s="60">
        <v>1.1001112636120893</v>
      </c>
      <c r="T50" s="60">
        <v>1.1127906608683735</v>
      </c>
      <c r="U50" s="60">
        <v>1.1250877555715961</v>
      </c>
      <c r="V50" s="60">
        <v>1.1369654341530451</v>
      </c>
      <c r="W50" s="60">
        <v>1.1483911244321534</v>
      </c>
      <c r="X50" s="60">
        <v>1.1593371595747581</v>
      </c>
      <c r="Y50" s="60">
        <v>1.1697810150879324</v>
      </c>
      <c r="Z50" s="60">
        <v>1.1797054161887981</v>
      </c>
      <c r="AA50" s="60">
        <v>1.1890983183264972</v>
      </c>
      <c r="AB50" s="60">
        <v>1.1979527688596836</v>
      </c>
      <c r="AC50" s="60">
        <v>1.206266662517002</v>
      </c>
      <c r="AD50" s="60">
        <v>1.2140424069586506</v>
      </c>
      <c r="AE50" s="60">
        <v>1.2212865172714151</v>
      </c>
      <c r="AF50" s="60">
        <v>1.2280091594531863</v>
      </c>
      <c r="AG50" s="60">
        <v>1.2342236628980539</v>
      </c>
      <c r="AH50" s="60">
        <v>1.2399460207235087</v>
      </c>
      <c r="AI50" s="60">
        <f t="shared" si="1"/>
        <v>1.2399460207235087</v>
      </c>
      <c r="AJ50" s="13">
        <v>320</v>
      </c>
    </row>
    <row r="51" spans="1:36" ht="9.9499999999999993" customHeight="1" x14ac:dyDescent="0.2">
      <c r="A51" s="60">
        <f t="shared" si="0"/>
        <v>0.92280797653461943</v>
      </c>
      <c r="B51" s="60">
        <v>0.92280797653461943</v>
      </c>
      <c r="C51" s="60">
        <v>0.92299985527215833</v>
      </c>
      <c r="D51" s="60">
        <v>0.92331975751353312</v>
      </c>
      <c r="E51" s="60">
        <v>0.92370381184235228</v>
      </c>
      <c r="F51" s="60">
        <v>0.92395995173954615</v>
      </c>
      <c r="G51" s="60">
        <v>0.92524188701467003</v>
      </c>
      <c r="H51" s="60">
        <v>0.92652586136670489</v>
      </c>
      <c r="I51" s="60">
        <v>0.92781184644934411</v>
      </c>
      <c r="J51" s="60">
        <v>0.92845558405619066</v>
      </c>
      <c r="K51" s="60">
        <v>0.92909981354984639</v>
      </c>
      <c r="L51" s="60">
        <v>0.9355683489021136</v>
      </c>
      <c r="M51" s="60">
        <v>0.94863653465191144</v>
      </c>
      <c r="N51" s="60">
        <v>0.97517828701619891</v>
      </c>
      <c r="O51" s="60">
        <v>1.0287805189790411</v>
      </c>
      <c r="P51" s="60">
        <v>1.0551413932614842</v>
      </c>
      <c r="Q51" s="60">
        <v>1.0680530216898405</v>
      </c>
      <c r="R51" s="60">
        <v>1.080726596380738</v>
      </c>
      <c r="S51" s="60">
        <v>1.09312025751008</v>
      </c>
      <c r="T51" s="60">
        <v>1.1051947105644824</v>
      </c>
      <c r="U51" s="60">
        <v>1.1169137767864807</v>
      </c>
      <c r="V51" s="60">
        <v>1.1282448663576155</v>
      </c>
      <c r="W51" s="60">
        <v>1.1391593623039382</v>
      </c>
      <c r="X51" s="60">
        <v>1.1496329064342028</v>
      </c>
      <c r="Y51" s="60">
        <v>1.1596455823082112</v>
      </c>
      <c r="Z51" s="60">
        <v>1.1691819941424073</v>
      </c>
      <c r="AA51" s="60">
        <v>1.1782312445018648</v>
      </c>
      <c r="AB51" s="60">
        <v>1.1867868173742644</v>
      </c>
      <c r="AC51" s="60">
        <v>1.194846376532898</v>
      </c>
      <c r="AD51" s="60">
        <v>1.2024114917555191</v>
      </c>
      <c r="AE51" s="60">
        <v>1.2094873073126771</v>
      </c>
      <c r="AF51" s="60">
        <v>1.2160821680895726</v>
      </c>
      <c r="AG51" s="60">
        <v>1.2222072187628807</v>
      </c>
      <c r="AH51" s="60">
        <v>1.2278759907024543</v>
      </c>
      <c r="AI51" s="60">
        <f t="shared" si="1"/>
        <v>1.2278759907024543</v>
      </c>
      <c r="AJ51" s="13">
        <v>325</v>
      </c>
    </row>
    <row r="52" spans="1:36" ht="9.9499999999999993" customHeight="1" x14ac:dyDescent="0.2">
      <c r="A52" s="60">
        <f t="shared" si="0"/>
        <v>0.92379114029532938</v>
      </c>
      <c r="B52" s="60">
        <v>0.92379114029532938</v>
      </c>
      <c r="C52" s="60">
        <v>0.92397617323710812</v>
      </c>
      <c r="D52" s="60">
        <v>0.92428465147098482</v>
      </c>
      <c r="E52" s="60">
        <v>0.92465497333738822</v>
      </c>
      <c r="F52" s="60">
        <v>0.92490194393776104</v>
      </c>
      <c r="G52" s="60">
        <v>0.92613786119755082</v>
      </c>
      <c r="H52" s="60">
        <v>0.92737553248196736</v>
      </c>
      <c r="I52" s="60">
        <v>0.92861493062149425</v>
      </c>
      <c r="J52" s="60">
        <v>0.92923526868519513</v>
      </c>
      <c r="K52" s="60">
        <v>0.92985602813133739</v>
      </c>
      <c r="L52" s="60">
        <v>0.93608602240797067</v>
      </c>
      <c r="M52" s="60">
        <v>0.94865678183334423</v>
      </c>
      <c r="N52" s="60">
        <v>0.97412941539630193</v>
      </c>
      <c r="O52" s="60">
        <v>1.0253801925173605</v>
      </c>
      <c r="P52" s="60">
        <v>1.0505224100976109</v>
      </c>
      <c r="Q52" s="60">
        <v>1.0628302765218212</v>
      </c>
      <c r="R52" s="60">
        <v>1.0749103175583965</v>
      </c>
      <c r="S52" s="60">
        <v>1.0867254659878118</v>
      </c>
      <c r="T52" s="60">
        <v>1.0982410134576805</v>
      </c>
      <c r="U52" s="60">
        <v>1.1094250590954393</v>
      </c>
      <c r="V52" s="60">
        <v>1.1202488910838311</v>
      </c>
      <c r="W52" s="60">
        <v>1.1306872927396412</v>
      </c>
      <c r="X52" s="60">
        <v>1.1407187672989074</v>
      </c>
      <c r="Y52" s="60">
        <v>1.1503256784483675</v>
      </c>
      <c r="Z52" s="60">
        <v>1.1594943065624645</v>
      </c>
      <c r="AA52" s="60">
        <v>1.1682148234891176</v>
      </c>
      <c r="AB52" s="60">
        <v>1.1764811914341904</v>
      </c>
      <c r="AC52" s="60">
        <v>1.1842909938743262</v>
      </c>
      <c r="AD52" s="60">
        <v>1.1916452083425628</v>
      </c>
      <c r="AE52" s="60">
        <v>1.1985479322750709</v>
      </c>
      <c r="AF52" s="60">
        <v>1.2050060738223081</v>
      </c>
      <c r="AG52" s="60">
        <v>1.2110290196106421</v>
      </c>
      <c r="AH52" s="60">
        <v>1.2166282909410797</v>
      </c>
      <c r="AI52" s="60">
        <f t="shared" si="1"/>
        <v>1.2166282909410797</v>
      </c>
      <c r="AJ52" s="13">
        <v>330</v>
      </c>
    </row>
    <row r="53" spans="1:36" ht="9.9499999999999993" customHeight="1" x14ac:dyDescent="0.2">
      <c r="A53" s="60">
        <f t="shared" si="0"/>
        <v>0.92481116162019128</v>
      </c>
      <c r="B53" s="60">
        <v>0.92481116162019128</v>
      </c>
      <c r="C53" s="60">
        <v>0.92498969997349156</v>
      </c>
      <c r="D53" s="60">
        <v>0.92528734113102196</v>
      </c>
      <c r="E53" s="60">
        <v>0.9256446374699262</v>
      </c>
      <c r="F53" s="60">
        <v>0.92588291165054126</v>
      </c>
      <c r="G53" s="60">
        <v>0.92707519434254271</v>
      </c>
      <c r="H53" s="60">
        <v>0.92826897781543027</v>
      </c>
      <c r="I53" s="60">
        <v>0.92946423612337747</v>
      </c>
      <c r="J53" s="60">
        <v>0.93006241015837843</v>
      </c>
      <c r="K53" s="60">
        <v>0.9306609430499253</v>
      </c>
      <c r="L53" s="60">
        <v>0.93666527067104144</v>
      </c>
      <c r="M53" s="60">
        <v>0.94876674839769171</v>
      </c>
      <c r="N53" s="60">
        <v>0.97323588560525787</v>
      </c>
      <c r="O53" s="60">
        <v>1.0222974211286435</v>
      </c>
      <c r="P53" s="60">
        <v>1.0463109986657726</v>
      </c>
      <c r="Q53" s="60">
        <v>1.0580603716955217</v>
      </c>
      <c r="R53" s="60">
        <v>1.0695914646880458</v>
      </c>
      <c r="S53" s="60">
        <v>1.0808713517587929</v>
      </c>
      <c r="T53" s="60">
        <v>1.0918692770129097</v>
      </c>
      <c r="U53" s="60">
        <v>1.102557021599009</v>
      </c>
      <c r="V53" s="60">
        <v>1.1129092124912394</v>
      </c>
      <c r="W53" s="60">
        <v>1.1229035670959642</v>
      </c>
      <c r="X53" s="60">
        <v>1.132521069923071</v>
      </c>
      <c r="Y53" s="60">
        <v>1.141746079764723</v>
      </c>
      <c r="Z53" s="60">
        <v>1.1505663680268603</v>
      </c>
      <c r="AA53" s="60">
        <v>1.1589730909876368</v>
      </c>
      <c r="AB53" s="60">
        <v>1.1669607007255227</v>
      </c>
      <c r="AC53" s="60">
        <v>1.1745268011755314</v>
      </c>
      <c r="AD53" s="60">
        <v>1.1816719571483669</v>
      </c>
      <c r="AE53" s="60">
        <v>1.1883994651172478</v>
      </c>
      <c r="AF53" s="60">
        <v>1.1947150950974215</v>
      </c>
      <c r="AG53" s="60">
        <v>1.2006268130214601</v>
      </c>
      <c r="AH53" s="60">
        <v>1.2061444926593103</v>
      </c>
      <c r="AI53" s="60">
        <f t="shared" si="1"/>
        <v>1.2061444926593103</v>
      </c>
      <c r="AJ53" s="13">
        <v>335</v>
      </c>
    </row>
    <row r="54" spans="1:36" ht="9.9499999999999993" customHeight="1" x14ac:dyDescent="0.2">
      <c r="A54" s="60">
        <f t="shared" si="0"/>
        <v>0.92586713846554858</v>
      </c>
      <c r="B54" s="60">
        <v>0.92586713846554858</v>
      </c>
      <c r="C54" s="60">
        <v>0.92603950954531156</v>
      </c>
      <c r="D54" s="60">
        <v>0.92632686055549551</v>
      </c>
      <c r="E54" s="60">
        <v>0.92667178999907018</v>
      </c>
      <c r="F54" s="60">
        <v>0.92690180825288671</v>
      </c>
      <c r="G54" s="60">
        <v>0.92805267570842997</v>
      </c>
      <c r="H54" s="60">
        <v>0.92920481882991024</v>
      </c>
      <c r="I54" s="60">
        <v>0.93035821291506116</v>
      </c>
      <c r="J54" s="60">
        <v>0.93093537128614368</v>
      </c>
      <c r="K54" s="60">
        <v>0.93151283302989629</v>
      </c>
      <c r="L54" s="60">
        <v>0.93730343537827376</v>
      </c>
      <c r="M54" s="60">
        <v>0.94896161732948869</v>
      </c>
      <c r="N54" s="60">
        <v>0.97248735337990821</v>
      </c>
      <c r="O54" s="60">
        <v>1.0195063580684198</v>
      </c>
      <c r="P54" s="60">
        <v>1.0424721037156717</v>
      </c>
      <c r="Q54" s="60">
        <v>1.0537035619373727</v>
      </c>
      <c r="R54" s="60">
        <v>1.0647256778965155</v>
      </c>
      <c r="S54" s="60">
        <v>1.0755091198483397</v>
      </c>
      <c r="T54" s="60">
        <v>1.0860265532813111</v>
      </c>
      <c r="U54" s="60">
        <v>1.0962529422748029</v>
      </c>
      <c r="V54" s="60">
        <v>1.1061658001156738</v>
      </c>
      <c r="W54" s="60">
        <v>1.1157453851123758</v>
      </c>
      <c r="X54" s="60">
        <v>1.1249748392792966</v>
      </c>
      <c r="Y54" s="60">
        <v>1.1338402692886873</v>
      </c>
      <c r="Z54" s="60">
        <v>1.1423307707643713</v>
      </c>
      <c r="AA54" s="60">
        <v>1.1504383985758881</v>
      </c>
      <c r="AB54" s="60">
        <v>1.1581580872319084</v>
      </c>
      <c r="AC54" s="60">
        <v>1.1654875267119655</v>
      </c>
      <c r="AD54" s="60">
        <v>1.1724270000628427</v>
      </c>
      <c r="AE54" s="60">
        <v>1.1789791897780073</v>
      </c>
      <c r="AF54" s="60">
        <v>1.1851489603504486</v>
      </c>
      <c r="AG54" s="60">
        <v>1.1909431244380515</v>
      </c>
      <c r="AH54" s="60">
        <v>1.1963701998257372</v>
      </c>
      <c r="AI54" s="60">
        <f t="shared" si="1"/>
        <v>1.1963701998257372</v>
      </c>
      <c r="AJ54" s="13">
        <v>340</v>
      </c>
    </row>
    <row r="55" spans="1:36" ht="9.9499999999999993" customHeight="1" x14ac:dyDescent="0.2">
      <c r="A55" s="60">
        <f t="shared" si="0"/>
        <v>0.92695810163293269</v>
      </c>
      <c r="B55" s="60">
        <v>0.92695810163293269</v>
      </c>
      <c r="C55" s="60">
        <v>0.92712461090093057</v>
      </c>
      <c r="D55" s="60">
        <v>0.92740218211180547</v>
      </c>
      <c r="E55" s="60">
        <v>0.92773535913227112</v>
      </c>
      <c r="F55" s="60">
        <v>0.92795753235274014</v>
      </c>
      <c r="G55" s="60">
        <v>0.92906905398465511</v>
      </c>
      <c r="H55" s="60">
        <v>0.93018165107928141</v>
      </c>
      <c r="I55" s="60">
        <v>0.93129530017722573</v>
      </c>
      <c r="J55" s="60">
        <v>0.9318525118422275</v>
      </c>
      <c r="K55" s="60">
        <v>0.93240997762123146</v>
      </c>
      <c r="L55" s="60">
        <v>0.93799794841913353</v>
      </c>
      <c r="M55" s="60">
        <v>0.94923687164108939</v>
      </c>
      <c r="N55" s="60">
        <v>0.97187436611576561</v>
      </c>
      <c r="O55" s="60">
        <v>1.0169839277117814</v>
      </c>
      <c r="P55" s="60">
        <v>1.0389746290853394</v>
      </c>
      <c r="Q55" s="60">
        <v>1.0497246714204831</v>
      </c>
      <c r="R55" s="60">
        <v>1.060273764298719</v>
      </c>
      <c r="S55" s="60">
        <v>1.0705957078427</v>
      </c>
      <c r="T55" s="60">
        <v>1.0806661414230168</v>
      </c>
      <c r="U55" s="60">
        <v>1.0904627918196299</v>
      </c>
      <c r="V55" s="60">
        <v>1.0999656771242861</v>
      </c>
      <c r="W55" s="60">
        <v>1.1091572636525111</v>
      </c>
      <c r="X55" s="60">
        <v>1.1180225745422383</v>
      </c>
      <c r="Y55" s="60">
        <v>1.1265492500761369</v>
      </c>
      <c r="Z55" s="60">
        <v>1.1347275610518213</v>
      </c>
      <c r="AA55" s="60">
        <v>1.1425503777121102</v>
      </c>
      <c r="AB55" s="60">
        <v>1.1500130978066478</v>
      </c>
      <c r="AC55" s="60">
        <v>1.1571135382541737</v>
      </c>
      <c r="AD55" s="60">
        <v>1.1638517955805097</v>
      </c>
      <c r="AE55" s="60">
        <v>1.1702300807956498</v>
      </c>
      <c r="AF55" s="60">
        <v>1.1762525346293671</v>
      </c>
      <c r="AG55" s="60">
        <v>1.1819250290671088</v>
      </c>
      <c r="AH55" s="60">
        <v>1.1872549609299015</v>
      </c>
      <c r="AI55" s="60">
        <f t="shared" si="1"/>
        <v>1.1872549609299015</v>
      </c>
      <c r="AJ55" s="13">
        <v>345</v>
      </c>
    </row>
    <row r="56" spans="1:36" ht="9.9499999999999993" customHeight="1" x14ac:dyDescent="0.2">
      <c r="A56" s="60">
        <f t="shared" si="0"/>
        <v>0.92808302247539287</v>
      </c>
      <c r="B56" s="60">
        <v>0.92808302247539287</v>
      </c>
      <c r="C56" s="60">
        <v>0.92824395537063986</v>
      </c>
      <c r="D56" s="60">
        <v>0.92851222361946573</v>
      </c>
      <c r="E56" s="60">
        <v>0.92883422224558809</v>
      </c>
      <c r="F56" s="60">
        <v>0.92904893422394175</v>
      </c>
      <c r="G56" s="60">
        <v>0.93012304225007503</v>
      </c>
      <c r="H56" s="60">
        <v>0.93119804762924963</v>
      </c>
      <c r="I56" s="60">
        <v>0.93227392812880394</v>
      </c>
      <c r="J56" s="60">
        <v>0.9328121895549083</v>
      </c>
      <c r="K56" s="60">
        <v>0.93335066134763678</v>
      </c>
      <c r="L56" s="60">
        <v>0.93874632264030888</v>
      </c>
      <c r="M56" s="60">
        <v>0.94958826058809398</v>
      </c>
      <c r="N56" s="60">
        <v>0.97138825294508302</v>
      </c>
      <c r="O56" s="60">
        <v>1.0147094428334875</v>
      </c>
      <c r="P56" s="60">
        <v>1.035790872622693</v>
      </c>
      <c r="Q56" s="60">
        <v>1.046092434555925</v>
      </c>
      <c r="R56" s="60">
        <v>1.0562009475008629</v>
      </c>
      <c r="S56" s="60">
        <v>1.066092950916915</v>
      </c>
      <c r="T56" s="60">
        <v>1.0757466790396779</v>
      </c>
      <c r="U56" s="60">
        <v>1.0851422657607386</v>
      </c>
      <c r="V56" s="60">
        <v>1.0942619108380047</v>
      </c>
      <c r="W56" s="60">
        <v>1.103090005665069</v>
      </c>
      <c r="X56" s="60">
        <v>1.1116132179762532</v>
      </c>
      <c r="Y56" s="60">
        <v>1.1198205359432083</v>
      </c>
      <c r="Z56" s="60">
        <v>1.1277032731141112</v>
      </c>
      <c r="AA56" s="60">
        <v>1.1352550365431398</v>
      </c>
      <c r="AB56" s="60">
        <v>1.1424716612401906</v>
      </c>
      <c r="AC56" s="60">
        <v>1.149351114721425</v>
      </c>
      <c r="AD56" s="60">
        <v>1.1558933759431258</v>
      </c>
      <c r="AE56" s="60">
        <v>1.1621002932406468</v>
      </c>
      <c r="AF56" s="60">
        <v>1.1679754260629287</v>
      </c>
      <c r="AG56" s="60">
        <v>1.1735238752915658</v>
      </c>
      <c r="AH56" s="60">
        <v>1.1787521067711348</v>
      </c>
      <c r="AI56" s="60">
        <f t="shared" si="1"/>
        <v>1.1787521067711348</v>
      </c>
      <c r="AJ56" s="13">
        <v>350</v>
      </c>
    </row>
    <row r="57" spans="1:36" ht="9.9499999999999993" customHeight="1" x14ac:dyDescent="0.2">
      <c r="A57" s="60">
        <f t="shared" si="0"/>
        <v>0.92924082039217493</v>
      </c>
      <c r="B57" s="60">
        <v>0.92924082039217493</v>
      </c>
      <c r="C57" s="60">
        <v>0.92939644397727206</v>
      </c>
      <c r="D57" s="60">
        <v>0.92965585535132345</v>
      </c>
      <c r="E57" s="60">
        <v>0.92996721250930592</v>
      </c>
      <c r="F57" s="60">
        <v>0.93017482217880176</v>
      </c>
      <c r="G57" s="60">
        <v>0.93121332304828719</v>
      </c>
      <c r="H57" s="60">
        <v>0.93225256278126556</v>
      </c>
      <c r="I57" s="60">
        <v>0.93329252034423682</v>
      </c>
      <c r="J57" s="60">
        <v>0.9338127616998777</v>
      </c>
      <c r="K57" s="60">
        <v>0.93433317456080245</v>
      </c>
      <c r="L57" s="60">
        <v>0.93954614450285556</v>
      </c>
      <c r="M57" s="60">
        <v>0.95001177111029111</v>
      </c>
      <c r="N57" s="60">
        <v>0.97102103137821127</v>
      </c>
      <c r="O57" s="60">
        <v>1.012664284113739</v>
      </c>
      <c r="P57" s="60">
        <v>1.0328960554445799</v>
      </c>
      <c r="Q57" s="60">
        <v>1.0427789477083436</v>
      </c>
      <c r="R57" s="60">
        <v>1.0524762438855413</v>
      </c>
      <c r="S57" s="60">
        <v>1.0619668878627759</v>
      </c>
      <c r="T57" s="60">
        <v>1.0712313861771969</v>
      </c>
      <c r="U57" s="60">
        <v>1.0802519775267396</v>
      </c>
      <c r="V57" s="60">
        <v>1.0890127684390156</v>
      </c>
      <c r="W57" s="60">
        <v>1.0974998340187361</v>
      </c>
      <c r="X57" s="60">
        <v>1.1057012836325053</v>
      </c>
      <c r="Y57" s="60">
        <v>1.113607292250993</v>
      </c>
      <c r="Z57" s="60">
        <v>1.1212100989429024</v>
      </c>
      <c r="AA57" s="60">
        <v>1.1285039746958214</v>
      </c>
      <c r="AB57" s="60">
        <v>1.1354851623188873</v>
      </c>
      <c r="AC57" s="60">
        <v>1.1421517916531894</v>
      </c>
      <c r="AD57" s="60">
        <v>1.1485037736700645</v>
      </c>
      <c r="AE57" s="60">
        <v>1.1545426772681602</v>
      </c>
      <c r="AF57" s="60">
        <v>1.1602715926842158</v>
      </c>
      <c r="AG57" s="60">
        <v>1.1656949854115257</v>
      </c>
      <c r="AH57" s="60">
        <v>1.1708185443813648</v>
      </c>
      <c r="AI57" s="60">
        <f t="shared" si="1"/>
        <v>1.1708185443813648</v>
      </c>
      <c r="AJ57" s="13">
        <v>355</v>
      </c>
    </row>
    <row r="58" spans="1:36" ht="9.9499999999999993" customHeight="1" x14ac:dyDescent="0.2">
      <c r="A58" s="60">
        <f t="shared" si="0"/>
        <v>0.93043037006558449</v>
      </c>
      <c r="B58" s="60">
        <v>0.93043037006558449</v>
      </c>
      <c r="C58" s="60">
        <v>0.93058093451042045</v>
      </c>
      <c r="D58" s="60">
        <v>0.93083190683447248</v>
      </c>
      <c r="E58" s="60">
        <v>0.93113312535717552</v>
      </c>
      <c r="F58" s="60">
        <v>0.93133396881397612</v>
      </c>
      <c r="G58" s="60">
        <v>0.93233855348937944</v>
      </c>
      <c r="H58" s="60">
        <v>0.93334373598402098</v>
      </c>
      <c r="I58" s="60">
        <v>0.93434949642773168</v>
      </c>
      <c r="J58" s="60">
        <v>0.93485258713799324</v>
      </c>
      <c r="K58" s="60">
        <v>0.93535581482958707</v>
      </c>
      <c r="L58" s="60">
        <v>0.94039506829903963</v>
      </c>
      <c r="M58" s="60">
        <v>0.95050360364833575</v>
      </c>
      <c r="N58" s="60">
        <v>0.97076532775517443</v>
      </c>
      <c r="O58" s="60">
        <v>1.010831630520467</v>
      </c>
      <c r="P58" s="60">
        <v>1.0302679278537641</v>
      </c>
      <c r="Q58" s="60">
        <v>1.0397592108972318</v>
      </c>
      <c r="R58" s="60">
        <v>1.0490719416853291</v>
      </c>
      <c r="S58" s="60">
        <v>1.0581871815002513</v>
      </c>
      <c r="T58" s="60">
        <v>1.0670874334159048</v>
      </c>
      <c r="U58" s="60">
        <v>1.0757567827883079</v>
      </c>
      <c r="V58" s="60">
        <v>1.0841810080819816</v>
      </c>
      <c r="W58" s="60">
        <v>1.0923476614479584</v>
      </c>
      <c r="X58" s="60">
        <v>1.1002461192392616</v>
      </c>
      <c r="Y58" s="60">
        <v>1.1078676033398023</v>
      </c>
      <c r="Z58" s="60">
        <v>1.115205174789577</v>
      </c>
      <c r="AA58" s="60">
        <v>1.1222537017072896</v>
      </c>
      <c r="AB58" s="60">
        <v>1.1290098039432159</v>
      </c>
      <c r="AC58" s="60">
        <v>1.135471777234895</v>
      </c>
      <c r="AD58" s="60">
        <v>1.1416394998854558</v>
      </c>
      <c r="AE58" s="60">
        <v>1.1475143251364959</v>
      </c>
      <c r="AF58" s="60">
        <v>1.1530989624643706</v>
      </c>
      <c r="AG58" s="60">
        <v>1.1583973509930563</v>
      </c>
      <c r="AH58" s="60">
        <v>1.1634145280944734</v>
      </c>
      <c r="AI58" s="60">
        <f t="shared" si="1"/>
        <v>1.1634145280944734</v>
      </c>
      <c r="AJ58" s="13">
        <v>360</v>
      </c>
    </row>
    <row r="59" spans="1:36" ht="9.9499999999999993" customHeight="1" x14ac:dyDescent="0.2">
      <c r="A59" s="60">
        <f t="shared" si="0"/>
        <v>0.93165050840301111</v>
      </c>
      <c r="B59" s="60">
        <v>0.93165050840301111</v>
      </c>
      <c r="C59" s="60">
        <v>0.93179624832443608</v>
      </c>
      <c r="D59" s="60">
        <v>0.93203917340629583</v>
      </c>
      <c r="E59" s="60">
        <v>0.93233072474895073</v>
      </c>
      <c r="F59" s="60">
        <v>0.9325251170754022</v>
      </c>
      <c r="G59" s="60">
        <v>0.93349737030353908</v>
      </c>
      <c r="H59" s="60">
        <v>0.93447009583635265</v>
      </c>
      <c r="I59" s="60">
        <v>0.93544327492539459</v>
      </c>
      <c r="J59" s="60">
        <v>0.93593002866678998</v>
      </c>
      <c r="K59" s="60">
        <v>0.93641688872063789</v>
      </c>
      <c r="L59" s="60">
        <v>0.94129081164114059</v>
      </c>
      <c r="M59" s="60">
        <v>0.95106015162683621</v>
      </c>
      <c r="N59" s="60">
        <v>0.97061430924855252</v>
      </c>
      <c r="O59" s="60">
        <v>1.0091962315011027</v>
      </c>
      <c r="P59" s="60">
        <v>1.0278864378894936</v>
      </c>
      <c r="Q59" s="60">
        <v>1.0370107429021092</v>
      </c>
      <c r="R59" s="60">
        <v>1.045963163849071</v>
      </c>
      <c r="S59" s="60">
        <v>1.0547266323720939</v>
      </c>
      <c r="T59" s="60">
        <v>1.0632854113185612</v>
      </c>
      <c r="U59" s="60">
        <v>1.0716252113347307</v>
      </c>
      <c r="V59" s="60">
        <v>1.0797332814151206</v>
      </c>
      <c r="W59" s="60">
        <v>1.087598473176522</v>
      </c>
      <c r="X59" s="60">
        <v>1.0952112792584061</v>
      </c>
      <c r="Y59" s="60">
        <v>1.1025638468075643</v>
      </c>
      <c r="Z59" s="60">
        <v>1.1096499674815075</v>
      </c>
      <c r="AA59" s="60">
        <v>1.1164650458030654</v>
      </c>
      <c r="AB59" s="60">
        <v>1.1230060480191912</v>
      </c>
      <c r="AC59" s="60">
        <v>1.1292714338615497</v>
      </c>
      <c r="AD59" s="60">
        <v>1.1352610737759743</v>
      </c>
      <c r="AE59" s="60">
        <v>1.140976154283396</v>
      </c>
      <c r="AF59" s="60">
        <v>1.1464190741579725</v>
      </c>
      <c r="AG59" s="60">
        <v>1.151593334062156</v>
      </c>
      <c r="AH59" s="60">
        <v>1.156503422168391</v>
      </c>
      <c r="AI59" s="60">
        <f t="shared" si="1"/>
        <v>1.156503422168391</v>
      </c>
      <c r="AJ59" s="13">
        <v>365</v>
      </c>
    </row>
    <row r="60" spans="1:36" ht="9.9499999999999993" customHeight="1" x14ac:dyDescent="0.2">
      <c r="A60" s="60">
        <f t="shared" si="0"/>
        <v>0.93290004115531222</v>
      </c>
      <c r="B60" s="60">
        <v>0.93290004115531222</v>
      </c>
      <c r="C60" s="60">
        <v>0.93304117682900689</v>
      </c>
      <c r="D60" s="60">
        <v>0.93327642249040088</v>
      </c>
      <c r="E60" s="60">
        <v>0.93355874918603254</v>
      </c>
      <c r="F60" s="60">
        <v>0.93374698609876694</v>
      </c>
      <c r="G60" s="60">
        <v>0.93468839478564769</v>
      </c>
      <c r="H60" s="60">
        <v>0.93563016410224953</v>
      </c>
      <c r="I60" s="60">
        <v>0.93657227637639984</v>
      </c>
      <c r="J60" s="60">
        <v>0.9370434555767192</v>
      </c>
      <c r="K60" s="60">
        <v>0.93751471385093621</v>
      </c>
      <c r="L60" s="60">
        <v>0.94223115198065632</v>
      </c>
      <c r="M60" s="60">
        <v>0.95167798401078063</v>
      </c>
      <c r="N60" s="60">
        <v>0.9705616255568088</v>
      </c>
      <c r="O60" s="60">
        <v>1.0077442136973533</v>
      </c>
      <c r="P60" s="60">
        <v>1.0257334513174388</v>
      </c>
      <c r="Q60" s="60">
        <v>1.0345132565583255</v>
      </c>
      <c r="R60" s="60">
        <v>1.0431274995700752</v>
      </c>
      <c r="S60" s="60">
        <v>1.0515607688974702</v>
      </c>
      <c r="T60" s="60">
        <v>1.0597988830653466</v>
      </c>
      <c r="U60" s="60">
        <v>1.0678289874274776</v>
      </c>
      <c r="V60" s="60">
        <v>1.0756396281140141</v>
      </c>
      <c r="W60" s="60">
        <v>1.0832208030941421</v>
      </c>
      <c r="X60" s="60">
        <v>1.090563990892669</v>
      </c>
      <c r="Y60" s="60">
        <v>1.0976621579487589</v>
      </c>
      <c r="Z60" s="60">
        <v>1.1045097459816109</v>
      </c>
      <c r="AA60" s="60">
        <v>1.1111026410337941</v>
      </c>
      <c r="AB60" s="60">
        <v>1.1174381261015223</v>
      </c>
      <c r="AC60" s="60">
        <v>1.1235148194356523</v>
      </c>
      <c r="AD60" s="60">
        <v>1.1293326007105762</v>
      </c>
      <c r="AE60" s="60">
        <v>1.1348925273131765</v>
      </c>
      <c r="AF60" s="60">
        <v>1.1401967430034534</v>
      </c>
      <c r="AG60" s="60">
        <v>1.145248381145757</v>
      </c>
      <c r="AH60" s="60">
        <v>1.1500514646093372</v>
      </c>
      <c r="AI60" s="60">
        <f t="shared" si="1"/>
        <v>1.1500514646093372</v>
      </c>
      <c r="AJ60" s="13">
        <v>370</v>
      </c>
    </row>
    <row r="61" spans="1:36" ht="9.9499999999999993" customHeight="1" x14ac:dyDescent="0.2">
      <c r="A61" s="60">
        <f t="shared" si="0"/>
        <v>0.93417774919011209</v>
      </c>
      <c r="B61" s="60">
        <v>0.93417774919011209</v>
      </c>
      <c r="C61" s="60">
        <v>0.9343144876488173</v>
      </c>
      <c r="D61" s="60">
        <v>0.93454239956546559</v>
      </c>
      <c r="E61" s="60">
        <v>0.93481591744900994</v>
      </c>
      <c r="F61" s="60">
        <v>0.93499827679142278</v>
      </c>
      <c r="G61" s="60">
        <v>0.93591023758191538</v>
      </c>
      <c r="H61" s="60">
        <v>0.9368224596732796</v>
      </c>
      <c r="I61" s="60">
        <v>0.93773492642185063</v>
      </c>
      <c r="J61" s="60">
        <v>0.93819124632208284</v>
      </c>
      <c r="K61" s="60">
        <v>0.93864762111330768</v>
      </c>
      <c r="L61" s="60">
        <v>0.94321392395592929</v>
      </c>
      <c r="M61" s="60">
        <v>0.95235383043831656</v>
      </c>
      <c r="N61" s="60">
        <v>0.97060135874944753</v>
      </c>
      <c r="O61" s="60">
        <v>1.0064629162949774</v>
      </c>
      <c r="P61" s="60">
        <v>1.023792514071395</v>
      </c>
      <c r="Q61" s="60">
        <v>1.0322483836524705</v>
      </c>
      <c r="R61" s="60">
        <v>1.0405446923543369</v>
      </c>
      <c r="S61" s="60">
        <v>1.0486675004956947</v>
      </c>
      <c r="T61" s="60">
        <v>1.0566040056751287</v>
      </c>
      <c r="U61" s="60">
        <v>1.0643426232575819</v>
      </c>
      <c r="V61" s="60">
        <v>1.0718730466914057</v>
      </c>
      <c r="W61" s="60">
        <v>1.0791862878441745</v>
      </c>
      <c r="X61" s="60">
        <v>1.0862746979768139</v>
      </c>
      <c r="Y61" s="60">
        <v>1.0931319703401279</v>
      </c>
      <c r="Z61" s="60">
        <v>1.0997531256764206</v>
      </c>
      <c r="AA61" s="60">
        <v>1.1061344821447361</v>
      </c>
      <c r="AB61" s="60">
        <v>1.1122736113655416</v>
      </c>
      <c r="AC61" s="60">
        <v>1.118169282403741</v>
      </c>
      <c r="AD61" s="60">
        <v>1.1238213955818257</v>
      </c>
      <c r="AE61" s="60">
        <v>1.1292309080412595</v>
      </c>
      <c r="AF61" s="60">
        <v>1.1343997529534111</v>
      </c>
      <c r="AG61" s="60">
        <v>1.1393307542249786</v>
      </c>
      <c r="AH61" s="60">
        <v>1.1440275384509411</v>
      </c>
      <c r="AI61" s="60">
        <f t="shared" si="1"/>
        <v>1.1440275384509411</v>
      </c>
      <c r="AJ61" s="13">
        <v>375</v>
      </c>
    </row>
    <row r="62" spans="1:36" ht="9.9499999999999993" customHeight="1" x14ac:dyDescent="0.2">
      <c r="A62" s="60">
        <f t="shared" si="0"/>
        <v>0.93548239440509318</v>
      </c>
      <c r="B62" s="60">
        <v>0.93548239440509318</v>
      </c>
      <c r="C62" s="60">
        <v>0.93561493043558874</v>
      </c>
      <c r="D62" s="60">
        <v>0.93583583380731794</v>
      </c>
      <c r="E62" s="60">
        <v>0.93610093403377415</v>
      </c>
      <c r="F62" s="60">
        <v>0.93627767712997012</v>
      </c>
      <c r="G62" s="60">
        <v>0.93716150328002068</v>
      </c>
      <c r="H62" s="60">
        <v>0.93804550242640905</v>
      </c>
      <c r="I62" s="60">
        <v>0.9389296589050562</v>
      </c>
      <c r="J62" s="60">
        <v>0.93937179123297687</v>
      </c>
      <c r="K62" s="60">
        <v>0.93981395699359849</v>
      </c>
      <c r="L62" s="60">
        <v>0.94423701739898214</v>
      </c>
      <c r="M62" s="60">
        <v>0.95308456851376289</v>
      </c>
      <c r="N62" s="60">
        <v>0.97072797998747362</v>
      </c>
      <c r="O62" s="60">
        <v>1.0053407502258762</v>
      </c>
      <c r="P62" s="60">
        <v>1.0220486498908263</v>
      </c>
      <c r="Q62" s="60">
        <v>1.0301994408809607</v>
      </c>
      <c r="R62" s="60">
        <v>1.038196374864214</v>
      </c>
      <c r="S62" s="60">
        <v>1.0460268228081253</v>
      </c>
      <c r="T62" s="60">
        <v>1.0536792080230646</v>
      </c>
      <c r="U62" s="60">
        <v>1.0611430730519753</v>
      </c>
      <c r="V62" s="60">
        <v>1.0684091287696809</v>
      </c>
      <c r="W62" s="60">
        <v>1.0754692859953934</v>
      </c>
      <c r="X62" s="60">
        <v>1.0823166702791611</v>
      </c>
      <c r="Y62" s="60">
        <v>1.0889456208195374</v>
      </c>
      <c r="Z62" s="60">
        <v>1.0953516747072742</v>
      </c>
      <c r="AA62" s="60">
        <v>1.1015315378719719</v>
      </c>
      <c r="AB62" s="60">
        <v>1.1074830442399473</v>
      </c>
      <c r="AC62" s="60">
        <v>1.1132051046969227</v>
      </c>
      <c r="AD62" s="60">
        <v>1.1186976474929147</v>
      </c>
      <c r="AE62" s="60">
        <v>1.1239615517329857</v>
      </c>
      <c r="AF62" s="60">
        <v>1.1289985755700096</v>
      </c>
      <c r="AG62" s="60">
        <v>1.1338112806577749</v>
      </c>
      <c r="AH62" s="60">
        <v>1.1384029543382876</v>
      </c>
      <c r="AI62" s="60">
        <f t="shared" si="1"/>
        <v>1.1384029543382876</v>
      </c>
      <c r="AJ62" s="13">
        <v>380</v>
      </c>
    </row>
    <row r="63" spans="1:36" ht="9.9499999999999993" customHeight="1" x14ac:dyDescent="0.2">
      <c r="A63" s="60">
        <f t="shared" si="0"/>
        <v>0.93681272527207982</v>
      </c>
      <c r="B63" s="60">
        <v>0.93681272527207982</v>
      </c>
      <c r="C63" s="60">
        <v>0.93694124232177844</v>
      </c>
      <c r="D63" s="60">
        <v>0.93715544339094436</v>
      </c>
      <c r="E63" s="60">
        <v>0.93741249426976347</v>
      </c>
      <c r="F63" s="60">
        <v>0.93758386715493724</v>
      </c>
      <c r="G63" s="60">
        <v>0.93844079477322695</v>
      </c>
      <c r="H63" s="60">
        <v>0.93929781693610415</v>
      </c>
      <c r="I63" s="60">
        <v>0.94015491890989988</v>
      </c>
      <c r="J63" s="60">
        <v>0.94058349520856221</v>
      </c>
      <c r="K63" s="60">
        <v>0.94101208591331997</v>
      </c>
      <c r="L63" s="60">
        <v>0.94529837586072829</v>
      </c>
      <c r="M63" s="60">
        <v>0.95386721291084398</v>
      </c>
      <c r="N63" s="60">
        <v>0.97093631205671505</v>
      </c>
      <c r="O63" s="60">
        <v>1.0043670773186149</v>
      </c>
      <c r="P63" s="60">
        <v>1.0204881872655409</v>
      </c>
      <c r="Q63" s="60">
        <v>1.0283512299551691</v>
      </c>
      <c r="R63" s="60">
        <v>1.0360658426308875</v>
      </c>
      <c r="S63" s="60">
        <v>1.0436205662112821</v>
      </c>
      <c r="T63" s="60">
        <v>1.0510049160891073</v>
      </c>
      <c r="U63" s="60">
        <v>1.0582094376949154</v>
      </c>
      <c r="V63" s="60">
        <v>1.0652257463450483</v>
      </c>
      <c r="W63" s="60">
        <v>1.0720465517521036</v>
      </c>
      <c r="X63" s="60">
        <v>1.0786656678721651</v>
      </c>
      <c r="Y63" s="60">
        <v>1.0850780090049206</v>
      </c>
      <c r="Z63" s="60">
        <v>1.0912795732522289</v>
      </c>
      <c r="AA63" s="60">
        <v>1.0972674145814552</v>
      </c>
      <c r="AB63" s="60">
        <v>1.1030396048366848</v>
      </c>
      <c r="AC63" s="60">
        <v>1.1085951870985258</v>
      </c>
      <c r="AD63" s="60">
        <v>1.1139341218162175</v>
      </c>
      <c r="AE63" s="60">
        <v>1.1190572271283217</v>
      </c>
      <c r="AF63" s="60">
        <v>1.1239661147540398</v>
      </c>
      <c r="AG63" s="60">
        <v>1.1286631227796411</v>
      </c>
      <c r="AH63" s="60">
        <v>1.1331512465867688</v>
      </c>
      <c r="AI63" s="60">
        <f t="shared" si="1"/>
        <v>1.1331512465867688</v>
      </c>
      <c r="AJ63" s="13">
        <v>385</v>
      </c>
    </row>
    <row r="64" spans="1:36" ht="9.9499999999999993" customHeight="1" x14ac:dyDescent="0.2">
      <c r="A64" s="60">
        <f t="shared" si="0"/>
        <v>0.93816748200766875</v>
      </c>
      <c r="B64" s="60">
        <v>0.93816748200766875</v>
      </c>
      <c r="C64" s="60">
        <v>0.93829215301037283</v>
      </c>
      <c r="D64" s="60">
        <v>0.93849994044464535</v>
      </c>
      <c r="E64" s="60">
        <v>0.93874928910985167</v>
      </c>
      <c r="F64" s="60">
        <v>0.93891552365024511</v>
      </c>
      <c r="G64" s="60">
        <v>0.93974671737669957</v>
      </c>
      <c r="H64" s="60">
        <v>0.94057793600897488</v>
      </c>
      <c r="I64" s="60">
        <v>0.94140916569505906</v>
      </c>
      <c r="J64" s="60">
        <v>0.94182478034397898</v>
      </c>
      <c r="K64" s="60">
        <v>0.94224039254449055</v>
      </c>
      <c r="L64" s="60">
        <v>0.94639599553743514</v>
      </c>
      <c r="M64" s="60">
        <v>0.95469890599277685</v>
      </c>
      <c r="N64" s="60">
        <v>0.97122149682719083</v>
      </c>
      <c r="O64" s="60">
        <v>1.0035321061959637</v>
      </c>
      <c r="P64" s="60">
        <v>1.0190986108855504</v>
      </c>
      <c r="Q64" s="60">
        <v>1.0266898662209523</v>
      </c>
      <c r="R64" s="60">
        <v>1.034137860201646</v>
      </c>
      <c r="S64" s="60">
        <v>1.0414321804527467</v>
      </c>
      <c r="T64" s="60">
        <v>1.0485633176413045</v>
      </c>
      <c r="U64" s="60">
        <v>1.0555227115846697</v>
      </c>
      <c r="V64" s="60">
        <v>1.0623027834555794</v>
      </c>
      <c r="W64" s="60">
        <v>1.0688969545067029</v>
      </c>
      <c r="X64" s="60">
        <v>1.0752996519834668</v>
      </c>
      <c r="Y64" s="60">
        <v>1.0815063030916519</v>
      </c>
      <c r="Z64" s="60">
        <v>1.0875133180376302</v>
      </c>
      <c r="AA64" s="60">
        <v>1.0933180632679163</v>
      </c>
      <c r="AB64" s="60">
        <v>1.0989188261054157</v>
      </c>
      <c r="AC64" s="60">
        <v>1.1043147720170541</v>
      </c>
      <c r="AD64" s="60">
        <v>1.1095058957557733</v>
      </c>
      <c r="AE64" s="60">
        <v>1.1144929676032898</v>
      </c>
      <c r="AF64" s="60">
        <v>1.1192774759019883</v>
      </c>
      <c r="AG64" s="60">
        <v>1.1238615670081844</v>
      </c>
      <c r="AH64" s="60">
        <v>1.1282479837275685</v>
      </c>
      <c r="AI64" s="60">
        <f t="shared" si="1"/>
        <v>1.1282479837275685</v>
      </c>
      <c r="AJ64" s="13">
        <v>390</v>
      </c>
    </row>
    <row r="65" spans="1:36" ht="9.9499999999999993" customHeight="1" x14ac:dyDescent="0.2">
      <c r="A65" s="60">
        <f t="shared" si="0"/>
        <v>0.93954540137045672</v>
      </c>
      <c r="B65" s="60">
        <v>0.93954540137045672</v>
      </c>
      <c r="C65" s="60">
        <v>0.93966638949967884</v>
      </c>
      <c r="D65" s="60">
        <v>0.93986803565331478</v>
      </c>
      <c r="E65" s="60">
        <v>0.94011000958651136</v>
      </c>
      <c r="F65" s="60">
        <v>0.94027132450050066</v>
      </c>
      <c r="G65" s="60">
        <v>0.94107788268090908</v>
      </c>
      <c r="H65" s="60">
        <v>0.9418844040172405</v>
      </c>
      <c r="I65" s="60">
        <v>0.94269087549132269</v>
      </c>
      <c r="J65" s="60">
        <v>0.94309408845345333</v>
      </c>
      <c r="K65" s="60">
        <v>0.94349728405441879</v>
      </c>
      <c r="L65" s="60">
        <v>0.94752792450152246</v>
      </c>
      <c r="M65" s="60">
        <v>0.95557690970250653</v>
      </c>
      <c r="N65" s="60">
        <v>0.97157896689608214</v>
      </c>
      <c r="O65" s="60">
        <v>1.002826802283292</v>
      </c>
      <c r="P65" s="60">
        <v>1.0178684336603556</v>
      </c>
      <c r="Q65" s="60">
        <v>1.0252026311847175</v>
      </c>
      <c r="R65" s="60">
        <v>1.0323984944618771</v>
      </c>
      <c r="S65" s="60">
        <v>1.0394465495482674</v>
      </c>
      <c r="T65" s="60">
        <v>1.046338159972062</v>
      </c>
      <c r="U65" s="60">
        <v>1.0530655649330034</v>
      </c>
      <c r="V65" s="60">
        <v>1.0596219051844722</v>
      </c>
      <c r="W65" s="60">
        <v>1.0660012370436096</v>
      </c>
      <c r="X65" s="60">
        <v>1.0721985351800611</v>
      </c>
      <c r="Y65" s="60">
        <v>1.0782096849958063</v>
      </c>
      <c r="Z65" s="60">
        <v>1.0840314655296925</v>
      </c>
      <c r="AA65" s="60">
        <v>1.0896615239042715</v>
      </c>
      <c r="AB65" s="60">
        <v>1.0950983423835736</v>
      </c>
      <c r="AC65" s="60">
        <v>1.1003411991329131</v>
      </c>
      <c r="AD65" s="60">
        <v>1.1053901237698862</v>
      </c>
      <c r="AE65" s="60">
        <v>1.110245848773256</v>
      </c>
      <c r="AF65" s="60">
        <v>1.1149097577767055</v>
      </c>
      <c r="AG65" s="60">
        <v>1.1193838317205287</v>
      </c>
      <c r="AH65" s="60">
        <v>1.1236705937687754</v>
      </c>
      <c r="AI65" s="60">
        <f t="shared" si="1"/>
        <v>1.1236705937687754</v>
      </c>
      <c r="AJ65" s="13">
        <v>395</v>
      </c>
    </row>
    <row r="66" spans="1:36" ht="9.9499999999999993" customHeight="1" x14ac:dyDescent="0.2">
      <c r="A66" s="60">
        <f t="shared" ref="A66:A129" si="2">B66</f>
        <v>0.94094522108852541</v>
      </c>
      <c r="B66" s="60">
        <v>0.94094522108852541</v>
      </c>
      <c r="C66" s="60">
        <v>0.94106268044578889</v>
      </c>
      <c r="D66" s="60">
        <v>0.94125844251185153</v>
      </c>
      <c r="E66" s="60">
        <v>0.94149335093322983</v>
      </c>
      <c r="F66" s="60">
        <v>0.94164995272373087</v>
      </c>
      <c r="G66" s="60">
        <v>0.94243291213265212</v>
      </c>
      <c r="H66" s="60">
        <v>0.9432157800141221</v>
      </c>
      <c r="I66" s="60">
        <v>0.94399854413729956</v>
      </c>
      <c r="J66" s="60">
        <v>0.94438988346085417</v>
      </c>
      <c r="K66" s="60">
        <v>0.94478119224754098</v>
      </c>
      <c r="L66" s="60">
        <v>0.94869226215686542</v>
      </c>
      <c r="M66" s="60">
        <v>0.95649859851584018</v>
      </c>
      <c r="N66" s="60">
        <v>0.97200442079206473</v>
      </c>
      <c r="O66" s="60">
        <v>1.0022428097468683</v>
      </c>
      <c r="P66" s="60">
        <v>1.016787086070063</v>
      </c>
      <c r="Q66" s="60">
        <v>1.0238778451592816</v>
      </c>
      <c r="R66" s="60">
        <v>1.0308349708120537</v>
      </c>
      <c r="S66" s="60">
        <v>1.0376498321261012</v>
      </c>
      <c r="T66" s="60">
        <v>1.0443145754412284</v>
      </c>
      <c r="U66" s="60">
        <v>1.0508221559133353</v>
      </c>
      <c r="V66" s="60">
        <v>1.05716635815987</v>
      </c>
      <c r="W66" s="60">
        <v>1.063341806430131</v>
      </c>
      <c r="X66" s="60">
        <v>1.0693439649244867</v>
      </c>
      <c r="Y66" s="60">
        <v>1.0751691290193566</v>
      </c>
      <c r="Z66" s="60">
        <v>1.0808144082518647</v>
      </c>
      <c r="AA66" s="60">
        <v>1.0862777019827465</v>
      </c>
      <c r="AB66" s="60">
        <v>1.0915576686922419</v>
      </c>
      <c r="AC66" s="60">
        <v>1.0966536898753791</v>
      </c>
      <c r="AD66" s="60">
        <v>1.1015658294941593</v>
      </c>
      <c r="AE66" s="60">
        <v>1.1062947899181526</v>
      </c>
      <c r="AF66" s="60">
        <v>1.1108418652450822</v>
      </c>
      <c r="AG66" s="60">
        <v>1.1152088928418165</v>
      </c>
      <c r="AH66" s="60">
        <v>1.1193982038860886</v>
      </c>
      <c r="AI66" s="60">
        <f t="shared" ref="AI66:AI129" si="3">AH66</f>
        <v>1.1193982038860886</v>
      </c>
      <c r="AJ66" s="13">
        <v>400</v>
      </c>
    </row>
    <row r="67" spans="1:36" ht="9.9499999999999993" customHeight="1" x14ac:dyDescent="0.2">
      <c r="A67" s="60">
        <f t="shared" si="2"/>
        <v>0.94236568392391262</v>
      </c>
      <c r="B67" s="60">
        <v>0.94236568392391262</v>
      </c>
      <c r="C67" s="60">
        <v>0.94247976016858037</v>
      </c>
      <c r="D67" s="60">
        <v>0.94266988123311357</v>
      </c>
      <c r="E67" s="60">
        <v>0.94289801637382498</v>
      </c>
      <c r="F67" s="60">
        <v>0.94305010018100532</v>
      </c>
      <c r="G67" s="60">
        <v>0.94381044033901074</v>
      </c>
      <c r="H67" s="60">
        <v>0.94457064062003737</v>
      </c>
      <c r="I67" s="60">
        <v>0.94533068953564159</v>
      </c>
      <c r="J67" s="60">
        <v>0.94571065363631934</v>
      </c>
      <c r="K67" s="60">
        <v>0.94609057557936393</v>
      </c>
      <c r="L67" s="60">
        <v>0.9498871588532497</v>
      </c>
      <c r="M67" s="60">
        <v>0.95746145328339927</v>
      </c>
      <c r="N67" s="60">
        <v>0.97249380121633167</v>
      </c>
      <c r="O67" s="60">
        <v>1.0017723835526429</v>
      </c>
      <c r="P67" s="60">
        <v>1.0158448201715311</v>
      </c>
      <c r="Q67" s="60">
        <v>1.0227047569043533</v>
      </c>
      <c r="R67" s="60">
        <v>1.0294355486372466</v>
      </c>
      <c r="S67" s="60">
        <v>1.0360293232484952</v>
      </c>
      <c r="T67" s="60">
        <v>1.0424789304961017</v>
      </c>
      <c r="U67" s="60">
        <v>1.0487779680328617</v>
      </c>
      <c r="V67" s="60">
        <v>1.0549207977118673</v>
      </c>
      <c r="W67" s="60">
        <v>1.0609025526325528</v>
      </c>
      <c r="X67" s="60">
        <v>1.0667191355197891</v>
      </c>
      <c r="Y67" s="60">
        <v>1.0723672091375873</v>
      </c>
      <c r="Z67" s="60">
        <v>1.0778441795167686</v>
      </c>
      <c r="AA67" s="60">
        <v>1.0831481728255521</v>
      </c>
      <c r="AB67" s="60">
        <v>1.08827800673691</v>
      </c>
      <c r="AC67" s="60">
        <v>1.0932331571504721</v>
      </c>
      <c r="AD67" s="60">
        <v>1.0980137211132159</v>
      </c>
      <c r="AE67" s="60">
        <v>1.1026203767553782</v>
      </c>
      <c r="AF67" s="60">
        <v>1.1070543410188605</v>
      </c>
      <c r="AG67" s="60">
        <v>1.111317325907258</v>
      </c>
      <c r="AH67" s="60">
        <v>1.1154114939316999</v>
      </c>
      <c r="AI67" s="60">
        <f t="shared" si="3"/>
        <v>1.1154114939316999</v>
      </c>
      <c r="AJ67" s="13">
        <v>405</v>
      </c>
    </row>
    <row r="68" spans="1:36" ht="9.9499999999999993" customHeight="1" x14ac:dyDescent="0.2">
      <c r="A68" s="60">
        <f t="shared" si="2"/>
        <v>0.94380554138329364</v>
      </c>
      <c r="B68" s="60">
        <v>0.94380554138329364</v>
      </c>
      <c r="C68" s="60">
        <v>0.94391637230972958</v>
      </c>
      <c r="D68" s="60">
        <v>0.94410108231763235</v>
      </c>
      <c r="E68" s="60">
        <v>0.9443227205853405</v>
      </c>
      <c r="F68" s="60">
        <v>0.94447047096759784</v>
      </c>
      <c r="G68" s="60">
        <v>0.94520911809355934</v>
      </c>
      <c r="H68" s="60">
        <v>0.94594758267331702</v>
      </c>
      <c r="I68" s="60">
        <v>0.94668585391764681</v>
      </c>
      <c r="J68" s="60">
        <v>0.94705491366379491</v>
      </c>
      <c r="K68" s="60">
        <v>0.94742392102425133</v>
      </c>
      <c r="L68" s="60">
        <v>0.9511108156068564</v>
      </c>
      <c r="M68" s="60">
        <v>0.9584630558152093</v>
      </c>
      <c r="N68" s="60">
        <v>0.97304327587974415</v>
      </c>
      <c r="O68" s="60">
        <v>1.0014083301369967</v>
      </c>
      <c r="P68" s="60">
        <v>1.0150326260391322</v>
      </c>
      <c r="Q68" s="60">
        <v>1.0216734476720233</v>
      </c>
      <c r="R68" s="60">
        <v>1.0281894131192859</v>
      </c>
      <c r="S68" s="60">
        <v>1.0345733344230497</v>
      </c>
      <c r="T68" s="60">
        <v>1.0408186945808251</v>
      </c>
      <c r="U68" s="60">
        <v>1.0469196688913509</v>
      </c>
      <c r="V68" s="60">
        <v>1.0528711376620992</v>
      </c>
      <c r="W68" s="60">
        <v>1.0586686907176859</v>
      </c>
      <c r="X68" s="60">
        <v>1.0643086242673967</v>
      </c>
      <c r="Y68" s="60">
        <v>1.0697879307796947</v>
      </c>
      <c r="Z68" s="60">
        <v>1.0751042825739194</v>
      </c>
      <c r="AA68" s="60">
        <v>1.0802560098771676</v>
      </c>
      <c r="AB68" s="60">
        <v>1.0852420741107982</v>
      </c>
      <c r="AC68" s="60">
        <v>1.090062037169383</v>
      </c>
      <c r="AD68" s="60">
        <v>1.0947160274384777</v>
      </c>
      <c r="AE68" s="60">
        <v>1.0992047032691756</v>
      </c>
      <c r="AF68" s="60">
        <v>1.1035292145896316</v>
      </c>
      <c r="AG68" s="60">
        <v>1.1076911632888193</v>
      </c>
      <c r="AH68" s="60">
        <v>1.1116925629575827</v>
      </c>
      <c r="AI68" s="60">
        <f t="shared" si="3"/>
        <v>1.1116925629575827</v>
      </c>
      <c r="AJ68" s="13">
        <v>410</v>
      </c>
    </row>
    <row r="69" spans="1:36" ht="9.9499999999999993" customHeight="1" x14ac:dyDescent="0.2">
      <c r="A69" s="60">
        <f t="shared" si="2"/>
        <v>0.94526355708615717</v>
      </c>
      <c r="B69" s="60">
        <v>0.94526355708615717</v>
      </c>
      <c r="C69" s="60">
        <v>0.94537127315336622</v>
      </c>
      <c r="D69" s="60">
        <v>0.94555078979460916</v>
      </c>
      <c r="E69" s="60">
        <v>0.9457661928427038</v>
      </c>
      <c r="F69" s="60">
        <v>0.94590978449296581</v>
      </c>
      <c r="G69" s="60">
        <v>0.9466276151274523</v>
      </c>
      <c r="H69" s="60">
        <v>0.94734522564320611</v>
      </c>
      <c r="I69" s="60">
        <v>0.94806260590891678</v>
      </c>
      <c r="J69" s="60">
        <v>0.94842120652952588</v>
      </c>
      <c r="K69" s="60">
        <v>0.94877974578441038</v>
      </c>
      <c r="L69" s="60">
        <v>0.95236148388397912</v>
      </c>
      <c r="M69" s="60">
        <v>0.95950108408529089</v>
      </c>
      <c r="N69" s="60">
        <v>0.97364922056298464</v>
      </c>
      <c r="O69" s="60">
        <v>1.0011439554286181</v>
      </c>
      <c r="P69" s="60">
        <v>1.0143421587907282</v>
      </c>
      <c r="Q69" s="60">
        <v>1.0207747475032209</v>
      </c>
      <c r="R69" s="60">
        <v>1.0270865809395278</v>
      </c>
      <c r="S69" s="60">
        <v>1.0332710890717405</v>
      </c>
      <c r="T69" s="60">
        <v>1.0393223259516982</v>
      </c>
      <c r="U69" s="60">
        <v>1.0452349871314168</v>
      </c>
      <c r="V69" s="60">
        <v>1.0510044193879151</v>
      </c>
      <c r="W69" s="60">
        <v>1.056626623175752</v>
      </c>
      <c r="X69" s="60">
        <v>1.0620982483300665</v>
      </c>
      <c r="Y69" s="60">
        <v>1.0674165836166887</v>
      </c>
      <c r="Z69" s="60">
        <v>1.072579540775787</v>
      </c>
      <c r="AA69" s="60">
        <v>1.0775856337340697</v>
      </c>
      <c r="AB69" s="60">
        <v>1.0824339536706269</v>
      </c>
      <c r="AC69" s="60">
        <v>1.0871241406160264</v>
      </c>
      <c r="AD69" s="60">
        <v>1.0916563522461467</v>
      </c>
      <c r="AE69" s="60">
        <v>1.096031230504023</v>
      </c>
      <c r="AF69" s="60">
        <v>1.1002498666470297</v>
      </c>
      <c r="AG69" s="60">
        <v>1.1043137652750208</v>
      </c>
      <c r="AH69" s="60">
        <v>1.1082248078492438</v>
      </c>
      <c r="AI69" s="60">
        <f t="shared" si="3"/>
        <v>1.1082248078492438</v>
      </c>
      <c r="AJ69" s="13">
        <v>415</v>
      </c>
    </row>
    <row r="70" spans="1:36" ht="9.9499999999999993" customHeight="1" x14ac:dyDescent="0.2">
      <c r="A70" s="60">
        <f t="shared" si="2"/>
        <v>0.94673850980336516</v>
      </c>
      <c r="B70" s="60">
        <v>0.94673850980336516</v>
      </c>
      <c r="C70" s="60">
        <v>0.94684323462168363</v>
      </c>
      <c r="D70" s="60">
        <v>0.94701776414555161</v>
      </c>
      <c r="E70" s="60">
        <v>0.94722717985533555</v>
      </c>
      <c r="F70" s="60">
        <v>0.94736677825893933</v>
      </c>
      <c r="G70" s="60">
        <v>0.94806462259073021</v>
      </c>
      <c r="H70" s="60">
        <v>0.94876221380624925</v>
      </c>
      <c r="I70" s="60">
        <v>0.949459542392732</v>
      </c>
      <c r="J70" s="60">
        <v>0.94980810522587822</v>
      </c>
      <c r="K70" s="60">
        <v>0.95015659883212122</v>
      </c>
      <c r="L70" s="60">
        <v>0.95363746541387528</v>
      </c>
      <c r="M70" s="60">
        <v>0.96057330795345885</v>
      </c>
      <c r="N70" s="60">
        <v>0.97430820408443253</v>
      </c>
      <c r="O70" s="60">
        <v>1.0009730191637491</v>
      </c>
      <c r="P70" s="60">
        <v>1.0137656746531092</v>
      </c>
      <c r="Q70" s="60">
        <v>1.0200001619768277</v>
      </c>
      <c r="R70" s="60">
        <v>1.0261178178265196</v>
      </c>
      <c r="S70" s="60">
        <v>1.0321126311784119</v>
      </c>
      <c r="T70" s="60">
        <v>1.0379791719084679</v>
      </c>
      <c r="U70" s="60">
        <v>1.0437126049106453</v>
      </c>
      <c r="V70" s="60">
        <v>1.0493086973503942</v>
      </c>
      <c r="W70" s="60">
        <v>1.0547638194575346</v>
      </c>
      <c r="X70" s="60">
        <v>1.0600749393459163</v>
      </c>
      <c r="Y70" s="60">
        <v>1.065239612407975</v>
      </c>
      <c r="Z70" s="60">
        <v>1.0702559658721844</v>
      </c>
      <c r="AA70" s="60">
        <v>1.0751226791327189</v>
      </c>
      <c r="AB70" s="60">
        <v>1.079838960465932</v>
      </c>
      <c r="AC70" s="60">
        <v>1.0844045207401578</v>
      </c>
      <c r="AD70" s="60">
        <v>1.0888195447064213</v>
      </c>
      <c r="AE70" s="60">
        <v>1.0930846604301883</v>
      </c>
      <c r="AF70" s="60">
        <v>1.0972009073904101</v>
      </c>
      <c r="AG70" s="60">
        <v>1.1011697037335555</v>
      </c>
      <c r="AH70" s="60">
        <v>1.1049928131285944</v>
      </c>
      <c r="AI70" s="60">
        <f t="shared" si="3"/>
        <v>1.1049928131285944</v>
      </c>
      <c r="AJ70" s="13">
        <v>420</v>
      </c>
    </row>
    <row r="71" spans="1:36" ht="9.9499999999999993" customHeight="1" x14ac:dyDescent="0.2">
      <c r="A71" s="60">
        <f t="shared" si="2"/>
        <v>0.94822919618022672</v>
      </c>
      <c r="B71" s="60">
        <v>0.94822919618022672</v>
      </c>
      <c r="C71" s="60">
        <v>0.94833104695914061</v>
      </c>
      <c r="D71" s="60">
        <v>0.94850078492333256</v>
      </c>
      <c r="E71" s="60">
        <v>0.94870444830746437</v>
      </c>
      <c r="F71" s="60">
        <v>0.94884021034719424</v>
      </c>
      <c r="G71" s="60">
        <v>0.94951885527136393</v>
      </c>
      <c r="H71" s="60">
        <v>0.95019721818987302</v>
      </c>
      <c r="I71" s="60">
        <v>0.95087529017109207</v>
      </c>
      <c r="J71" s="60">
        <v>0.95121421426844432</v>
      </c>
      <c r="K71" s="60">
        <v>0.95155306228112202</v>
      </c>
      <c r="L71" s="60">
        <v>0.95493711200395925</v>
      </c>
      <c r="M71" s="60">
        <v>0.9616775853183025</v>
      </c>
      <c r="N71" s="60">
        <v>0.97501697490867167</v>
      </c>
      <c r="O71" s="60">
        <v>1.0008896946047341</v>
      </c>
      <c r="P71" s="60">
        <v>1.013295974770519</v>
      </c>
      <c r="Q71" s="60">
        <v>1.019341807904909</v>
      </c>
      <c r="R71" s="60">
        <v>1.0252745662358482</v>
      </c>
      <c r="S71" s="60">
        <v>1.0310887452068216</v>
      </c>
      <c r="T71" s="60">
        <v>1.036779381356421</v>
      </c>
      <c r="U71" s="60">
        <v>1.0423420636577345</v>
      </c>
      <c r="V71" s="60">
        <v>1.0477729387262378</v>
      </c>
      <c r="W71" s="60">
        <v>1.0530687102792569</v>
      </c>
      <c r="X71" s="60">
        <v>1.0582266332997894</v>
      </c>
      <c r="Y71" s="60">
        <v>1.0632445034074511</v>
      </c>
      <c r="Z71" s="60">
        <v>1.0681206419711264</v>
      </c>
      <c r="AA71" s="60">
        <v>1.0728538775135148</v>
      </c>
      <c r="AB71" s="60">
        <v>1.0774435239595239</v>
      </c>
      <c r="AC71" s="60">
        <v>1.0818893562706551</v>
      </c>
      <c r="AD71" s="60">
        <v>1.0861915839884211</v>
      </c>
      <c r="AE71" s="60">
        <v>1.0903508231835131</v>
      </c>
      <c r="AF71" s="60">
        <v>1.0943680672757237</v>
      </c>
      <c r="AG71" s="60">
        <v>1.0982446571541264</v>
      </c>
      <c r="AH71" s="60">
        <v>1.1019822509890176</v>
      </c>
      <c r="AI71" s="60">
        <f t="shared" si="3"/>
        <v>1.1019822509890176</v>
      </c>
      <c r="AJ71" s="13">
        <v>425</v>
      </c>
    </row>
    <row r="72" spans="1:36" ht="9.9499999999999993" customHeight="1" x14ac:dyDescent="0.2">
      <c r="A72" s="60">
        <f t="shared" si="2"/>
        <v>0.94973443315913153</v>
      </c>
      <c r="B72" s="60">
        <v>0.94973443315913153</v>
      </c>
      <c r="C72" s="60">
        <v>0.94983352111985075</v>
      </c>
      <c r="D72" s="60">
        <v>0.94999865308053855</v>
      </c>
      <c r="E72" s="60">
        <v>0.95019678711511812</v>
      </c>
      <c r="F72" s="60">
        <v>0.9503288616283625</v>
      </c>
      <c r="G72" s="60">
        <v>0.95098905356128671</v>
      </c>
      <c r="H72" s="60">
        <v>0.95164893828916264</v>
      </c>
      <c r="I72" s="60">
        <v>0.95230850742604145</v>
      </c>
      <c r="J72" s="60">
        <v>0.95263817102730586</v>
      </c>
      <c r="K72" s="60">
        <v>0.952967752586249</v>
      </c>
      <c r="L72" s="60">
        <v>0.95625882533665851</v>
      </c>
      <c r="M72" s="60">
        <v>0.96281185862936225</v>
      </c>
      <c r="N72" s="60">
        <v>0.97577244916886097</v>
      </c>
      <c r="O72" s="60">
        <v>1.0008885329106993</v>
      </c>
      <c r="P72" s="60">
        <v>1.0129263556655013</v>
      </c>
      <c r="Q72" s="60">
        <v>1.0187923567077701</v>
      </c>
      <c r="R72" s="60">
        <v>1.0245488817234503</v>
      </c>
      <c r="S72" s="60">
        <v>1.0301908856867892</v>
      </c>
      <c r="T72" s="60">
        <v>1.035713827947359</v>
      </c>
      <c r="U72" s="60">
        <v>1.0411136812307997</v>
      </c>
      <c r="V72" s="60">
        <v>1.0463869351561097</v>
      </c>
      <c r="W72" s="60">
        <v>1.0515305946305384</v>
      </c>
      <c r="X72" s="60">
        <v>1.0565421735415523</v>
      </c>
      <c r="Y72" s="60">
        <v>1.0614196842064987</v>
      </c>
      <c r="Z72" s="60">
        <v>1.0661616230658222</v>
      </c>
      <c r="AA72" s="60">
        <v>1.0707669531169093</v>
      </c>
      <c r="AB72" s="60">
        <v>1.0752350835847388</v>
      </c>
      <c r="AC72" s="60">
        <v>1.0795658473147034</v>
      </c>
      <c r="AD72" s="60">
        <v>1.0837594763541012</v>
      </c>
      <c r="AE72" s="60">
        <v>1.0878165761638396</v>
      </c>
      <c r="AF72" s="60">
        <v>1.0917380988723622</v>
      </c>
      <c r="AG72" s="60">
        <v>1.0955253159512193</v>
      </c>
      <c r="AH72" s="60">
        <v>1.0991797906571081</v>
      </c>
      <c r="AI72" s="60">
        <f t="shared" si="3"/>
        <v>1.0991797906571081</v>
      </c>
      <c r="AJ72" s="13">
        <v>430</v>
      </c>
    </row>
    <row r="73" spans="1:36" ht="9.9499999999999993" customHeight="1" x14ac:dyDescent="0.2">
      <c r="A73" s="60">
        <f t="shared" si="2"/>
        <v>0.9512530601174074</v>
      </c>
      <c r="B73" s="60">
        <v>0.9512530601174074</v>
      </c>
      <c r="C73" s="60">
        <v>0.95134949087344156</v>
      </c>
      <c r="D73" s="60">
        <v>0.95151019302172901</v>
      </c>
      <c r="E73" s="60">
        <v>0.95170300941362118</v>
      </c>
      <c r="F73" s="60">
        <v>0.95183153770608753</v>
      </c>
      <c r="G73" s="60">
        <v>0.95247398517998338</v>
      </c>
      <c r="H73" s="60">
        <v>0.95311610356456888</v>
      </c>
      <c r="I73" s="60">
        <v>0.95375788498604341</v>
      </c>
      <c r="J73" s="60">
        <v>0.95407864687569444</v>
      </c>
      <c r="K73" s="60">
        <v>0.95439932157301532</v>
      </c>
      <c r="L73" s="60">
        <v>0.95760105673236184</v>
      </c>
      <c r="M73" s="60">
        <v>0.96397415169871015</v>
      </c>
      <c r="N73" s="60">
        <v>0.97657169991027182</v>
      </c>
      <c r="O73" s="60">
        <v>1.0009644315246065</v>
      </c>
      <c r="P73" s="60">
        <v>1.0126505654314548</v>
      </c>
      <c r="Q73" s="60">
        <v>1.0183449844010697</v>
      </c>
      <c r="R73" s="60">
        <v>1.0239333767999383</v>
      </c>
      <c r="S73" s="60">
        <v>1.0294111151182357</v>
      </c>
      <c r="T73" s="60">
        <v>1.0347740423228626</v>
      </c>
      <c r="U73" s="60">
        <v>1.0400184788905167</v>
      </c>
      <c r="V73" s="60">
        <v>1.0451412249308187</v>
      </c>
      <c r="W73" s="60">
        <v>1.0501395577382913</v>
      </c>
      <c r="X73" s="60">
        <v>1.0550112251609791</v>
      </c>
      <c r="Y73" s="60">
        <v>1.0597544352073347</v>
      </c>
      <c r="Z73" s="60">
        <v>1.0643678423329401</v>
      </c>
      <c r="AA73" s="60">
        <v>1.0688505308563701</v>
      </c>
      <c r="AB73" s="60">
        <v>1.0732019959507222</v>
      </c>
      <c r="AC73" s="60">
        <v>1.0774221226459699</v>
      </c>
      <c r="AD73" s="60">
        <v>1.0815111632590024</v>
      </c>
      <c r="AE73" s="60">
        <v>1.0854697136446947</v>
      </c>
      <c r="AF73" s="60">
        <v>1.0892986886340195</v>
      </c>
      <c r="AG73" s="60">
        <v>1.0929992969953091</v>
      </c>
      <c r="AH73" s="60">
        <v>1.0965730162233613</v>
      </c>
      <c r="AI73" s="60">
        <f t="shared" si="3"/>
        <v>1.0965730162233613</v>
      </c>
      <c r="AJ73" s="13">
        <v>435</v>
      </c>
    </row>
    <row r="74" spans="1:36" ht="9.9499999999999993" customHeight="1" x14ac:dyDescent="0.2">
      <c r="A74" s="60">
        <f t="shared" si="2"/>
        <v>0.95278394073643646</v>
      </c>
      <c r="B74" s="60">
        <v>0.95278394073643646</v>
      </c>
      <c r="C74" s="60">
        <v>0.95287781464507848</v>
      </c>
      <c r="D74" s="60">
        <v>0.95303425439473421</v>
      </c>
      <c r="E74" s="60">
        <v>0.95322195429002965</v>
      </c>
      <c r="F74" s="60">
        <v>0.95334707060997703</v>
      </c>
      <c r="G74" s="60">
        <v>0.95397244666719483</v>
      </c>
      <c r="H74" s="60">
        <v>0.95459747472959033</v>
      </c>
      <c r="I74" s="60">
        <v>0.95522214740385769</v>
      </c>
      <c r="J74" s="60">
        <v>0.95553434816116578</v>
      </c>
      <c r="K74" s="60">
        <v>0.95584645730087792</v>
      </c>
      <c r="L74" s="60">
        <v>0.9589623068671248</v>
      </c>
      <c r="M74" s="60">
        <v>0.96516256676181522</v>
      </c>
      <c r="N74" s="60">
        <v>0.97741194739101012</v>
      </c>
      <c r="O74" s="60">
        <v>1.0011126060371509</v>
      </c>
      <c r="P74" s="60">
        <v>1.0124627648775881</v>
      </c>
      <c r="Q74" s="60">
        <v>1.0179933272919202</v>
      </c>
      <c r="R74" s="60">
        <v>1.023421171241039</v>
      </c>
      <c r="S74" s="60">
        <v>1.0287420490519386</v>
      </c>
      <c r="T74" s="60">
        <v>1.0339521522115482</v>
      </c>
      <c r="U74" s="60">
        <v>1.0390481167452381</v>
      </c>
      <c r="V74" s="60">
        <v>1.0440270241935856</v>
      </c>
      <c r="W74" s="60">
        <v>1.0488863985042267</v>
      </c>
      <c r="X74" s="60">
        <v>1.0536241991966875</v>
      </c>
      <c r="Y74" s="60">
        <v>1.0582388111858905</v>
      </c>
      <c r="Z74" s="60">
        <v>1.0627290316656972</v>
      </c>
      <c r="AA74" s="60">
        <v>1.0670940544588605</v>
      </c>
      <c r="AB74" s="60">
        <v>1.0713334522356524</v>
      </c>
      <c r="AC74" s="60">
        <v>1.0754471569918551</v>
      </c>
      <c r="AD74" s="60">
        <v>1.0794354391592809</v>
      </c>
      <c r="AE74" s="60">
        <v>1.0832988856999597</v>
      </c>
      <c r="AF74" s="60">
        <v>1.0870383775099093</v>
      </c>
      <c r="AG74" s="60">
        <v>1.0906550664310295</v>
      </c>
      <c r="AH74" s="60">
        <v>1.0941503521411124</v>
      </c>
      <c r="AI74" s="60">
        <f t="shared" si="3"/>
        <v>1.0941503521411124</v>
      </c>
      <c r="AJ74" s="13">
        <v>440</v>
      </c>
    </row>
    <row r="75" spans="1:36" ht="9.9499999999999993" customHeight="1" x14ac:dyDescent="0.2">
      <c r="A75" s="60">
        <f t="shared" si="2"/>
        <v>0.95432596461822938</v>
      </c>
      <c r="B75" s="60">
        <v>0.95432596461822938</v>
      </c>
      <c r="C75" s="60">
        <v>0.95441737710554742</v>
      </c>
      <c r="D75" s="60">
        <v>0.95456971363637821</v>
      </c>
      <c r="E75" s="60">
        <v>0.95475248827527603</v>
      </c>
      <c r="F75" s="60">
        <v>0.95487432025182417</v>
      </c>
      <c r="G75" s="60">
        <v>0.95548326465698363</v>
      </c>
      <c r="H75" s="60">
        <v>0.95609184483848331</v>
      </c>
      <c r="I75" s="60">
        <v>0.95670005385367662</v>
      </c>
      <c r="J75" s="60">
        <v>0.95700401700586524</v>
      </c>
      <c r="K75" s="60">
        <v>0.95730788476557438</v>
      </c>
      <c r="L75" s="60">
        <v>0.96034112543729377</v>
      </c>
      <c r="M75" s="60">
        <v>0.96637528174641862</v>
      </c>
      <c r="N75" s="60">
        <v>0.97829055030016854</v>
      </c>
      <c r="O75" s="60">
        <v>1.0013285650684483</v>
      </c>
      <c r="P75" s="60">
        <v>1.0123574929647068</v>
      </c>
      <c r="Q75" s="60">
        <v>1.0177314426179456</v>
      </c>
      <c r="R75" s="60">
        <v>1.0230058479852171</v>
      </c>
      <c r="S75" s="60">
        <v>1.0281768073796533</v>
      </c>
      <c r="T75" s="60">
        <v>1.0332408293219224</v>
      </c>
      <c r="U75" s="60">
        <v>1.0381948365287852</v>
      </c>
      <c r="V75" s="60">
        <v>1.0430361659508527</v>
      </c>
      <c r="W75" s="60">
        <v>1.0477625651549987</v>
      </c>
      <c r="X75" s="60">
        <v>1.0523721853813159</v>
      </c>
      <c r="Y75" s="60">
        <v>1.0568635716273074</v>
      </c>
      <c r="Z75" s="60">
        <v>1.0612356501242113</v>
      </c>
      <c r="AA75" s="60">
        <v>1.0654877135732459</v>
      </c>
      <c r="AB75" s="60">
        <v>1.0696194045045428</v>
      </c>
      <c r="AC75" s="60">
        <v>1.0736306971100202</v>
      </c>
      <c r="AD75" s="60">
        <v>1.0775218778847897</v>
      </c>
      <c r="AE75" s="60">
        <v>1.0812935253911844</v>
      </c>
      <c r="AF75" s="60">
        <v>1.0849464894362542</v>
      </c>
      <c r="AG75" s="60">
        <v>1.088481869928563</v>
      </c>
      <c r="AH75" s="60">
        <v>1.0919009956541854</v>
      </c>
      <c r="AI75" s="60">
        <f t="shared" si="3"/>
        <v>1.0919009956541854</v>
      </c>
      <c r="AJ75" s="13">
        <v>445</v>
      </c>
    </row>
    <row r="76" spans="1:36" ht="9.9499999999999993" customHeight="1" x14ac:dyDescent="0.2">
      <c r="A76" s="60">
        <f t="shared" si="2"/>
        <v>0.9558780486656353</v>
      </c>
      <c r="B76" s="60">
        <v>0.9558780486656353</v>
      </c>
      <c r="C76" s="60">
        <v>0.95596709052731144</v>
      </c>
      <c r="D76" s="60">
        <v>0.95611547528809293</v>
      </c>
      <c r="E76" s="60">
        <v>0.95629350661095003</v>
      </c>
      <c r="F76" s="60">
        <v>0.9564121756596442</v>
      </c>
      <c r="G76" s="60">
        <v>0.95700529694584602</v>
      </c>
      <c r="H76" s="60">
        <v>0.95759804018473871</v>
      </c>
      <c r="I76" s="60">
        <v>0.95819039885625068</v>
      </c>
      <c r="J76" s="60">
        <v>0.95848643194358141</v>
      </c>
      <c r="K76" s="60">
        <v>0.95878236644717374</v>
      </c>
      <c r="L76" s="60">
        <v>0.96173611076608501</v>
      </c>
      <c r="M76" s="60">
        <v>0.96761054771509813</v>
      </c>
      <c r="N76" s="60">
        <v>0.97920499777419079</v>
      </c>
      <c r="O76" s="60">
        <v>1.0016080877759588</v>
      </c>
      <c r="P76" s="60">
        <v>1.0123296359686751</v>
      </c>
      <c r="Q76" s="60">
        <v>1.0175537734777034</v>
      </c>
      <c r="R76" s="60">
        <v>1.0226814138796985</v>
      </c>
      <c r="S76" s="60">
        <v>1.0277089710112548</v>
      </c>
      <c r="T76" s="60">
        <v>1.0326332421309079</v>
      </c>
      <c r="U76" s="60">
        <v>1.0374514107416548</v>
      </c>
      <c r="V76" s="60">
        <v>1.0421610458633155</v>
      </c>
      <c r="W76" s="60">
        <v>1.0467600980296503</v>
      </c>
      <c r="X76" s="60">
        <v>1.0512468923140237</v>
      </c>
      <c r="Y76" s="60">
        <v>1.0556201187060708</v>
      </c>
      <c r="Z76" s="60">
        <v>1.0598788201711984</v>
      </c>
      <c r="AA76" s="60">
        <v>1.0640223787260523</v>
      </c>
      <c r="AB76" s="60">
        <v>1.0680504998574178</v>
      </c>
      <c r="AC76" s="60">
        <v>1.0719631956007745</v>
      </c>
      <c r="AD76" s="60">
        <v>1.0757607665789952</v>
      </c>
      <c r="AE76" s="60">
        <v>1.0794437832826476</v>
      </c>
      <c r="AF76" s="60">
        <v>1.0830130668519935</v>
      </c>
      <c r="AG76" s="60">
        <v>1.0864696695979421</v>
      </c>
      <c r="AH76" s="60">
        <v>1.0898148554756621</v>
      </c>
      <c r="AI76" s="60">
        <f t="shared" si="3"/>
        <v>1.0898148554756621</v>
      </c>
      <c r="AJ76" s="13">
        <v>450</v>
      </c>
    </row>
    <row r="77" spans="1:36" ht="9.9499999999999993" customHeight="1" x14ac:dyDescent="0.2">
      <c r="A77" s="60">
        <f t="shared" si="2"/>
        <v>0.95743913824219029</v>
      </c>
      <c r="B77" s="60">
        <v>0.95743913824219029</v>
      </c>
      <c r="C77" s="60">
        <v>0.95752589592230497</v>
      </c>
      <c r="D77" s="60">
        <v>0.9576704730967962</v>
      </c>
      <c r="E77" s="60">
        <v>0.9578439343056051</v>
      </c>
      <c r="F77" s="60">
        <v>0.95795955600410354</v>
      </c>
      <c r="G77" s="60">
        <v>0.95853743336778952</v>
      </c>
      <c r="H77" s="60">
        <v>0.95911492102153117</v>
      </c>
      <c r="I77" s="60">
        <v>0.95969201284142602</v>
      </c>
      <c r="J77" s="60">
        <v>0.95998040840209342</v>
      </c>
      <c r="K77" s="60">
        <v>0.96026870271140985</v>
      </c>
      <c r="L77" s="60">
        <v>0.96314590934948952</v>
      </c>
      <c r="M77" s="60">
        <v>0.968866686453276</v>
      </c>
      <c r="N77" s="60">
        <v>0.98015290210960659</v>
      </c>
      <c r="O77" s="60">
        <v>1.0019472036538672</v>
      </c>
      <c r="P77" s="60">
        <v>1.0123743998909174</v>
      </c>
      <c r="Q77" s="60">
        <v>1.0174551174967184</v>
      </c>
      <c r="R77" s="60">
        <v>1.0224422646450488</v>
      </c>
      <c r="S77" s="60">
        <v>1.0273325432379119</v>
      </c>
      <c r="T77" s="60">
        <v>1.0321230138008006</v>
      </c>
      <c r="U77" s="60">
        <v>1.036811097328846</v>
      </c>
      <c r="V77" s="60">
        <v>1.0413945739392025</v>
      </c>
      <c r="W77" s="60">
        <v>1.0458715785850348</v>
      </c>
      <c r="X77" s="60">
        <v>1.0502405941106616</v>
      </c>
      <c r="Y77" s="60">
        <v>1.0545004419426578</v>
      </c>
      <c r="Z77" s="60">
        <v>1.0586502707188157</v>
      </c>
      <c r="AA77" s="60">
        <v>1.0626895431569059</v>
      </c>
      <c r="AB77" s="60">
        <v>1.0666180214591716</v>
      </c>
      <c r="AC77" s="60">
        <v>1.0704357515375922</v>
      </c>
      <c r="AD77" s="60">
        <v>1.0741430463301938</v>
      </c>
      <c r="AE77" s="60">
        <v>1.0777404684610605</v>
      </c>
      <c r="AF77" s="60">
        <v>1.0812288124771037</v>
      </c>
      <c r="AG77" s="60">
        <v>1.0846090868738063</v>
      </c>
      <c r="AH77" s="60">
        <v>1.0878824961007489</v>
      </c>
      <c r="AI77" s="60">
        <f t="shared" si="3"/>
        <v>1.0878824961007489</v>
      </c>
      <c r="AJ77" s="13">
        <v>455</v>
      </c>
    </row>
    <row r="78" spans="1:36" ht="9.9499999999999993" customHeight="1" x14ac:dyDescent="0.2">
      <c r="A78" s="60">
        <f t="shared" si="2"/>
        <v>0.95900820812730581</v>
      </c>
      <c r="B78" s="60">
        <v>0.95900820812730581</v>
      </c>
      <c r="C78" s="60">
        <v>0.95909276397696319</v>
      </c>
      <c r="D78" s="60">
        <v>0.95923367091617384</v>
      </c>
      <c r="E78" s="60">
        <v>0.95940272699530571</v>
      </c>
      <c r="F78" s="60">
        <v>0.95951541143176988</v>
      </c>
      <c r="G78" s="60">
        <v>0.96007859648933991</v>
      </c>
      <c r="H78" s="60">
        <v>0.9606413821155847</v>
      </c>
      <c r="I78" s="60">
        <v>0.96120376255796347</v>
      </c>
      <c r="J78" s="60">
        <v>0.96148479903988082</v>
      </c>
      <c r="K78" s="60">
        <v>0.96176573207255434</v>
      </c>
      <c r="L78" s="60">
        <v>0.96456921534075135</v>
      </c>
      <c r="M78" s="60">
        <v>0.97014208817947301</v>
      </c>
      <c r="N78" s="60">
        <v>0.98113199208503865</v>
      </c>
      <c r="O78" s="60">
        <v>1.0023421743370109</v>
      </c>
      <c r="P78" s="60">
        <v>1.0124872857047018</v>
      </c>
      <c r="Q78" s="60">
        <v>1.0174305987538874</v>
      </c>
      <c r="R78" s="60">
        <v>1.0222831535199048</v>
      </c>
      <c r="S78" s="60">
        <v>1.0270419151821595</v>
      </c>
      <c r="T78" s="60">
        <v>1.0317041845687775</v>
      </c>
      <c r="U78" s="60">
        <v>1.0362675991871757</v>
      </c>
      <c r="V78" s="60">
        <v>1.0407301313782964</v>
      </c>
      <c r="W78" s="60">
        <v>1.0450900838313886</v>
      </c>
      <c r="X78" s="60">
        <v>1.0493460827164716</v>
      </c>
      <c r="Y78" s="60">
        <v>1.0534970687040144</v>
      </c>
      <c r="Z78" s="60">
        <v>1.0575422861466344</v>
      </c>
      <c r="AA78" s="60">
        <v>1.0614812706967027</v>
      </c>
      <c r="AB78" s="60">
        <v>1.0653138356275638</v>
      </c>
      <c r="AC78" s="60">
        <v>1.0690400571156178</v>
      </c>
      <c r="AD78" s="60">
        <v>1.0726602587267229</v>
      </c>
      <c r="AE78" s="60">
        <v>1.0761749953340984</v>
      </c>
      <c r="AF78" s="60">
        <v>1.0795850366769346</v>
      </c>
      <c r="AG78" s="60">
        <v>1.082891350749924</v>
      </c>
      <c r="AH78" s="60">
        <v>1.0860950871944592</v>
      </c>
      <c r="AI78" s="60">
        <f t="shared" si="3"/>
        <v>1.0860950871944592</v>
      </c>
      <c r="AJ78" s="13">
        <v>460</v>
      </c>
    </row>
    <row r="79" spans="1:36" ht="9.9499999999999993" customHeight="1" x14ac:dyDescent="0.2">
      <c r="A79" s="60">
        <f t="shared" si="2"/>
        <v>0.96058426328210678</v>
      </c>
      <c r="B79" s="60">
        <v>0.96058426328210678</v>
      </c>
      <c r="C79" s="60">
        <v>0.96066669579960473</v>
      </c>
      <c r="D79" s="60">
        <v>0.96080406342317726</v>
      </c>
      <c r="E79" s="60">
        <v>0.96096887162285294</v>
      </c>
      <c r="F79" s="60">
        <v>0.96107872371935443</v>
      </c>
      <c r="G79" s="60">
        <v>0.96162774213735525</v>
      </c>
      <c r="H79" s="60">
        <v>0.9621763531459866</v>
      </c>
      <c r="I79" s="60">
        <v>0.9627245513407845</v>
      </c>
      <c r="J79" s="60">
        <v>0.96299849394661552</v>
      </c>
      <c r="K79" s="60">
        <v>0.96327233132651546</v>
      </c>
      <c r="L79" s="60">
        <v>0.96600476997417739</v>
      </c>
      <c r="M79" s="60">
        <v>0.97143520935884109</v>
      </c>
      <c r="N79" s="60">
        <v>0.98214010681792629</v>
      </c>
      <c r="O79" s="60">
        <v>1.0027894771629242</v>
      </c>
      <c r="P79" s="60">
        <v>1.0126640670844445</v>
      </c>
      <c r="Q79" s="60">
        <v>1.0174756425608353</v>
      </c>
      <c r="R79" s="60">
        <v>1.0221991631244636</v>
      </c>
      <c r="S79" s="60">
        <v>1.0268318348214822</v>
      </c>
      <c r="T79" s="60">
        <v>1.0313711780468706</v>
      </c>
      <c r="U79" s="60">
        <v>1.0358150278958238</v>
      </c>
      <c r="V79" s="60">
        <v>1.0401615319218858</v>
      </c>
      <c r="W79" s="60">
        <v>1.0444091455213111</v>
      </c>
      <c r="X79" s="60">
        <v>1.0485566251801011</v>
      </c>
      <c r="Y79" s="60">
        <v>1.0526030198301934</v>
      </c>
      <c r="Z79" s="60">
        <v>1.056547660565081</v>
      </c>
      <c r="AA79" s="60">
        <v>1.0603901489634922</v>
      </c>
      <c r="AB79" s="60">
        <v>1.0641303442635619</v>
      </c>
      <c r="AC79" s="60">
        <v>1.0677683496199408</v>
      </c>
      <c r="AD79" s="60">
        <v>1.0713044976634556</v>
      </c>
      <c r="AE79" s="60">
        <v>1.0747393355679096</v>
      </c>
      <c r="AF79" s="60">
        <v>1.0780736098121626</v>
      </c>
      <c r="AG79" s="60">
        <v>1.0813082508082987</v>
      </c>
      <c r="AH79" s="60">
        <v>1.084444357549007</v>
      </c>
      <c r="AI79" s="60">
        <f t="shared" si="3"/>
        <v>1.084444357549007</v>
      </c>
      <c r="AJ79" s="13">
        <v>465</v>
      </c>
    </row>
    <row r="80" spans="1:36" ht="9.9499999999999993" customHeight="1" x14ac:dyDescent="0.2">
      <c r="A80" s="60">
        <f t="shared" si="2"/>
        <v>0.96216633944073682</v>
      </c>
      <c r="B80" s="60">
        <v>0.96216633944073682</v>
      </c>
      <c r="C80" s="60">
        <v>0.96224672349482365</v>
      </c>
      <c r="D80" s="60">
        <v>0.96238067666411209</v>
      </c>
      <c r="E80" s="60">
        <v>0.96254138694971914</v>
      </c>
      <c r="F80" s="60">
        <v>0.9626485067627697</v>
      </c>
      <c r="G80" s="60">
        <v>0.9631838597723078</v>
      </c>
      <c r="H80" s="60">
        <v>0.96371879895941459</v>
      </c>
      <c r="I80" s="60">
        <v>0.96425331924586111</v>
      </c>
      <c r="J80" s="60">
        <v>0.9645204207170337</v>
      </c>
      <c r="K80" s="60">
        <v>0.96478741556311665</v>
      </c>
      <c r="L80" s="60">
        <v>0.96745136093020212</v>
      </c>
      <c r="M80" s="60">
        <v>0.97274457060456554</v>
      </c>
      <c r="N80" s="60">
        <v>0.98317519009204413</v>
      </c>
      <c r="O80" s="60">
        <v>1.0032857902798673</v>
      </c>
      <c r="P80" s="60">
        <v>1.0129007703147423</v>
      </c>
      <c r="Q80" s="60">
        <v>1.0175859527440945</v>
      </c>
      <c r="R80" s="60">
        <v>1.0221856801463265</v>
      </c>
      <c r="S80" s="60">
        <v>1.0266973791443952</v>
      </c>
      <c r="T80" s="60">
        <v>1.0311187709494847</v>
      </c>
      <c r="U80" s="60">
        <v>1.0354478711490007</v>
      </c>
      <c r="V80" s="60">
        <v>1.0396829871540341</v>
      </c>
      <c r="W80" s="60">
        <v>1.0438227135095044</v>
      </c>
      <c r="X80" s="60">
        <v>1.0478659252843714</v>
      </c>
      <c r="Y80" s="60">
        <v>1.0518117697673679</v>
      </c>
      <c r="Z80" s="60">
        <v>1.0556596566963217</v>
      </c>
      <c r="AA80" s="60">
        <v>1.0594092472469747</v>
      </c>
      <c r="AB80" s="60">
        <v>1.0630604420010312</v>
      </c>
      <c r="AC80" s="60">
        <v>1.066613368103758</v>
      </c>
      <c r="AD80" s="60">
        <v>1.0700683658094745</v>
      </c>
      <c r="AE80" s="60">
        <v>1.0734259745994823</v>
      </c>
      <c r="AF80" s="60">
        <v>1.0766869190418913</v>
      </c>
      <c r="AG80" s="60">
        <v>1.0798520945470202</v>
      </c>
      <c r="AH80" s="60">
        <v>1.0829225531559548</v>
      </c>
      <c r="AI80" s="60">
        <f t="shared" si="3"/>
        <v>1.0829225531559548</v>
      </c>
      <c r="AJ80" s="13">
        <v>470</v>
      </c>
    </row>
    <row r="81" spans="1:36" ht="9.9499999999999993" customHeight="1" x14ac:dyDescent="0.2">
      <c r="A81" s="60">
        <f t="shared" si="2"/>
        <v>0.96375350354140199</v>
      </c>
      <c r="B81" s="60">
        <v>0.96375350354140199</v>
      </c>
      <c r="C81" s="60">
        <v>0.96383191057901318</v>
      </c>
      <c r="D81" s="60">
        <v>0.96396256844419592</v>
      </c>
      <c r="E81" s="60">
        <v>0.96411932391427912</v>
      </c>
      <c r="F81" s="60">
        <v>0.9642238069143716</v>
      </c>
      <c r="G81" s="60">
        <v>0.9647459727193779</v>
      </c>
      <c r="H81" s="60">
        <v>0.96526771969305891</v>
      </c>
      <c r="I81" s="60">
        <v>0.96578904306294389</v>
      </c>
      <c r="J81" s="60">
        <v>0.96604954440780344</v>
      </c>
      <c r="K81" s="60">
        <v>0.96630993806660392</v>
      </c>
      <c r="L81" s="60">
        <v>0.96890782164454181</v>
      </c>
      <c r="M81" s="60">
        <v>0.97406875465467513</v>
      </c>
      <c r="N81" s="60">
        <v>0.98423528510096681</v>
      </c>
      <c r="O81" s="60">
        <v>1.0038279791178377</v>
      </c>
      <c r="P81" s="60">
        <v>1.0131936561177457</v>
      </c>
      <c r="Q81" s="60">
        <v>1.0177574911284926</v>
      </c>
      <c r="R81" s="60">
        <v>1.0222383725073432</v>
      </c>
      <c r="S81" s="60">
        <v>1.0266339290592654</v>
      </c>
      <c r="T81" s="60">
        <v>1.030942065832571</v>
      </c>
      <c r="U81" s="60">
        <v>1.0351609634418115</v>
      </c>
      <c r="V81" s="60">
        <v>1.0392890752760442</v>
      </c>
      <c r="W81" s="60">
        <v>1.0433251227804954</v>
      </c>
      <c r="X81" s="60">
        <v>1.0472680890114778</v>
      </c>
      <c r="Y81" s="60">
        <v>1.0511172106708573</v>
      </c>
      <c r="Z81" s="60">
        <v>1.0548719688280308</v>
      </c>
      <c r="AA81" s="60">
        <v>1.058532078534838</v>
      </c>
      <c r="AB81" s="60">
        <v>1.0620974775327863</v>
      </c>
      <c r="AC81" s="60">
        <v>1.0655683142430865</v>
      </c>
      <c r="AD81" s="60">
        <v>1.0689449352188904</v>
      </c>
      <c r="AE81" s="60">
        <v>1.0722278722264131</v>
      </c>
      <c r="AF81" s="60">
        <v>1.0754178291078413</v>
      </c>
      <c r="AG81" s="60">
        <v>1.0785156685645052</v>
      </c>
      <c r="AH81" s="60">
        <v>1.0815223989841893</v>
      </c>
      <c r="AI81" s="60">
        <f t="shared" si="3"/>
        <v>1.0815223989841893</v>
      </c>
      <c r="AJ81" s="13">
        <v>475</v>
      </c>
    </row>
    <row r="82" spans="1:36" ht="9.9499999999999993" customHeight="1" x14ac:dyDescent="0.2">
      <c r="A82" s="60">
        <f t="shared" si="2"/>
        <v>0.96534485401083192</v>
      </c>
      <c r="B82" s="60">
        <v>0.96534485401083192</v>
      </c>
      <c r="C82" s="60">
        <v>0.96542135225057069</v>
      </c>
      <c r="D82" s="60">
        <v>0.96554882857390878</v>
      </c>
      <c r="E82" s="60">
        <v>0.96570176584938949</v>
      </c>
      <c r="F82" s="60">
        <v>0.96580370318126874</v>
      </c>
      <c r="G82" s="60">
        <v>0.96631313826932763</v>
      </c>
      <c r="H82" s="60">
        <v>0.96682215077625788</v>
      </c>
      <c r="I82" s="60">
        <v>0.96733073621615806</v>
      </c>
      <c r="J82" s="60">
        <v>0.96758486738693206</v>
      </c>
      <c r="K82" s="60">
        <v>0.96783889011340851</v>
      </c>
      <c r="L82" s="60">
        <v>0.97037303056490642</v>
      </c>
      <c r="M82" s="60">
        <v>0.97540640441426396</v>
      </c>
      <c r="N82" s="60">
        <v>0.98531852956035004</v>
      </c>
      <c r="O82" s="60">
        <v>1.0044130840643548</v>
      </c>
      <c r="P82" s="60">
        <v>1.013539203173101</v>
      </c>
      <c r="Q82" s="60">
        <v>1.0179864589613354</v>
      </c>
      <c r="R82" s="60">
        <v>1.0223531687167668</v>
      </c>
      <c r="S82" s="60">
        <v>1.0266371467280893</v>
      </c>
      <c r="T82" s="60">
        <v>1.0308364664854315</v>
      </c>
      <c r="U82" s="60">
        <v>1.0349494596216235</v>
      </c>
      <c r="V82" s="60">
        <v>1.0389747129409825</v>
      </c>
      <c r="W82" s="60">
        <v>1.0429110637095278</v>
      </c>
      <c r="X82" s="60">
        <v>1.0467575933903657</v>
      </c>
      <c r="Y82" s="60">
        <v>1.0505136200130989</v>
      </c>
      <c r="Z82" s="60">
        <v>1.0541786893670075</v>
      </c>
      <c r="AA82" s="60">
        <v>1.0577525652049495</v>
      </c>
      <c r="AB82" s="60">
        <v>1.0612352186390794</v>
      </c>
      <c r="AC82" s="60">
        <v>1.0646268169011242</v>
      </c>
      <c r="AD82" s="60">
        <v>1.0679277116296659</v>
      </c>
      <c r="AE82" s="60">
        <v>1.0711384268352058</v>
      </c>
      <c r="AF82" s="60">
        <v>1.0742596466811523</v>
      </c>
      <c r="AG82" s="60">
        <v>1.0772922032057586</v>
      </c>
      <c r="AH82" s="60">
        <v>1.0802370640967038</v>
      </c>
      <c r="AI82" s="60">
        <f t="shared" si="3"/>
        <v>1.0802370640967038</v>
      </c>
      <c r="AJ82" s="13">
        <v>480</v>
      </c>
    </row>
    <row r="83" spans="1:36" ht="9.9499999999999993" customHeight="1" x14ac:dyDescent="0.2">
      <c r="A83" s="60">
        <f t="shared" si="2"/>
        <v>0.96693952091520552</v>
      </c>
      <c r="B83" s="60">
        <v>0.96693952091520552</v>
      </c>
      <c r="C83" s="60">
        <v>0.96701417552770941</v>
      </c>
      <c r="D83" s="60">
        <v>0.96713857898487221</v>
      </c>
      <c r="E83" s="60">
        <v>0.96728782857181206</v>
      </c>
      <c r="F83" s="60">
        <v>0.96738730729702893</v>
      </c>
      <c r="G83" s="60">
        <v>0.96788444766066084</v>
      </c>
      <c r="H83" s="60">
        <v>0.96838116282150932</v>
      </c>
      <c r="I83" s="60">
        <v>0.96887744856226887</v>
      </c>
      <c r="J83" s="60">
        <v>0.96912542908505306</v>
      </c>
      <c r="K83" s="60">
        <v>0.96937330067606464</v>
      </c>
      <c r="L83" s="60">
        <v>0.9718459103593422</v>
      </c>
      <c r="M83" s="60">
        <v>0.9767562210551739</v>
      </c>
      <c r="N83" s="60">
        <v>0.98642315114847567</v>
      </c>
      <c r="O83" s="60">
        <v>1.0050383092079747</v>
      </c>
      <c r="P83" s="60">
        <v>1.013934093135024</v>
      </c>
      <c r="Q83" s="60">
        <v>1.0182692800520237</v>
      </c>
      <c r="R83" s="60">
        <v>1.0225262391557934</v>
      </c>
      <c r="S83" s="60">
        <v>1.0267029550416584</v>
      </c>
      <c r="T83" s="60">
        <v>1.0307976556645295</v>
      </c>
      <c r="U83" s="60">
        <v>1.034808810969406</v>
      </c>
      <c r="V83" s="60">
        <v>1.0387351297904992</v>
      </c>
      <c r="W83" s="60">
        <v>1.0425755551797797</v>
      </c>
      <c r="X83" s="60">
        <v>1.0463292583339059</v>
      </c>
      <c r="Y83" s="60">
        <v>1.0499956312924923</v>
      </c>
      <c r="Z83" s="60">
        <v>1.0535742785809661</v>
      </c>
      <c r="AA83" s="60">
        <v>1.0570650079682959</v>
      </c>
      <c r="AB83" s="60">
        <v>1.0604678205042453</v>
      </c>
      <c r="AC83" s="60">
        <v>1.0637828999929608</v>
      </c>
      <c r="AD83" s="60">
        <v>1.0670106020501873</v>
      </c>
      <c r="AE83" s="60">
        <v>1.0701514428806713</v>
      </c>
      <c r="AF83" s="60">
        <v>1.0732060879007552</v>
      </c>
      <c r="AG83" s="60">
        <v>1.0761753403192009</v>
      </c>
      <c r="AH83" s="60">
        <v>1.0790601297771436</v>
      </c>
      <c r="AI83" s="60">
        <f t="shared" si="3"/>
        <v>1.0790601297771436</v>
      </c>
      <c r="AJ83" s="13">
        <v>485</v>
      </c>
    </row>
    <row r="84" spans="1:36" ht="9.9499999999999993" customHeight="1" x14ac:dyDescent="0.2">
      <c r="A84" s="60">
        <f t="shared" si="2"/>
        <v>0.96853666598993415</v>
      </c>
      <c r="B84" s="60">
        <v>0.96853666598993415</v>
      </c>
      <c r="C84" s="60">
        <v>0.96860953926616911</v>
      </c>
      <c r="D84" s="60">
        <v>0.96873097372736461</v>
      </c>
      <c r="E84" s="60">
        <v>0.96887666035537923</v>
      </c>
      <c r="F84" s="60">
        <v>0.96897376367853938</v>
      </c>
      <c r="G84" s="60">
        <v>0.96945902595409883</v>
      </c>
      <c r="H84" s="60">
        <v>0.96994386141513222</v>
      </c>
      <c r="I84" s="60">
        <v>0.97042826609609789</v>
      </c>
      <c r="J84" s="60">
        <v>0.9706703056576903</v>
      </c>
      <c r="K84" s="60">
        <v>0.97091223604195942</v>
      </c>
      <c r="L84" s="60">
        <v>0.97332542708040781</v>
      </c>
      <c r="M84" s="60">
        <v>0.97811696216686639</v>
      </c>
      <c r="N84" s="60">
        <v>0.98754746324012177</v>
      </c>
      <c r="O84" s="60">
        <v>1.0057010120305478</v>
      </c>
      <c r="P84" s="60">
        <v>1.0143751969769339</v>
      </c>
      <c r="Q84" s="60">
        <v>1.0186025854316412</v>
      </c>
      <c r="R84" s="60">
        <v>1.0227539790724016</v>
      </c>
      <c r="S84" s="60">
        <v>1.0268275189902325</v>
      </c>
      <c r="T84" s="60">
        <v>1.0308215748999361</v>
      </c>
      <c r="U84" s="60">
        <v>1.034734743519981</v>
      </c>
      <c r="V84" s="60">
        <v>1.0385658453834348</v>
      </c>
      <c r="W84" s="60">
        <v>1.0423139202285965</v>
      </c>
      <c r="X84" s="60">
        <v>1.0459782211247286</v>
      </c>
      <c r="Y84" s="60">
        <v>1.049558207491377</v>
      </c>
      <c r="Z84" s="60">
        <v>1.0530535371695628</v>
      </c>
      <c r="AA84" s="60">
        <v>1.056464057700093</v>
      </c>
      <c r="AB84" s="60">
        <v>1.0597897969588279</v>
      </c>
      <c r="AC84" s="60">
        <v>1.0630309532914164</v>
      </c>
      <c r="AD84" s="60">
        <v>1.0661878852812106</v>
      </c>
      <c r="AE84" s="60">
        <v>1.0692611012741968</v>
      </c>
      <c r="AF84" s="60">
        <v>1.072251248774226</v>
      </c>
      <c r="AG84" s="60">
        <v>1.0751591038108868</v>
      </c>
      <c r="AH84" s="60">
        <v>1.0779855603713255</v>
      </c>
      <c r="AI84" s="60">
        <f t="shared" si="3"/>
        <v>1.0779855603713255</v>
      </c>
      <c r="AJ84" s="13">
        <v>490</v>
      </c>
    </row>
    <row r="85" spans="1:36" ht="9.9499999999999993" customHeight="1" x14ac:dyDescent="0.2">
      <c r="A85" s="60">
        <f t="shared" si="2"/>
        <v>0.97013548256002602</v>
      </c>
      <c r="B85" s="60">
        <v>0.97013548256002602</v>
      </c>
      <c r="C85" s="60">
        <v>0.97020663406845153</v>
      </c>
      <c r="D85" s="60">
        <v>0.97032519886094604</v>
      </c>
      <c r="E85" s="60">
        <v>0.97046744179917988</v>
      </c>
      <c r="F85" s="60">
        <v>0.97056224927916956</v>
      </c>
      <c r="G85" s="60">
        <v>0.97103603180985976</v>
      </c>
      <c r="H85" s="60">
        <v>0.97150938681738752</v>
      </c>
      <c r="I85" s="60">
        <v>0.97198231057221718</v>
      </c>
      <c r="J85" s="60">
        <v>0.97221860956726047</v>
      </c>
      <c r="K85" s="60">
        <v>0.97245479935532864</v>
      </c>
      <c r="L85" s="60">
        <v>0.97481058928976916</v>
      </c>
      <c r="M85" s="60">
        <v>0.97948743995359566</v>
      </c>
      <c r="N85" s="60">
        <v>0.98868986090360655</v>
      </c>
      <c r="O85" s="60">
        <v>1.0063986939447349</v>
      </c>
      <c r="P85" s="60">
        <v>1.0148595625162302</v>
      </c>
      <c r="Q85" s="60">
        <v>1.0189831993626322</v>
      </c>
      <c r="R85" s="60">
        <v>1.0230329930943844</v>
      </c>
      <c r="S85" s="60">
        <v>1.0270072287160581</v>
      </c>
      <c r="T85" s="60">
        <v>1.0309044061403088</v>
      </c>
      <c r="U85" s="60">
        <v>1.0347232383681597</v>
      </c>
      <c r="V85" s="60">
        <v>1.0384626482461661</v>
      </c>
      <c r="W85" s="60">
        <v>1.0421217639378682</v>
      </c>
      <c r="X85" s="60">
        <v>1.0456999132525131</v>
      </c>
      <c r="Y85" s="60">
        <v>1.0491966169763394</v>
      </c>
      <c r="Z85" s="60">
        <v>1.0526115813511461</v>
      </c>
      <c r="AA85" s="60">
        <v>1.0559446898418041</v>
      </c>
      <c r="AB85" s="60">
        <v>1.0591959943292011</v>
      </c>
      <c r="AC85" s="60">
        <v>1.0623657058582725</v>
      </c>
      <c r="AD85" s="60">
        <v>1.0654541850626336</v>
      </c>
      <c r="AE85" s="60">
        <v>1.0684619323782716</v>
      </c>
      <c r="AF85" s="60">
        <v>1.0713895781490776</v>
      </c>
      <c r="AG85" s="60">
        <v>1.0742378727170252</v>
      </c>
      <c r="AH85" s="60">
        <v>1.0770076765797327</v>
      </c>
      <c r="AI85" s="60">
        <f t="shared" si="3"/>
        <v>1.0770076765797327</v>
      </c>
      <c r="AJ85" s="13">
        <v>495</v>
      </c>
    </row>
    <row r="86" spans="1:36" ht="9.9499999999999993" customHeight="1" x14ac:dyDescent="0.2">
      <c r="A86" s="60">
        <f t="shared" si="2"/>
        <v>0.97173519536209318</v>
      </c>
      <c r="B86" s="60">
        <v>0.97173519536209318</v>
      </c>
      <c r="C86" s="60">
        <v>0.97180468209556015</v>
      </c>
      <c r="D86" s="60">
        <v>0.97192047224902722</v>
      </c>
      <c r="E86" s="60">
        <v>0.9720593856014299</v>
      </c>
      <c r="F86" s="60">
        <v>0.97215197334878412</v>
      </c>
      <c r="G86" s="60">
        <v>0.97261465717770623</v>
      </c>
      <c r="H86" s="60">
        <v>0.97307691358142057</v>
      </c>
      <c r="I86" s="60">
        <v>0.97353873905164812</v>
      </c>
      <c r="J86" s="60">
        <v>0.97376948909322547</v>
      </c>
      <c r="K86" s="60">
        <v>0.97400013009058128</v>
      </c>
      <c r="L86" s="60">
        <v>0.97630044714778907</v>
      </c>
      <c r="M86" s="60">
        <v>0.98086651947413384</v>
      </c>
      <c r="N86" s="60">
        <v>0.98984881713494777</v>
      </c>
      <c r="O86" s="60">
        <v>1.0071289915865629</v>
      </c>
      <c r="P86" s="60">
        <v>1.0153844029907675</v>
      </c>
      <c r="Q86" s="60">
        <v>1.0194081265505739</v>
      </c>
      <c r="R86" s="60">
        <v>1.0233600810932535</v>
      </c>
      <c r="S86" s="60">
        <v>1.0272386840616594</v>
      </c>
      <c r="T86" s="60">
        <v>1.0310425550325175</v>
      </c>
      <c r="U86" s="60">
        <v>1.0347705137403413</v>
      </c>
      <c r="V86" s="60">
        <v>1.0384215768093059</v>
      </c>
      <c r="W86" s="60">
        <v>1.0419949533200981</v>
      </c>
      <c r="X86" s="60">
        <v>1.0454900393433233</v>
      </c>
      <c r="Y86" s="60">
        <v>1.0489064115727622</v>
      </c>
      <c r="Z86" s="60">
        <v>1.0522438201908852</v>
      </c>
      <c r="AA86" s="60">
        <v>1.0555021810959953</v>
      </c>
      <c r="AB86" s="60">
        <v>1.0586815676154491</v>
      </c>
      <c r="AC86" s="60">
        <v>1.0617822018230367</v>
      </c>
      <c r="AD86" s="60">
        <v>1.0648044455710821</v>
      </c>
      <c r="AE86" s="60">
        <v>1.0677487913394985</v>
      </c>
      <c r="AF86" s="60">
        <v>1.0706158529951844</v>
      </c>
      <c r="AG86" s="60">
        <v>1.073406356546029</v>
      </c>
      <c r="AH86" s="60">
        <v>1.0761211309646117</v>
      </c>
      <c r="AI86" s="60">
        <f t="shared" si="3"/>
        <v>1.0761211309646117</v>
      </c>
      <c r="AJ86" s="13">
        <v>500</v>
      </c>
    </row>
    <row r="87" spans="1:36" ht="9.9499999999999993" customHeight="1" x14ac:dyDescent="0.2">
      <c r="A87" s="60">
        <f t="shared" si="2"/>
        <v>0.97333506027838235</v>
      </c>
      <c r="B87" s="60">
        <v>0.97333506027838235</v>
      </c>
      <c r="C87" s="60">
        <v>0.97340293679154599</v>
      </c>
      <c r="D87" s="60">
        <v>0.97351604326755892</v>
      </c>
      <c r="E87" s="60">
        <v>0.97365173624904688</v>
      </c>
      <c r="F87" s="60">
        <v>0.97374217711052513</v>
      </c>
      <c r="G87" s="60">
        <v>0.97419412690914575</v>
      </c>
      <c r="H87" s="60">
        <v>0.97464565009986237</v>
      </c>
      <c r="I87" s="60">
        <v>0.97509674338184837</v>
      </c>
      <c r="J87" s="60">
        <v>0.97532212777839367</v>
      </c>
      <c r="K87" s="60">
        <v>0.97554740346466007</v>
      </c>
      <c r="L87" s="60">
        <v>0.97779409147270879</v>
      </c>
      <c r="M87" s="60">
        <v>0.98225311692120043</v>
      </c>
      <c r="N87" s="60">
        <v>0.99102287930656352</v>
      </c>
      <c r="O87" s="60">
        <v>1.0078896687842203</v>
      </c>
      <c r="P87" s="60">
        <v>1.0159470865748605</v>
      </c>
      <c r="Q87" s="60">
        <v>1.0198745404288652</v>
      </c>
      <c r="R87" s="60">
        <v>1.0237322252529724</v>
      </c>
      <c r="S87" s="60">
        <v>1.027518680451504</v>
      </c>
      <c r="T87" s="60">
        <v>1.0312326356579502</v>
      </c>
      <c r="U87" s="60">
        <v>1.0348730086391211</v>
      </c>
      <c r="V87" s="60">
        <v>1.0384389020251885</v>
      </c>
      <c r="W87" s="60">
        <v>1.0419295989830364</v>
      </c>
      <c r="X87" s="60">
        <v>1.0453445579540794</v>
      </c>
      <c r="Y87" s="60">
        <v>1.0486834065788733</v>
      </c>
      <c r="Z87" s="60">
        <v>1.0519459349297771</v>
      </c>
      <c r="AA87" s="60">
        <v>1.0551320881698962</v>
      </c>
      <c r="AB87" s="60">
        <v>1.0582419587518967</v>
      </c>
      <c r="AC87" s="60">
        <v>1.0612757782643392</v>
      </c>
      <c r="AD87" s="60">
        <v>1.0642339090262334</v>
      </c>
      <c r="AE87" s="60">
        <v>1.067116835522874</v>
      </c>
      <c r="AF87" s="60">
        <v>1.0699251557679044</v>
      </c>
      <c r="AG87" s="60">
        <v>1.0726595726682258</v>
      </c>
      <c r="AH87" s="60">
        <v>1.0753208854599932</v>
      </c>
      <c r="AI87" s="60">
        <f t="shared" si="3"/>
        <v>1.0753208854599932</v>
      </c>
      <c r="AJ87" s="13">
        <v>505</v>
      </c>
    </row>
    <row r="88" spans="1:36" ht="9.9499999999999993" customHeight="1" x14ac:dyDescent="0.2">
      <c r="A88" s="60">
        <f t="shared" si="2"/>
        <v>0.97493436399256084</v>
      </c>
      <c r="B88" s="60">
        <v>0.97493436399256084</v>
      </c>
      <c r="C88" s="60">
        <v>0.97500068253052685</v>
      </c>
      <c r="D88" s="60">
        <v>0.97511119243738897</v>
      </c>
      <c r="E88" s="60">
        <v>0.97524376963234016</v>
      </c>
      <c r="F88" s="60">
        <v>0.97533213336367919</v>
      </c>
      <c r="G88" s="60">
        <v>0.97577369830063032</v>
      </c>
      <c r="H88" s="60">
        <v>0.97621483808744924</v>
      </c>
      <c r="I88" s="60">
        <v>0.97665554961784307</v>
      </c>
      <c r="J88" s="60">
        <v>0.97687574381896491</v>
      </c>
      <c r="K88" s="60">
        <v>0.97709582979577725</v>
      </c>
      <c r="L88" s="60">
        <v>0.97929065277396699</v>
      </c>
      <c r="M88" s="60">
        <v>0.9836461979385076</v>
      </c>
      <c r="N88" s="60">
        <v>0.99221066581093686</v>
      </c>
      <c r="O88" s="60">
        <v>1.0086786091341264</v>
      </c>
      <c r="P88" s="60">
        <v>1.0165451267367123</v>
      </c>
      <c r="Q88" s="60">
        <v>1.0203797724033237</v>
      </c>
      <c r="R88" s="60">
        <v>1.0241465782158075</v>
      </c>
      <c r="S88" s="60">
        <v>1.0278441959650186</v>
      </c>
      <c r="T88" s="60">
        <v>1.031471456569852</v>
      </c>
      <c r="U88" s="60">
        <v>1.0350273678925688</v>
      </c>
      <c r="V88" s="60">
        <v>1.0385111114862196</v>
      </c>
      <c r="W88" s="60">
        <v>1.0419220383827421</v>
      </c>
      <c r="X88" s="60">
        <v>1.0452596640333285</v>
      </c>
      <c r="Y88" s="60">
        <v>1.0485236625134002</v>
      </c>
      <c r="Z88" s="60">
        <v>1.0517138601033165</v>
      </c>
      <c r="AA88" s="60">
        <v>1.0548302283529569</v>
      </c>
      <c r="AB88" s="60">
        <v>1.0578728767339556</v>
      </c>
      <c r="AC88" s="60">
        <v>1.0608420449778175</v>
      </c>
      <c r="AD88" s="60">
        <v>1.0637380951917446</v>
      </c>
      <c r="AE88" s="60">
        <v>1.0665615038369693</v>
      </c>
      <c r="AF88" s="60">
        <v>1.0693128536469629</v>
      </c>
      <c r="AG88" s="60">
        <v>1.0719928255552724</v>
      </c>
      <c r="AH88" s="60">
        <v>1.0746021906950805</v>
      </c>
      <c r="AI88" s="60">
        <f t="shared" si="3"/>
        <v>1.0746021906950805</v>
      </c>
      <c r="AJ88" s="13">
        <v>510</v>
      </c>
    </row>
    <row r="89" spans="1:36" ht="9.9499999999999993" customHeight="1" x14ac:dyDescent="0.2">
      <c r="A89" s="60">
        <f t="shared" si="2"/>
        <v>0.97653242357634107</v>
      </c>
      <c r="B89" s="60">
        <v>0.97653242357634107</v>
      </c>
      <c r="C89" s="60">
        <v>0.97659723419519506</v>
      </c>
      <c r="D89" s="60">
        <v>0.97670523098920636</v>
      </c>
      <c r="E89" s="60">
        <v>0.97683479259360861</v>
      </c>
      <c r="F89" s="60">
        <v>0.97692114602133329</v>
      </c>
      <c r="G89" s="60">
        <v>0.97735266057602732</v>
      </c>
      <c r="H89" s="60">
        <v>0.97778375200749068</v>
      </c>
      <c r="I89" s="60">
        <v>0.97821441739187698</v>
      </c>
      <c r="J89" s="60">
        <v>0.9784295894054732</v>
      </c>
      <c r="K89" s="60">
        <v>0.97864465381544319</v>
      </c>
      <c r="L89" s="60">
        <v>0.98078930026406885</v>
      </c>
      <c r="M89" s="60">
        <v>0.98504477597389517</v>
      </c>
      <c r="N89" s="60">
        <v>0.99341086288220926</v>
      </c>
      <c r="O89" s="60">
        <v>1.0094938091237764</v>
      </c>
      <c r="P89" s="60">
        <v>1.0171761733512024</v>
      </c>
      <c r="Q89" s="60">
        <v>1.0209213019576373</v>
      </c>
      <c r="R89" s="60">
        <v>1.0246004521933425</v>
      </c>
      <c r="S89" s="60">
        <v>1.0282123794764848</v>
      </c>
      <c r="T89" s="60">
        <v>1.0317560079952786</v>
      </c>
      <c r="U89" s="60">
        <v>1.0352304284605784</v>
      </c>
      <c r="V89" s="60">
        <v>1.0386348948863247</v>
      </c>
      <c r="W89" s="60">
        <v>1.0419688204982576</v>
      </c>
      <c r="X89" s="60">
        <v>1.0452317728737328</v>
      </c>
      <c r="Y89" s="60">
        <v>1.0484234684158833</v>
      </c>
      <c r="Z89" s="60">
        <v>1.051543766264015</v>
      </c>
      <c r="AA89" s="60">
        <v>1.0545926617392638</v>
      </c>
      <c r="AB89" s="60">
        <v>1.0575702794203889</v>
      </c>
      <c r="AC89" s="60">
        <v>1.0604768659394441</v>
      </c>
      <c r="AD89" s="60">
        <v>1.0633127825811401</v>
      </c>
      <c r="AE89" s="60">
        <v>1.0660784977632609</v>
      </c>
      <c r="AF89" s="60">
        <v>1.0687745794686729</v>
      </c>
      <c r="AG89" s="60">
        <v>1.0714016876925132</v>
      </c>
      <c r="AH89" s="60">
        <v>1.0739605669611334</v>
      </c>
      <c r="AI89" s="60">
        <f t="shared" si="3"/>
        <v>1.0739605669611334</v>
      </c>
      <c r="AJ89" s="13">
        <v>515</v>
      </c>
    </row>
    <row r="90" spans="1:36" ht="9.9499999999999993" customHeight="1" x14ac:dyDescent="0.2">
      <c r="A90" s="60">
        <f t="shared" si="2"/>
        <v>0.97812858601538888</v>
      </c>
      <c r="B90" s="60">
        <v>0.97812858601538888</v>
      </c>
      <c r="C90" s="60">
        <v>0.97819193669521054</v>
      </c>
      <c r="D90" s="60">
        <v>0.97829750036936824</v>
      </c>
      <c r="E90" s="60">
        <v>0.97842414241782882</v>
      </c>
      <c r="F90" s="60">
        <v>0.97850854959093669</v>
      </c>
      <c r="G90" s="60">
        <v>0.97893033431609189</v>
      </c>
      <c r="H90" s="60">
        <v>0.97935169844952297</v>
      </c>
      <c r="I90" s="60">
        <v>0.97977263923851832</v>
      </c>
      <c r="J90" s="60">
        <v>0.97998295002134039</v>
      </c>
      <c r="K90" s="60">
        <v>0.98019315394029038</v>
      </c>
      <c r="L90" s="60">
        <v>0.98228924085326452</v>
      </c>
      <c r="M90" s="60">
        <v>0.98644791066751591</v>
      </c>
      <c r="N90" s="60">
        <v>0.994622221580855</v>
      </c>
      <c r="O90" s="60">
        <v>1.0103333717481897</v>
      </c>
      <c r="P90" s="60">
        <v>1.0178380044924558</v>
      </c>
      <c r="Q90" s="60">
        <v>1.0214967475326446</v>
      </c>
      <c r="R90" s="60">
        <v>1.0250913089443332</v>
      </c>
      <c r="S90" s="60">
        <v>1.0286205397524961</v>
      </c>
      <c r="T90" s="60">
        <v>1.0320834500818479</v>
      </c>
      <c r="U90" s="60">
        <v>1.0354792068686611</v>
      </c>
      <c r="V90" s="60">
        <v>1.0388071306868518</v>
      </c>
      <c r="W90" s="60">
        <v>1.0420666917812254</v>
      </c>
      <c r="X90" s="60">
        <v>1.0452575054026818</v>
      </c>
      <c r="Y90" s="60">
        <v>1.0483793265403272</v>
      </c>
      <c r="Z90" s="60">
        <v>1.051432044143995</v>
      </c>
      <c r="AA90" s="60">
        <v>1.0544156749279066</v>
      </c>
      <c r="AB90" s="60">
        <v>1.0573303568423149</v>
      </c>
      <c r="AC90" s="60">
        <v>1.0601763422951755</v>
      </c>
      <c r="AD90" s="60">
        <v>1.0629539912004391</v>
      </c>
      <c r="AE90" s="60">
        <v>1.0656637639236026</v>
      </c>
      <c r="AF90" s="60">
        <v>1.0683062141889261</v>
      </c>
      <c r="AG90" s="60">
        <v>1.0708819820063287</v>
      </c>
      <c r="AH90" s="60">
        <v>1.0733917866695895</v>
      </c>
      <c r="AI90" s="60">
        <f t="shared" si="3"/>
        <v>1.0733917866695895</v>
      </c>
      <c r="AJ90" s="13">
        <v>520</v>
      </c>
    </row>
    <row r="91" spans="1:36" ht="9.9499999999999993" customHeight="1" x14ac:dyDescent="0.2">
      <c r="A91" s="60">
        <f t="shared" si="2"/>
        <v>0.97972222768237038</v>
      </c>
      <c r="B91" s="60">
        <v>0.97972222768237038</v>
      </c>
      <c r="C91" s="60">
        <v>0.97978416443327654</v>
      </c>
      <c r="D91" s="60">
        <v>0.97988737169432771</v>
      </c>
      <c r="E91" s="60">
        <v>0.98001118627304862</v>
      </c>
      <c r="F91" s="60">
        <v>0.98009370860530443</v>
      </c>
      <c r="G91" s="60">
        <v>0.98050607084213204</v>
      </c>
      <c r="H91" s="60">
        <v>0.98091801546497548</v>
      </c>
      <c r="I91" s="60">
        <v>0.98132953988167337</v>
      </c>
      <c r="J91" s="60">
        <v>0.98153514370532369</v>
      </c>
      <c r="K91" s="60">
        <v>0.98174064150979001</v>
      </c>
      <c r="L91" s="60">
        <v>0.98378971813110216</v>
      </c>
      <c r="M91" s="60">
        <v>0.98785470627437222</v>
      </c>
      <c r="N91" s="60">
        <v>0.995843554928458</v>
      </c>
      <c r="O91" s="60">
        <v>1.011195500573129</v>
      </c>
      <c r="P91" s="60">
        <v>1.018528518839622</v>
      </c>
      <c r="Q91" s="60">
        <v>1.0221038581028514</v>
      </c>
      <c r="R91" s="60">
        <v>1.0256167505328795</v>
      </c>
      <c r="S91" s="60">
        <v>1.029066135410784</v>
      </c>
      <c r="T91" s="60">
        <v>1.0324511020838552</v>
      </c>
      <c r="U91" s="60">
        <v>1.0357708876550669</v>
      </c>
      <c r="V91" s="60">
        <v>1.0390248738648715</v>
      </c>
      <c r="W91" s="60">
        <v>1.042212583251279</v>
      </c>
      <c r="X91" s="60">
        <v>1.045333674675665</v>
      </c>
      <c r="Y91" s="60">
        <v>1.0483879383016688</v>
      </c>
      <c r="Z91" s="60">
        <v>1.0513752901130577</v>
      </c>
      <c r="AA91" s="60">
        <v>1.0542957660537629</v>
      </c>
      <c r="AB91" s="60">
        <v>1.0571495158696345</v>
      </c>
      <c r="AC91" s="60">
        <v>1.059936796727009</v>
      </c>
      <c r="AD91" s="60">
        <v>1.0626579666781482</v>
      </c>
      <c r="AE91" s="60">
        <v>1.065313478038117</v>
      </c>
      <c r="AF91" s="60">
        <v>1.0679038707319672</v>
      </c>
      <c r="AG91" s="60">
        <v>1.0704297656652242</v>
      </c>
      <c r="AH91" s="60">
        <v>1.0728918581648388</v>
      </c>
      <c r="AI91" s="60">
        <f t="shared" si="3"/>
        <v>1.0728918581648388</v>
      </c>
      <c r="AJ91" s="13">
        <v>525</v>
      </c>
    </row>
    <row r="92" spans="1:36" ht="9.9499999999999993" customHeight="1" x14ac:dyDescent="0.2">
      <c r="A92" s="60">
        <f t="shared" si="2"/>
        <v>0.98131275376438354</v>
      </c>
      <c r="B92" s="60">
        <v>0.98131275376438354</v>
      </c>
      <c r="C92" s="60">
        <v>0.98137332072610528</v>
      </c>
      <c r="D92" s="60">
        <v>0.98147424516078774</v>
      </c>
      <c r="E92" s="60">
        <v>0.98159532060752164</v>
      </c>
      <c r="F92" s="60">
        <v>0.98167601701104112</v>
      </c>
      <c r="G92" s="60">
        <v>0.982079251560528</v>
      </c>
      <c r="H92" s="60">
        <v>0.98248207186719427</v>
      </c>
      <c r="I92" s="60">
        <v>0.98288447548952618</v>
      </c>
      <c r="J92" s="60">
        <v>0.98308552028369145</v>
      </c>
      <c r="K92" s="60">
        <v>0.98328645999551967</v>
      </c>
      <c r="L92" s="60">
        <v>0.9852900113386962</v>
      </c>
      <c r="M92" s="60">
        <v>0.98926431012078386</v>
      </c>
      <c r="N92" s="60">
        <v>0.99707373518120257</v>
      </c>
      <c r="O92" s="60">
        <v>1.0120784942037393</v>
      </c>
      <c r="P92" s="60">
        <v>1.0192457286371388</v>
      </c>
      <c r="Q92" s="60">
        <v>1.0227405053826171</v>
      </c>
      <c r="R92" s="60">
        <v>1.0261745107905955</v>
      </c>
      <c r="S92" s="60">
        <v>1.0295467656555757</v>
      </c>
      <c r="T92" s="60">
        <v>1.032856432394766</v>
      </c>
      <c r="U92" s="60">
        <v>1.0361028127306051</v>
      </c>
      <c r="V92" s="60">
        <v>1.0392853446361918</v>
      </c>
      <c r="W92" s="60">
        <v>1.042403598623185</v>
      </c>
      <c r="X92" s="60">
        <v>1.0454572734528778</v>
      </c>
      <c r="Y92" s="60">
        <v>1.0484461913508805</v>
      </c>
      <c r="Z92" s="60">
        <v>1.0513702928043405</v>
      </c>
      <c r="AA92" s="60">
        <v>1.0542296310180701</v>
      </c>
      <c r="AB92" s="60">
        <v>1.0570243661025098</v>
      </c>
      <c r="AC92" s="60">
        <v>1.0597547590623224</v>
      </c>
      <c r="AD92" s="60">
        <v>1.0624211656497538</v>
      </c>
      <c r="AE92" s="60">
        <v>1.0650240301418616</v>
      </c>
      <c r="AF92" s="60">
        <v>1.0675638790954491</v>
      </c>
      <c r="AG92" s="60">
        <v>1.0700413151281876</v>
      </c>
      <c r="AH92" s="60">
        <v>1.0724570107690501</v>
      </c>
      <c r="AI92" s="60">
        <f t="shared" si="3"/>
        <v>1.0724570107690501</v>
      </c>
      <c r="AJ92" s="13">
        <v>530</v>
      </c>
    </row>
    <row r="93" spans="1:36" ht="9.9499999999999993" customHeight="1" x14ac:dyDescent="0.2">
      <c r="A93" s="60">
        <f t="shared" si="2"/>
        <v>0.98289959765148383</v>
      </c>
      <c r="B93" s="60">
        <v>0.98289959765148383</v>
      </c>
      <c r="C93" s="60">
        <v>0.98295883718693489</v>
      </c>
      <c r="D93" s="60">
        <v>0.98305754941818013</v>
      </c>
      <c r="E93" s="60">
        <v>0.98317597051009398</v>
      </c>
      <c r="F93" s="60">
        <v>0.98325489752084161</v>
      </c>
      <c r="G93" s="60">
        <v>0.9836492872742727</v>
      </c>
      <c r="H93" s="60">
        <v>0.98404326650169505</v>
      </c>
      <c r="I93" s="60">
        <v>0.98443683290297435</v>
      </c>
      <c r="J93" s="60">
        <v>0.98463346057755352</v>
      </c>
      <c r="K93" s="60">
        <v>0.98482998418725742</v>
      </c>
      <c r="L93" s="60">
        <v>0.98678943433533839</v>
      </c>
      <c r="M93" s="60">
        <v>0.99067591109457154</v>
      </c>
      <c r="N93" s="60">
        <v>0.99831169123207453</v>
      </c>
      <c r="O93" s="60">
        <v>1.0129807411220386</v>
      </c>
      <c r="P93" s="60">
        <v>1.0199877531575583</v>
      </c>
      <c r="Q93" s="60">
        <v>1.0234046766022902</v>
      </c>
      <c r="R93" s="60">
        <v>1.0267624474153425</v>
      </c>
      <c r="S93" s="60">
        <v>1.030060161714542</v>
      </c>
      <c r="T93" s="60">
        <v>1.0332970493439442</v>
      </c>
      <c r="U93" s="60">
        <v>1.036472471562238</v>
      </c>
      <c r="V93" s="60">
        <v>1.0395859180579226</v>
      </c>
      <c r="W93" s="60">
        <v>1.0426370033649441</v>
      </c>
      <c r="X93" s="60">
        <v>1.0456254627533095</v>
      </c>
      <c r="Y93" s="60">
        <v>1.0485511476687785</v>
      </c>
      <c r="Z93" s="60">
        <v>1.0514140207942428</v>
      </c>
      <c r="AA93" s="60">
        <v>1.0542141508029301</v>
      </c>
      <c r="AB93" s="60">
        <v>1.0569517068703635</v>
      </c>
      <c r="AC93" s="60">
        <v>1.0596269530081535</v>
      </c>
      <c r="AD93" s="60">
        <v>1.0622402422783992</v>
      </c>
      <c r="AE93" s="60">
        <v>1.0647920109428353</v>
      </c>
      <c r="AF93" s="60">
        <v>1.0672827725960299</v>
      </c>
      <c r="AG93" s="60">
        <v>1.0697131123270271</v>
      </c>
      <c r="AH93" s="60">
        <v>1.0720836809489074</v>
      </c>
      <c r="AI93" s="60">
        <f t="shared" si="3"/>
        <v>1.0720836809489074</v>
      </c>
      <c r="AJ93" s="13">
        <v>535</v>
      </c>
    </row>
    <row r="94" spans="1:36" ht="9.9499999999999993" customHeight="1" x14ac:dyDescent="0.2">
      <c r="A94" s="60">
        <f t="shared" si="2"/>
        <v>0.9844822202924558</v>
      </c>
      <c r="B94" s="60">
        <v>0.9844822202924558</v>
      </c>
      <c r="C94" s="60">
        <v>0.9845401730757154</v>
      </c>
      <c r="D94" s="60">
        <v>0.98463674090952125</v>
      </c>
      <c r="E94" s="60">
        <v>0.98475258903982243</v>
      </c>
      <c r="F94" s="60">
        <v>0.98482980093559169</v>
      </c>
      <c r="G94" s="60">
        <v>0.98521561746720465</v>
      </c>
      <c r="H94" s="60">
        <v>0.98560102749204803</v>
      </c>
      <c r="I94" s="60">
        <v>0.98598602884269171</v>
      </c>
      <c r="J94" s="60">
        <v>0.98617837559033805</v>
      </c>
      <c r="K94" s="60">
        <v>0.98637061936075232</v>
      </c>
      <c r="L94" s="60">
        <v>0.98828733456281714</v>
      </c>
      <c r="M94" s="60">
        <v>0.99208873816887511</v>
      </c>
      <c r="N94" s="60">
        <v>0.99955640613292174</v>
      </c>
      <c r="O94" s="60">
        <v>1.0139007148608206</v>
      </c>
      <c r="P94" s="60">
        <v>1.0207528126209247</v>
      </c>
      <c r="Q94" s="60">
        <v>1.0240944678013899</v>
      </c>
      <c r="R94" s="60">
        <v>1.0273785346468061</v>
      </c>
      <c r="S94" s="60">
        <v>1.030604178910957</v>
      </c>
      <c r="T94" s="60">
        <v>1.0337706926848702</v>
      </c>
      <c r="U94" s="60">
        <v>1.036877492101707</v>
      </c>
      <c r="V94" s="60">
        <v>1.0399241144262934</v>
      </c>
      <c r="W94" s="60">
        <v>1.0429102145975364</v>
      </c>
      <c r="X94" s="60">
        <v>1.0458355612925836</v>
      </c>
      <c r="Y94" s="60">
        <v>1.0487000325810367</v>
      </c>
      <c r="Z94" s="60">
        <v>1.0515036112360534</v>
      </c>
      <c r="AA94" s="60">
        <v>1.054246379766816</v>
      </c>
      <c r="AB94" s="60">
        <v>1.0569285152338384</v>
      </c>
      <c r="AC94" s="60">
        <v>1.0595502839049986</v>
      </c>
      <c r="AD94" s="60">
        <v>1.0621120358062131</v>
      </c>
      <c r="AE94" s="60">
        <v>1.0646141992163916</v>
      </c>
      <c r="AF94" s="60">
        <v>1.0670572751518752</v>
      </c>
      <c r="AG94" s="60">
        <v>1.0694418318810353</v>
      </c>
      <c r="AH94" s="60">
        <v>1.0717684995052246</v>
      </c>
      <c r="AI94" s="60">
        <f t="shared" si="3"/>
        <v>1.0717684995052246</v>
      </c>
      <c r="AJ94" s="13">
        <v>540</v>
      </c>
    </row>
    <row r="95" spans="1:36" ht="9.9499999999999993" customHeight="1" x14ac:dyDescent="0.2">
      <c r="A95" s="60">
        <f t="shared" si="2"/>
        <v>0.98606010952348755</v>
      </c>
      <c r="B95" s="60">
        <v>0.98606010952348755</v>
      </c>
      <c r="C95" s="60">
        <v>0.98611681462258982</v>
      </c>
      <c r="D95" s="60">
        <v>0.98621130318620864</v>
      </c>
      <c r="E95" s="60">
        <v>0.98632465653031665</v>
      </c>
      <c r="F95" s="60">
        <v>0.98640020544172102</v>
      </c>
      <c r="G95" s="60">
        <v>0.98677770956614863</v>
      </c>
      <c r="H95" s="60">
        <v>0.98715481146637452</v>
      </c>
      <c r="I95" s="60">
        <v>0.98753150909955489</v>
      </c>
      <c r="J95" s="60">
        <v>0.98771970568001977</v>
      </c>
      <c r="K95" s="60">
        <v>0.98790780043165094</v>
      </c>
      <c r="L95" s="60">
        <v>0.98978309201058134</v>
      </c>
      <c r="M95" s="60">
        <v>0.99350205895962507</v>
      </c>
      <c r="N95" s="60">
        <v>1.000806914728547</v>
      </c>
      <c r="O95" s="60">
        <v>1.0148369694851527</v>
      </c>
      <c r="P95" s="60">
        <v>1.0215392225298527</v>
      </c>
      <c r="Q95" s="60">
        <v>1.0248080775918866</v>
      </c>
      <c r="R95" s="60">
        <v>1.0280208564659226</v>
      </c>
      <c r="S95" s="60">
        <v>1.031176789312207</v>
      </c>
      <c r="T95" s="60">
        <v>1.0342752257103329</v>
      </c>
      <c r="U95" s="60">
        <v>1.0373156323893453</v>
      </c>
      <c r="V95" s="60">
        <v>1.0402975903949481</v>
      </c>
      <c r="W95" s="60">
        <v>1.0432207917570557</v>
      </c>
      <c r="X95" s="60">
        <v>1.0460850357213374</v>
      </c>
      <c r="Y95" s="60">
        <v>1.0488902246077836</v>
      </c>
      <c r="Z95" s="60">
        <v>1.0516363593578453</v>
      </c>
      <c r="AA95" s="60">
        <v>1.0543235348294804</v>
      </c>
      <c r="AB95" s="60">
        <v>1.0569519348966043</v>
      </c>
      <c r="AC95" s="60">
        <v>1.0595218274061196</v>
      </c>
      <c r="AD95" s="60">
        <v>1.0620335590420333</v>
      </c>
      <c r="AE95" s="60">
        <v>1.0644875501422055</v>
      </c>
      <c r="AF95" s="60">
        <v>1.066884289509225</v>
      </c>
      <c r="AG95" s="60">
        <v>1.0692243292527199</v>
      </c>
      <c r="AH95" s="60">
        <v>1.071508279696312</v>
      </c>
      <c r="AI95" s="60">
        <f t="shared" si="3"/>
        <v>1.071508279696312</v>
      </c>
      <c r="AJ95" s="13">
        <v>545</v>
      </c>
    </row>
    <row r="96" spans="1:36" ht="9.9499999999999993" customHeight="1" x14ac:dyDescent="0.2">
      <c r="A96" s="60">
        <f t="shared" si="2"/>
        <v>0.987632779374921</v>
      </c>
      <c r="B96" s="60">
        <v>0.987632779374921</v>
      </c>
      <c r="C96" s="60">
        <v>0.98768827432980333</v>
      </c>
      <c r="D96" s="60">
        <v>0.98778074620184786</v>
      </c>
      <c r="E96" s="60">
        <v>0.98789167987383497</v>
      </c>
      <c r="F96" s="60">
        <v>0.98796561588878928</v>
      </c>
      <c r="G96" s="60">
        <v>0.98833505818572864</v>
      </c>
      <c r="H96" s="60">
        <v>0.98870410276900145</v>
      </c>
      <c r="I96" s="60">
        <v>0.98907274771275089</v>
      </c>
      <c r="J96" s="60">
        <v>0.98925691972031238</v>
      </c>
      <c r="K96" s="60">
        <v>0.9894409910996792</v>
      </c>
      <c r="L96" s="60">
        <v>0.99127611818462991</v>
      </c>
      <c r="M96" s="60">
        <v>0.99491517831674625</v>
      </c>
      <c r="N96" s="60">
        <v>1.0020623013958612</v>
      </c>
      <c r="O96" s="60">
        <v>1.0157881353557991</v>
      </c>
      <c r="P96" s="60">
        <v>1.0223453883839602</v>
      </c>
      <c r="Q96" s="60">
        <v>1.0255438013498177</v>
      </c>
      <c r="R96" s="60">
        <v>1.028687600271047</v>
      </c>
      <c r="S96" s="60">
        <v>1.0317760749023024</v>
      </c>
      <c r="T96" s="60">
        <v>1.0348086279372453</v>
      </c>
      <c r="U96" s="60">
        <v>1.0377847727709866</v>
      </c>
      <c r="V96" s="60">
        <v>1.040704130747228</v>
      </c>
      <c r="W96" s="60">
        <v>1.0435664279487478</v>
      </c>
      <c r="X96" s="60">
        <v>1.0463714915900966</v>
      </c>
      <c r="Y96" s="60">
        <v>1.0491192460706833</v>
      </c>
      <c r="Z96" s="60">
        <v>1.0518097087450022</v>
      </c>
      <c r="AA96" s="60">
        <v>1.0544429854646191</v>
      </c>
      <c r="AB96" s="60">
        <v>1.0570192659439013</v>
      </c>
      <c r="AC96" s="60">
        <v>1.059538818998379</v>
      </c>
      <c r="AD96" s="60">
        <v>1.062001987701225</v>
      </c>
      <c r="AE96" s="60">
        <v>1.064409184499705</v>
      </c>
      <c r="AF96" s="60">
        <v>1.0667608863296958</v>
      </c>
      <c r="AG96" s="60">
        <v>1.0690576297625511</v>
      </c>
      <c r="AH96" s="60">
        <v>1.0713000062147984</v>
      </c>
      <c r="AI96" s="60">
        <f t="shared" si="3"/>
        <v>1.0713000062147984</v>
      </c>
      <c r="AJ96" s="13">
        <v>550</v>
      </c>
    </row>
    <row r="97" spans="1:36" ht="9.9499999999999993" customHeight="1" x14ac:dyDescent="0.2">
      <c r="A97" s="60">
        <f t="shared" si="2"/>
        <v>0.98919976936078413</v>
      </c>
      <c r="B97" s="60">
        <v>0.98919976936078413</v>
      </c>
      <c r="C97" s="60">
        <v>0.9892540902567295</v>
      </c>
      <c r="D97" s="60">
        <v>0.98934460558974779</v>
      </c>
      <c r="E97" s="60">
        <v>0.98945319178971147</v>
      </c>
      <c r="F97" s="60">
        <v>0.98952556305185146</v>
      </c>
      <c r="G97" s="60">
        <v>0.98988718436020862</v>
      </c>
      <c r="H97" s="60">
        <v>0.99024841266142671</v>
      </c>
      <c r="I97" s="60">
        <v>0.99060924613952062</v>
      </c>
      <c r="J97" s="60">
        <v>0.9907895142546721</v>
      </c>
      <c r="K97" s="60">
        <v>0.99096968298681842</v>
      </c>
      <c r="L97" s="60">
        <v>0.99276585508276205</v>
      </c>
      <c r="M97" s="60">
        <v>0.99632743694919101</v>
      </c>
      <c r="N97" s="60">
        <v>1.0033216978818587</v>
      </c>
      <c r="O97" s="60">
        <v>1.0167529151516419</v>
      </c>
      <c r="P97" s="60">
        <v>1.0231698007412351</v>
      </c>
      <c r="Q97" s="60">
        <v>1.0263000257980144</v>
      </c>
      <c r="R97" s="60">
        <v>1.0293770509888764</v>
      </c>
      <c r="S97" s="60">
        <v>1.0324002212317778</v>
      </c>
      <c r="T97" s="60">
        <v>1.0353689883100015</v>
      </c>
      <c r="U97" s="60">
        <v>1.0382829086726757</v>
      </c>
      <c r="V97" s="60">
        <v>1.0411416407632261</v>
      </c>
      <c r="W97" s="60">
        <v>1.0439449419301621</v>
      </c>
      <c r="X97" s="60">
        <v>1.046692664974668</v>
      </c>
      <c r="Y97" s="60">
        <v>1.0493847543887551</v>
      </c>
      <c r="Z97" s="60">
        <v>1.05202124233631</v>
      </c>
      <c r="AA97" s="60">
        <v>1.0546022444273808</v>
      </c>
      <c r="AB97" s="60">
        <v>1.0571279553335626</v>
      </c>
      <c r="AC97" s="60">
        <v>1.0595986442894589</v>
      </c>
      <c r="AD97" s="60">
        <v>1.0620146505220642</v>
      </c>
      <c r="AE97" s="60">
        <v>1.0643763786465481</v>
      </c>
      <c r="AF97" s="60">
        <v>1.0666842940634598</v>
      </c>
      <c r="AG97" s="60">
        <v>1.0689389183888764</v>
      </c>
      <c r="AH97" s="60">
        <v>1.0711408249455021</v>
      </c>
      <c r="AI97" s="60">
        <f t="shared" si="3"/>
        <v>1.0711408249455021</v>
      </c>
      <c r="AJ97" s="13">
        <v>555</v>
      </c>
    </row>
    <row r="98" spans="1:36" ht="9.9499999999999993" customHeight="1" x14ac:dyDescent="0.2">
      <c r="A98" s="60">
        <f t="shared" si="2"/>
        <v>0.99076064375540607</v>
      </c>
      <c r="B98" s="60">
        <v>0.99076064375540607</v>
      </c>
      <c r="C98" s="60">
        <v>0.9908138252922789</v>
      </c>
      <c r="D98" s="60">
        <v>0.99090244192830379</v>
      </c>
      <c r="E98" s="60">
        <v>0.99100875008128309</v>
      </c>
      <c r="F98" s="60">
        <v>0.99107960288273411</v>
      </c>
      <c r="G98" s="60">
        <v>0.99143363476631574</v>
      </c>
      <c r="H98" s="60">
        <v>0.99178727851637283</v>
      </c>
      <c r="I98" s="60">
        <v>0.99214053242013156</v>
      </c>
      <c r="J98" s="60">
        <v>0.99231701264661087</v>
      </c>
      <c r="K98" s="60">
        <v>0.99249339477288301</v>
      </c>
      <c r="L98" s="60">
        <v>0.99425177417859867</v>
      </c>
      <c r="M98" s="60">
        <v>0.99773821008391383</v>
      </c>
      <c r="N98" s="60">
        <v>1.004584281234832</v>
      </c>
      <c r="O98" s="60">
        <v>1.0177300801305966</v>
      </c>
      <c r="P98" s="60">
        <v>1.024011030597378</v>
      </c>
      <c r="Q98" s="60">
        <v>1.0270752239467027</v>
      </c>
      <c r="R98" s="60">
        <v>1.030087585582655</v>
      </c>
      <c r="S98" s="60">
        <v>1.0330475115033737</v>
      </c>
      <c r="T98" s="60">
        <v>1.0359544988768017</v>
      </c>
      <c r="U98" s="60">
        <v>1.0388081438838472</v>
      </c>
      <c r="V98" s="60">
        <v>1.0416081391287848</v>
      </c>
      <c r="W98" s="60">
        <v>1.0443542706673767</v>
      </c>
      <c r="X98" s="60">
        <v>1.0470464147031522</v>
      </c>
      <c r="Y98" s="60">
        <v>1.0496845340015299</v>
      </c>
      <c r="Z98" s="60">
        <v>1.0522686740701057</v>
      </c>
      <c r="AA98" s="60">
        <v>1.0547989591515239</v>
      </c>
      <c r="AB98" s="60">
        <v>1.0572755880730313</v>
      </c>
      <c r="AC98" s="60">
        <v>1.0596988299941452</v>
      </c>
      <c r="AD98" s="60">
        <v>1.0620690200909428</v>
      </c>
      <c r="AE98" s="60">
        <v>1.0643865552123941</v>
      </c>
      <c r="AF98" s="60">
        <v>1.0666518895409618</v>
      </c>
      <c r="AG98" s="60">
        <v>1.0688655302864636</v>
      </c>
      <c r="AH98" s="60">
        <v>1.0710280334389817</v>
      </c>
      <c r="AI98" s="60">
        <f t="shared" si="3"/>
        <v>1.0710280334389817</v>
      </c>
      <c r="AJ98" s="13">
        <v>560</v>
      </c>
    </row>
    <row r="99" spans="1:36" ht="9.9499999999999993" customHeight="1" x14ac:dyDescent="0.2">
      <c r="A99" s="60">
        <f t="shared" si="2"/>
        <v>0.99231499086098485</v>
      </c>
      <c r="B99" s="60">
        <v>0.99231499086098485</v>
      </c>
      <c r="C99" s="60">
        <v>0.99236706641854278</v>
      </c>
      <c r="D99" s="60">
        <v>0.99245383999808789</v>
      </c>
      <c r="E99" s="60">
        <v>0.99255793688509242</v>
      </c>
      <c r="F99" s="60">
        <v>0.99262731575396035</v>
      </c>
      <c r="G99" s="60">
        <v>0.99297398094062217</v>
      </c>
      <c r="H99" s="60">
        <v>0.99332026300834175</v>
      </c>
      <c r="I99" s="60">
        <v>0.99366616034131883</v>
      </c>
      <c r="J99" s="60">
        <v>0.99383896422947715</v>
      </c>
      <c r="K99" s="60">
        <v>0.99401167133157053</v>
      </c>
      <c r="L99" s="60">
        <v>0.99573337541653084</v>
      </c>
      <c r="M99" s="60">
        <v>0.99914690615887003</v>
      </c>
      <c r="N99" s="60">
        <v>1.0058492718237679</v>
      </c>
      <c r="O99" s="60">
        <v>1.0187184666106162</v>
      </c>
      <c r="P99" s="60">
        <v>1.0248677250571665</v>
      </c>
      <c r="Q99" s="60">
        <v>1.0278679503622119</v>
      </c>
      <c r="R99" s="60">
        <v>1.0308176679241292</v>
      </c>
      <c r="S99" s="60">
        <v>1.0337163210562901</v>
      </c>
      <c r="T99" s="60">
        <v>1.0365634488981954</v>
      </c>
      <c r="U99" s="60">
        <v>1.039358684304857</v>
      </c>
      <c r="V99" s="60">
        <v>1.0421017513391762</v>
      </c>
      <c r="W99" s="60">
        <v>1.0447924624141824</v>
      </c>
      <c r="X99" s="60">
        <v>1.0474307151318711</v>
      </c>
      <c r="Y99" s="60">
        <v>1.0500164888645915</v>
      </c>
      <c r="Z99" s="60">
        <v>1.0525498411236245</v>
      </c>
      <c r="AA99" s="60">
        <v>1.0550309037577923</v>
      </c>
      <c r="AB99" s="60">
        <v>1.0574598790227636</v>
      </c>
      <c r="AC99" s="60">
        <v>1.059837035559243</v>
      </c>
      <c r="AD99" s="60">
        <v>1.0621627043155222</v>
      </c>
      <c r="AE99" s="60">
        <v>1.064437274447023</v>
      </c>
      <c r="AF99" s="60">
        <v>1.0666611892225026</v>
      </c>
      <c r="AG99" s="60">
        <v>1.0688349419636309</v>
      </c>
      <c r="AH99" s="60">
        <v>1.0709590720416828</v>
      </c>
      <c r="AI99" s="60">
        <f t="shared" si="3"/>
        <v>1.0709590720416828</v>
      </c>
      <c r="AJ99" s="13">
        <v>565</v>
      </c>
    </row>
    <row r="100" spans="1:36" ht="9.9499999999999993" customHeight="1" x14ac:dyDescent="0.2">
      <c r="A100" s="60">
        <f t="shared" si="2"/>
        <v>0.99386242226962984</v>
      </c>
      <c r="B100" s="60">
        <v>0.99386242226962984</v>
      </c>
      <c r="C100" s="60">
        <v>0.9939134239691706</v>
      </c>
      <c r="D100" s="60">
        <v>0.993998408034103</v>
      </c>
      <c r="E100" s="60">
        <v>0.99410035791577156</v>
      </c>
      <c r="F100" s="60">
        <v>0.99416830569871162</v>
      </c>
      <c r="G100" s="60">
        <v>0.99450781849472658</v>
      </c>
      <c r="H100" s="60">
        <v>0.99484695330375794</v>
      </c>
      <c r="I100" s="60">
        <v>0.99518570860113587</v>
      </c>
      <c r="J100" s="60">
        <v>0.99535494345856501</v>
      </c>
      <c r="K100" s="60">
        <v>0.99552408286976413</v>
      </c>
      <c r="L100" s="60">
        <v>0.99721018621955149</v>
      </c>
      <c r="M100" s="60">
        <v>1.0005529655501064</v>
      </c>
      <c r="N100" s="60">
        <v>1.0071159314413605</v>
      </c>
      <c r="O100" s="60">
        <v>1.0197169726542412</v>
      </c>
      <c r="P100" s="60">
        <v>1.0257386032745723</v>
      </c>
      <c r="Q100" s="60">
        <v>1.0286768367371124</v>
      </c>
      <c r="R100" s="60">
        <v>1.0315658439992061</v>
      </c>
      <c r="S100" s="60">
        <v>1.0344051122156679</v>
      </c>
      <c r="T100" s="60">
        <v>1.0371942193513302</v>
      </c>
      <c r="U100" s="60">
        <v>1.0399328321193664</v>
      </c>
      <c r="V100" s="60">
        <v>1.0426207035551731</v>
      </c>
      <c r="W100" s="60">
        <v>1.0452576702693377</v>
      </c>
      <c r="X100" s="60">
        <v>1.0478436494230177</v>
      </c>
      <c r="Y100" s="60">
        <v>1.0503786354682636</v>
      </c>
      <c r="Z100" s="60">
        <v>1.052862696694554</v>
      </c>
      <c r="AA100" s="60">
        <v>1.0552959716211074</v>
      </c>
      <c r="AB100" s="60">
        <v>1.0576786652725014</v>
      </c>
      <c r="AC100" s="60">
        <v>1.0600110453728249</v>
      </c>
      <c r="AD100" s="60">
        <v>1.0622934384910798</v>
      </c>
      <c r="AE100" s="60">
        <v>1.0645262261679052</v>
      </c>
      <c r="AF100" s="60">
        <v>1.066709841050983</v>
      </c>
      <c r="AG100" s="60">
        <v>1.0688447630637394</v>
      </c>
      <c r="AH100" s="60">
        <v>1.0709315156292296</v>
      </c>
      <c r="AI100" s="60">
        <f t="shared" si="3"/>
        <v>1.0709315156292296</v>
      </c>
      <c r="AJ100" s="13">
        <v>570</v>
      </c>
    </row>
    <row r="101" spans="1:36" ht="9.9499999999999993" customHeight="1" x14ac:dyDescent="0.2">
      <c r="A101" s="60">
        <f t="shared" si="2"/>
        <v>0.99540257212302241</v>
      </c>
      <c r="B101" s="60">
        <v>0.99540257212302241</v>
      </c>
      <c r="C101" s="60">
        <v>0.99545253088560515</v>
      </c>
      <c r="D101" s="60">
        <v>0.99553577697629703</v>
      </c>
      <c r="E101" s="60">
        <v>0.99563564170967289</v>
      </c>
      <c r="F101" s="60">
        <v>0.99570219964985551</v>
      </c>
      <c r="G101" s="60">
        <v>0.99603476633113242</v>
      </c>
      <c r="H101" s="60">
        <v>0.99636696025346227</v>
      </c>
      <c r="I101" s="60">
        <v>0.99669877997783352</v>
      </c>
      <c r="J101" s="60">
        <v>0.99686454906809752</v>
      </c>
      <c r="K101" s="60">
        <v>0.99703022407256714</v>
      </c>
      <c r="L101" s="60">
        <v>0.99868176051169366</v>
      </c>
      <c r="M101" s="60">
        <v>1.0019558593329543</v>
      </c>
      <c r="N101" s="60">
        <v>1.0083835614864651</v>
      </c>
      <c r="O101" s="60">
        <v>1.0207245549417736</v>
      </c>
      <c r="P101" s="60">
        <v>1.0266224526406691</v>
      </c>
      <c r="Q101" s="60">
        <v>1.0295005877377892</v>
      </c>
      <c r="R101" s="60">
        <v>1.0323307374203052</v>
      </c>
      <c r="S101" s="60">
        <v>1.0351124294773677</v>
      </c>
      <c r="T101" s="60">
        <v>1.0378452777971483</v>
      </c>
      <c r="U101" s="60">
        <v>1.040528980356112</v>
      </c>
      <c r="V101" s="60">
        <v>1.0431633168735179</v>
      </c>
      <c r="W101" s="60">
        <v>1.0457481461716058</v>
      </c>
      <c r="X101" s="60">
        <v>1.0482834032816397</v>
      </c>
      <c r="Y101" s="60">
        <v>1.0507690963352136</v>
      </c>
      <c r="Z101" s="60">
        <v>1.0532053032789899</v>
      </c>
      <c r="AA101" s="60">
        <v>1.0555921684494398</v>
      </c>
      <c r="AB101" s="60">
        <v>1.0579298990422499</v>
      </c>
      <c r="AC101" s="60">
        <v>1.0602187615089109</v>
      </c>
      <c r="AD101" s="60">
        <v>1.0624590779106846</v>
      </c>
      <c r="AE101" s="60">
        <v>1.0646512222576932</v>
      </c>
      <c r="AF101" s="60">
        <v>1.0667956168583701</v>
      </c>
      <c r="AG101" s="60">
        <v>1.0688927287019854</v>
      </c>
      <c r="AH101" s="60">
        <v>1.0709430658944319</v>
      </c>
      <c r="AI101" s="60">
        <f t="shared" si="3"/>
        <v>1.0709430658944319</v>
      </c>
      <c r="AJ101" s="13">
        <v>575</v>
      </c>
    </row>
    <row r="102" spans="1:36" ht="9.9499999999999993" customHeight="1" x14ac:dyDescent="0.2">
      <c r="A102" s="60">
        <f t="shared" si="2"/>
        <v>0.9969350963725383</v>
      </c>
      <c r="B102" s="60">
        <v>0.9969350963725383</v>
      </c>
      <c r="C102" s="60">
        <v>0.99698404197399959</v>
      </c>
      <c r="D102" s="60">
        <v>0.99706559972112885</v>
      </c>
      <c r="E102" s="60">
        <v>0.99716343886999537</v>
      </c>
      <c r="F102" s="60">
        <v>0.99722864668076872</v>
      </c>
      <c r="G102" s="60">
        <v>0.99755446586242469</v>
      </c>
      <c r="H102" s="60">
        <v>0.99787991759003547</v>
      </c>
      <c r="I102" s="60">
        <v>0.99820500050511995</v>
      </c>
      <c r="J102" s="60">
        <v>0.99836740323537809</v>
      </c>
      <c r="K102" s="60">
        <v>0.99852971325629125</v>
      </c>
      <c r="L102" s="60">
        <v>1.0001476777566101</v>
      </c>
      <c r="M102" s="60">
        <v>1.0033550880773123</v>
      </c>
      <c r="N102" s="60">
        <v>1.0096515012221881</v>
      </c>
      <c r="O102" s="60">
        <v>1.0217402258196089</v>
      </c>
      <c r="P102" s="60">
        <v>1.0275181252004713</v>
      </c>
      <c r="Q102" s="60">
        <v>1.0303379771078527</v>
      </c>
      <c r="R102" s="60">
        <v>1.0331110452211174</v>
      </c>
      <c r="S102" s="60">
        <v>1.0358368950011099</v>
      </c>
      <c r="T102" s="60">
        <v>1.0385151735810585</v>
      </c>
      <c r="U102" s="60">
        <v>1.0411456078081962</v>
      </c>
      <c r="V102" s="60">
        <v>1.0437280019776718</v>
      </c>
      <c r="W102" s="60">
        <v>1.0462622352963602</v>
      </c>
      <c r="X102" s="60">
        <v>1.0487482591138599</v>
      </c>
      <c r="Y102" s="60">
        <v>1.0511860939571991</v>
      </c>
      <c r="Z102" s="60">
        <v>1.0535758264045743</v>
      </c>
      <c r="AA102" s="60">
        <v>1.0559176058319575</v>
      </c>
      <c r="AB102" s="60">
        <v>1.0582116410646039</v>
      </c>
      <c r="AC102" s="60">
        <v>1.0604581969635074</v>
      </c>
      <c r="AD102" s="60">
        <v>1.0626575909746829</v>
      </c>
      <c r="AE102" s="60">
        <v>1.0648101896669069</v>
      </c>
      <c r="AF102" s="60">
        <v>1.0669164052812079</v>
      </c>
      <c r="AG102" s="60">
        <v>1.0689766923130846</v>
      </c>
      <c r="AH102" s="60">
        <v>1.0709915441460924</v>
      </c>
      <c r="AI102" s="60">
        <f t="shared" si="3"/>
        <v>1.0709915441460924</v>
      </c>
      <c r="AJ102" s="13">
        <v>580</v>
      </c>
    </row>
    <row r="103" spans="1:36" ht="9.9499999999999993" customHeight="1" x14ac:dyDescent="0.2">
      <c r="A103" s="60">
        <f t="shared" si="2"/>
        <v>0.99845967204234554</v>
      </c>
      <c r="B103" s="60">
        <v>0.99845967204234554</v>
      </c>
      <c r="C103" s="60">
        <v>0.99850763316531677</v>
      </c>
      <c r="D103" s="60">
        <v>0.99858755037665958</v>
      </c>
      <c r="E103" s="60">
        <v>0.9986834213158492</v>
      </c>
      <c r="F103" s="60">
        <v>0.99874731725037524</v>
      </c>
      <c r="G103" s="60">
        <v>0.99906658023606154</v>
      </c>
      <c r="H103" s="60">
        <v>0.99938548113214742</v>
      </c>
      <c r="I103" s="60">
        <v>0.99970401865587732</v>
      </c>
      <c r="J103" s="60">
        <v>0.9998631507541228</v>
      </c>
      <c r="K103" s="60">
        <v>1.0000221915313572</v>
      </c>
      <c r="L103" s="60">
        <v>1.0016075420136288</v>
      </c>
      <c r="M103" s="60">
        <v>1.0047501806769252</v>
      </c>
      <c r="N103" s="60">
        <v>1.010919126106095</v>
      </c>
      <c r="O103" s="60">
        <v>1.0227630505115011</v>
      </c>
      <c r="P103" s="60">
        <v>1.0284245342816318</v>
      </c>
      <c r="Q103" s="60">
        <v>1.0311878440078805</v>
      </c>
      <c r="R103" s="60">
        <v>1.0339055339118477</v>
      </c>
      <c r="S103" s="60">
        <v>1.0365772043877057</v>
      </c>
      <c r="T103" s="60">
        <v>1.0392025333405346</v>
      </c>
      <c r="U103" s="60">
        <v>1.0417812742811787</v>
      </c>
      <c r="V103" s="60">
        <v>1.0443132541380868</v>
      </c>
      <c r="W103" s="60">
        <v>1.0467983708211268</v>
      </c>
      <c r="X103" s="60">
        <v>1.0492365905719996</v>
      </c>
      <c r="Y103" s="60">
        <v>1.0516279451351163</v>
      </c>
      <c r="Z103" s="60">
        <v>1.0539725287816648</v>
      </c>
      <c r="AA103" s="60">
        <v>1.0562704952181827</v>
      </c>
      <c r="AB103" s="60">
        <v>1.0585220544092666</v>
      </c>
      <c r="AC103" s="60">
        <v>1.0607274693421935</v>
      </c>
      <c r="AD103" s="60">
        <v>1.0628870527592342</v>
      </c>
      <c r="AE103" s="60">
        <v>1.0650011638813306</v>
      </c>
      <c r="AF103" s="60">
        <v>1.0670702051446737</v>
      </c>
      <c r="AG103" s="60">
        <v>1.0690946189695567</v>
      </c>
      <c r="AH103" s="60">
        <v>1.0710748845787357</v>
      </c>
      <c r="AI103" s="60">
        <f t="shared" si="3"/>
        <v>1.0710748845787357</v>
      </c>
      <c r="AJ103" s="13">
        <v>585</v>
      </c>
    </row>
    <row r="104" spans="1:36" ht="9.9499999999999993" customHeight="1" x14ac:dyDescent="0.2">
      <c r="A104" s="60">
        <f t="shared" si="2"/>
        <v>0.99997599649772895</v>
      </c>
      <c r="B104" s="60">
        <v>0.99997599649772895</v>
      </c>
      <c r="C104" s="60">
        <v>1.0000230007808455</v>
      </c>
      <c r="D104" s="60">
        <v>1.0001013235233782</v>
      </c>
      <c r="E104" s="60">
        <v>1.0001952815374389</v>
      </c>
      <c r="F104" s="60">
        <v>1.0002579024545586</v>
      </c>
      <c r="G104" s="60">
        <v>1.0005707935668267</v>
      </c>
      <c r="H104" s="60">
        <v>1.0008833279978799</v>
      </c>
      <c r="I104" s="60">
        <v>1.0011955045361849</v>
      </c>
      <c r="J104" s="60">
        <v>1.0013514582187659</v>
      </c>
      <c r="K104" s="60">
        <v>1.0015073219768424</v>
      </c>
      <c r="L104" s="60">
        <v>1.0030609810124413</v>
      </c>
      <c r="M104" s="60">
        <v>1.0061406932125385</v>
      </c>
      <c r="N104" s="60">
        <v>1.0121858461892983</v>
      </c>
      <c r="O104" s="60">
        <v>1.0237921444816902</v>
      </c>
      <c r="P104" s="60">
        <v>1.0293406513195655</v>
      </c>
      <c r="Q104" s="60">
        <v>1.0320490895738608</v>
      </c>
      <c r="R104" s="60">
        <v>1.0347130357751395</v>
      </c>
      <c r="S104" s="60">
        <v>1.0373321227184529</v>
      </c>
      <c r="T104" s="60">
        <v>1.0399060567956762</v>
      </c>
      <c r="U104" s="60">
        <v>1.0424346161440479</v>
      </c>
      <c r="V104" s="60">
        <v>1.0449176485342575</v>
      </c>
      <c r="W104" s="60">
        <v>1.0473550690306384</v>
      </c>
      <c r="X104" s="60">
        <v>1.0497468574556406</v>
      </c>
      <c r="Y104" s="60">
        <v>1.0520930556900074</v>
      </c>
      <c r="Z104" s="60">
        <v>1.0543937648389918</v>
      </c>
      <c r="AA104" s="60">
        <v>1.0566491422936142</v>
      </c>
      <c r="AB104" s="60">
        <v>1.0588593987143953</v>
      </c>
      <c r="AC104" s="60">
        <v>1.0610247949632632</v>
      </c>
      <c r="AD104" s="60">
        <v>1.0631456390074772</v>
      </c>
      <c r="AE104" s="60">
        <v>1.0652222828174638</v>
      </c>
      <c r="AF104" s="60">
        <v>1.0672551192784843</v>
      </c>
      <c r="AG104" s="60">
        <v>1.0692445791340464</v>
      </c>
      <c r="AH104" s="60">
        <v>1.0711911279770014</v>
      </c>
      <c r="AI104" s="60">
        <f t="shared" si="3"/>
        <v>1.0711911279770014</v>
      </c>
      <c r="AJ104" s="13">
        <v>590</v>
      </c>
    </row>
    <row r="105" spans="1:36" ht="9.9499999999999993" customHeight="1" x14ac:dyDescent="0.2">
      <c r="A105" s="60">
        <f t="shared" si="2"/>
        <v>1.0014837867206212</v>
      </c>
      <c r="B105" s="60">
        <v>1.0014837867206212</v>
      </c>
      <c r="C105" s="60">
        <v>1.0015298608050984</v>
      </c>
      <c r="D105" s="60">
        <v>1.0016066334827041</v>
      </c>
      <c r="E105" s="60">
        <v>1.0016987318592794</v>
      </c>
      <c r="F105" s="60">
        <v>1.001760113285844</v>
      </c>
      <c r="G105" s="60">
        <v>1.0020668101787513</v>
      </c>
      <c r="H105" s="60">
        <v>1.0023731558287303</v>
      </c>
      <c r="I105" s="60">
        <v>1.0026791490912494</v>
      </c>
      <c r="J105" s="60">
        <v>1.0028320132212969</v>
      </c>
      <c r="K105" s="60">
        <v>1.0029847888281858</v>
      </c>
      <c r="L105" s="60">
        <v>1.0045076452474133</v>
      </c>
      <c r="M105" s="60">
        <v>1.0075262078487348</v>
      </c>
      <c r="N105" s="60">
        <v>1.013451104581413</v>
      </c>
      <c r="O105" s="60">
        <v>1.0248266709397882</v>
      </c>
      <c r="P105" s="60">
        <v>1.0302655028649852</v>
      </c>
      <c r="Q105" s="60">
        <v>1.0329206736783541</v>
      </c>
      <c r="R105" s="60">
        <v>1.0355324453847488</v>
      </c>
      <c r="S105" s="60">
        <v>1.0381004808368608</v>
      </c>
      <c r="T105" s="60">
        <v>1.0406245128010492</v>
      </c>
      <c r="U105" s="60">
        <v>1.0431043421596549</v>
      </c>
      <c r="V105" s="60">
        <v>1.0455398358734862</v>
      </c>
      <c r="W105" s="60">
        <v>1.0479309247347897</v>
      </c>
      <c r="X105" s="60">
        <v>1.0502776009406203</v>
      </c>
      <c r="Y105" s="60">
        <v>1.0525799155157796</v>
      </c>
      <c r="Z105" s="60">
        <v>1.0548379756134714</v>
      </c>
      <c r="AA105" s="60">
        <v>1.0570519417205473</v>
      </c>
      <c r="AB105" s="60">
        <v>1.0592220247927595</v>
      </c>
      <c r="AC105" s="60">
        <v>1.0613484833438156</v>
      </c>
      <c r="AD105" s="60">
        <v>1.0634316205103038</v>
      </c>
      <c r="AE105" s="60">
        <v>1.0654717811127596</v>
      </c>
      <c r="AF105" s="60">
        <v>1.0674693487313034</v>
      </c>
      <c r="AG105" s="60">
        <v>1.0694247428124293</v>
      </c>
      <c r="AH105" s="60">
        <v>1.0713384158217036</v>
      </c>
      <c r="AI105" s="60">
        <f t="shared" si="3"/>
        <v>1.0713384158217036</v>
      </c>
      <c r="AJ105" s="13">
        <v>595</v>
      </c>
    </row>
    <row r="106" spans="1:36" ht="9.9499999999999993" customHeight="1" x14ac:dyDescent="0.2">
      <c r="A106" s="60">
        <f t="shared" si="2"/>
        <v>1.0029827785940846</v>
      </c>
      <c r="B106" s="60">
        <v>1.0029827785940846</v>
      </c>
      <c r="C106" s="60">
        <v>1.0030279481678239</v>
      </c>
      <c r="D106" s="60">
        <v>1.0031032135948756</v>
      </c>
      <c r="E106" s="60">
        <v>1.0031935037131254</v>
      </c>
      <c r="F106" s="60">
        <v>1.0032536799030163</v>
      </c>
      <c r="G106" s="60">
        <v>1.0035543538580827</v>
      </c>
      <c r="H106" s="60">
        <v>1.0038546820257903</v>
      </c>
      <c r="I106" s="60">
        <v>1.0041546633246479</v>
      </c>
      <c r="J106" s="60">
        <v>1.0043045235619854</v>
      </c>
      <c r="K106" s="60">
        <v>1.0044542966793595</v>
      </c>
      <c r="L106" s="60">
        <v>1.0059472070923465</v>
      </c>
      <c r="M106" s="60">
        <v>1.0089063317642104</v>
      </c>
      <c r="N106" s="60">
        <v>1.0147143759785644</v>
      </c>
      <c r="O106" s="60">
        <v>1.0258658384782224</v>
      </c>
      <c r="P106" s="60">
        <v>1.0311981677611115</v>
      </c>
      <c r="Q106" s="60">
        <v>1.0338016118798488</v>
      </c>
      <c r="R106" s="60">
        <v>1.0363627163306912</v>
      </c>
      <c r="S106" s="60">
        <v>1.0388811718547131</v>
      </c>
      <c r="T106" s="60">
        <v>1.0413567356391698</v>
      </c>
      <c r="U106" s="60">
        <v>1.0437892295733797</v>
      </c>
      <c r="V106" s="60">
        <v>1.0461785382836373</v>
      </c>
      <c r="W106" s="60">
        <v>1.0485246069754066</v>
      </c>
      <c r="X106" s="60">
        <v>1.050827439110616</v>
      </c>
      <c r="Y106" s="60">
        <v>1.0530870939471537</v>
      </c>
      <c r="Z106" s="60">
        <v>1.0553036839666921</v>
      </c>
      <c r="AA106" s="60">
        <v>1.0574773722157675</v>
      </c>
      <c r="AB106" s="60">
        <v>1.0596083695836727</v>
      </c>
      <c r="AC106" s="60">
        <v>1.0616969320392113</v>
      </c>
      <c r="AD106" s="60">
        <v>1.063743357846765</v>
      </c>
      <c r="AE106" s="60">
        <v>1.0657479847804352</v>
      </c>
      <c r="AF106" s="60">
        <v>1.067711187353344</v>
      </c>
      <c r="AG106" s="60">
        <v>1.0696333740774377</v>
      </c>
      <c r="AH106" s="60">
        <v>1.0715149847674785</v>
      </c>
      <c r="AI106" s="60">
        <f t="shared" si="3"/>
        <v>1.0715149847674785</v>
      </c>
      <c r="AJ106" s="13">
        <v>600</v>
      </c>
    </row>
    <row r="107" spans="1:36" ht="9.9499999999999993" customHeight="1" x14ac:dyDescent="0.2">
      <c r="A107" s="60">
        <f t="shared" si="2"/>
        <v>1.0044727261972612</v>
      </c>
      <c r="B107" s="60">
        <v>1.0044727261972612</v>
      </c>
      <c r="C107" s="60">
        <v>1.004517016036641</v>
      </c>
      <c r="D107" s="60">
        <v>1.0045908155077208</v>
      </c>
      <c r="E107" s="60">
        <v>1.0046793469220885</v>
      </c>
      <c r="F107" s="60">
        <v>1.0047383509121286</v>
      </c>
      <c r="G107" s="60">
        <v>1.0050331671186752</v>
      </c>
      <c r="H107" s="60">
        <v>1.0053276429993849</v>
      </c>
      <c r="I107" s="60">
        <v>1.005621777532097</v>
      </c>
      <c r="J107" s="60">
        <v>1.0057687164751643</v>
      </c>
      <c r="K107" s="60">
        <v>1.0059155697006343</v>
      </c>
      <c r="L107" s="60">
        <v>1.0073793599363792</v>
      </c>
      <c r="M107" s="60">
        <v>1.0102806961151978</v>
      </c>
      <c r="N107" s="60">
        <v>1.0159751652518234</v>
      </c>
      <c r="O107" s="60">
        <v>1.0269088988338126</v>
      </c>
      <c r="P107" s="60">
        <v>1.0321377744789486</v>
      </c>
      <c r="Q107" s="60">
        <v>1.0346909725471169</v>
      </c>
      <c r="R107" s="60">
        <v>1.0372028581360822</v>
      </c>
      <c r="S107" s="60">
        <v>1.0396731478661367</v>
      </c>
      <c r="T107" s="60">
        <v>1.0421016215377943</v>
      </c>
      <c r="U107" s="60">
        <v>1.044488120440775</v>
      </c>
      <c r="V107" s="60">
        <v>1.0468325454592931</v>
      </c>
      <c r="W107" s="60">
        <v>1.049134854999979</v>
      </c>
      <c r="X107" s="60">
        <v>1.0513950627683193</v>
      </c>
      <c r="Y107" s="60">
        <v>1.0536132354188208</v>
      </c>
      <c r="Z107" s="60">
        <v>1.0557894901031528</v>
      </c>
      <c r="AA107" s="60">
        <v>1.0579239919394119</v>
      </c>
      <c r="AB107" s="60">
        <v>1.0600169514243516</v>
      </c>
      <c r="AC107" s="60">
        <v>1.0620686218090369</v>
      </c>
      <c r="AD107" s="60">
        <v>1.0640792964568651</v>
      </c>
      <c r="AE107" s="60">
        <v>1.0660493062013592</v>
      </c>
      <c r="AF107" s="60">
        <v>1.0679790167195555</v>
      </c>
      <c r="AG107" s="60">
        <v>1.0698688259352223</v>
      </c>
      <c r="AH107" s="60">
        <v>1.0717191614645798</v>
      </c>
      <c r="AI107" s="60">
        <f t="shared" si="3"/>
        <v>1.0717191614645798</v>
      </c>
      <c r="AJ107" s="13">
        <v>605</v>
      </c>
    </row>
    <row r="108" spans="1:36" ht="9.9499999999999993" customHeight="1" x14ac:dyDescent="0.2">
      <c r="A108" s="60">
        <f t="shared" si="2"/>
        <v>1.0059534011121143</v>
      </c>
      <c r="B108" s="60">
        <v>1.0059534011121143</v>
      </c>
      <c r="C108" s="60">
        <v>1.0059968351216051</v>
      </c>
      <c r="D108" s="60">
        <v>1.0060692084775864</v>
      </c>
      <c r="E108" s="60">
        <v>1.0061560289972011</v>
      </c>
      <c r="F108" s="60">
        <v>1.0062138926601478</v>
      </c>
      <c r="G108" s="60">
        <v>1.0065030104809758</v>
      </c>
      <c r="H108" s="60">
        <v>1.0067917934332868</v>
      </c>
      <c r="I108" s="60">
        <v>1.0070802405507691</v>
      </c>
      <c r="J108" s="60">
        <v>1.0072243378710559</v>
      </c>
      <c r="K108" s="60">
        <v>1.0073683508728877</v>
      </c>
      <c r="L108" s="60">
        <v>1.0088038173415721</v>
      </c>
      <c r="M108" s="60">
        <v>1.0116489550316843</v>
      </c>
      <c r="N108" s="60">
        <v>1.0172330060935895</v>
      </c>
      <c r="O108" s="60">
        <v>1.0279551447657567</v>
      </c>
      <c r="P108" s="60">
        <v>1.0330834986000275</v>
      </c>
      <c r="Q108" s="60">
        <v>1.0355878741465112</v>
      </c>
      <c r="R108" s="60">
        <v>1.0380519333521832</v>
      </c>
      <c r="S108" s="60">
        <v>1.0404754168548052</v>
      </c>
      <c r="T108" s="60">
        <v>1.0428581253948026</v>
      </c>
      <c r="U108" s="60">
        <v>1.045199918176682</v>
      </c>
      <c r="V108" s="60">
        <v>1.0475007110425838</v>
      </c>
      <c r="W108" s="60">
        <v>1.0497604744825053</v>
      </c>
      <c r="X108" s="60">
        <v>1.0519792315053131</v>
      </c>
      <c r="Y108" s="60">
        <v>1.0541570553939803</v>
      </c>
      <c r="Z108" s="60">
        <v>1.0562940673675931</v>
      </c>
      <c r="AA108" s="60">
        <v>1.0583904341716219</v>
      </c>
      <c r="AB108" s="60">
        <v>1.060446365616732</v>
      </c>
      <c r="AC108" s="60">
        <v>1.0624621120851183</v>
      </c>
      <c r="AD108" s="60">
        <v>1.0644379620219357</v>
      </c>
      <c r="AE108" s="60">
        <v>1.0663742394279716</v>
      </c>
      <c r="AF108" s="60">
        <v>1.0682713013682363</v>
      </c>
      <c r="AG108" s="60">
        <v>1.0701295355096729</v>
      </c>
      <c r="AH108" s="60">
        <v>1.0719493576997492</v>
      </c>
      <c r="AI108" s="60">
        <f t="shared" si="3"/>
        <v>1.0719493576997492</v>
      </c>
      <c r="AJ108" s="13">
        <v>610</v>
      </c>
    </row>
    <row r="109" spans="1:36" ht="9.9499999999999993" customHeight="1" x14ac:dyDescent="0.2">
      <c r="A109" s="60">
        <f t="shared" si="2"/>
        <v>1.0074245917430877</v>
      </c>
      <c r="B109" s="60">
        <v>1.0074245917430877</v>
      </c>
      <c r="C109" s="60">
        <v>1.0074671929928234</v>
      </c>
      <c r="D109" s="60">
        <v>1.0075381786835456</v>
      </c>
      <c r="E109" s="60">
        <v>1.0076233344475185</v>
      </c>
      <c r="F109" s="60">
        <v>1.0076800885423174</v>
      </c>
      <c r="G109" s="60">
        <v>1.0079636617656174</v>
      </c>
      <c r="H109" s="60">
        <v>1.0082469055644316</v>
      </c>
      <c r="I109" s="60">
        <v>1.0085298190250291</v>
      </c>
      <c r="J109" s="60">
        <v>1.0086711515944811</v>
      </c>
      <c r="K109" s="60">
        <v>1.0088124012392585</v>
      </c>
      <c r="L109" s="60">
        <v>1.010220312222611</v>
      </c>
      <c r="M109" s="60">
        <v>1.0130107846460357</v>
      </c>
      <c r="N109" s="60">
        <v>1.0184874597195877</v>
      </c>
      <c r="O109" s="60">
        <v>1.0290039080429387</v>
      </c>
      <c r="P109" s="60">
        <v>1.0340345604369208</v>
      </c>
      <c r="Q109" s="60">
        <v>1.0364914826812119</v>
      </c>
      <c r="R109" s="60">
        <v>1.0389090548193722</v>
      </c>
      <c r="S109" s="60">
        <v>1.0412870397807226</v>
      </c>
      <c r="T109" s="60">
        <v>1.0436252576958995</v>
      </c>
      <c r="U109" s="60">
        <v>1.0459235843098822</v>
      </c>
      <c r="V109" s="60">
        <v>1.0481819492216518</v>
      </c>
      <c r="W109" s="60">
        <v>1.0504003339733838</v>
      </c>
      <c r="X109" s="60">
        <v>1.0525787700116456</v>
      </c>
      <c r="Y109" s="60">
        <v>1.0547173365424005</v>
      </c>
      <c r="Z109" s="60">
        <v>1.0568161583008</v>
      </c>
      <c r="AA109" s="60">
        <v>1.0588754032557237</v>
      </c>
      <c r="AB109" s="60">
        <v>1.0608952802679139</v>
      </c>
      <c r="AC109" s="60">
        <v>1.0628760367193193</v>
      </c>
      <c r="AD109" s="60">
        <v>1.0648179561299751</v>
      </c>
      <c r="AE109" s="60">
        <v>1.0667213557773911</v>
      </c>
      <c r="AF109" s="60">
        <v>1.068586584332083</v>
      </c>
      <c r="AG109" s="60">
        <v>1.070414019521494</v>
      </c>
      <c r="AH109" s="60">
        <v>1.072204065833229</v>
      </c>
      <c r="AI109" s="60">
        <f t="shared" si="3"/>
        <v>1.072204065833229</v>
      </c>
      <c r="AJ109" s="13">
        <v>615</v>
      </c>
    </row>
    <row r="110" spans="1:36" ht="9.9499999999999993" customHeight="1" x14ac:dyDescent="0.2">
      <c r="A110" s="60">
        <f t="shared" si="2"/>
        <v>1.0088861026506446</v>
      </c>
      <c r="B110" s="60">
        <v>1.0088861026506446</v>
      </c>
      <c r="C110" s="60">
        <v>1.0089278934120718</v>
      </c>
      <c r="D110" s="60">
        <v>1.0089975285558057</v>
      </c>
      <c r="E110" s="60">
        <v>1.0090810641046721</v>
      </c>
      <c r="F110" s="60">
        <v>1.0091367383241316</v>
      </c>
      <c r="G110" s="60">
        <v>1.0094149154024559</v>
      </c>
      <c r="H110" s="60">
        <v>1.0096927684789185</v>
      </c>
      <c r="I110" s="60">
        <v>1.0099702966893052</v>
      </c>
      <c r="J110" s="60">
        <v>1.0101089387011251</v>
      </c>
      <c r="K110" s="60">
        <v>1.0102474991747867</v>
      </c>
      <c r="L110" s="60">
        <v>1.0116285960489291</v>
      </c>
      <c r="M110" s="60">
        <v>1.0143658821535728</v>
      </c>
      <c r="N110" s="60">
        <v>1.0197381136242614</v>
      </c>
      <c r="O110" s="60">
        <v>1.0300545575340152</v>
      </c>
      <c r="P110" s="60">
        <v>1.034990222782632</v>
      </c>
      <c r="Q110" s="60">
        <v>1.0374010092723349</v>
      </c>
      <c r="R110" s="60">
        <v>1.0397733830827878</v>
      </c>
      <c r="S110" s="60">
        <v>1.0421071278341971</v>
      </c>
      <c r="T110" s="60">
        <v>1.0444020816116411</v>
      </c>
      <c r="U110" s="60">
        <v>1.0466581354287299</v>
      </c>
      <c r="V110" s="60">
        <v>1.0488752315312082</v>
      </c>
      <c r="W110" s="60">
        <v>1.0510533615618749</v>
      </c>
      <c r="X110" s="60">
        <v>1.0531925646077616</v>
      </c>
      <c r="Y110" s="60">
        <v>1.0552929251498853</v>
      </c>
      <c r="Z110" s="60">
        <v>1.0573545709350867</v>
      </c>
      <c r="AA110" s="60">
        <v>1.0593776707885212</v>
      </c>
      <c r="AB110" s="60">
        <v>1.0613624323843207</v>
      </c>
      <c r="AC110" s="60">
        <v>1.0633090999907904</v>
      </c>
      <c r="AD110" s="60">
        <v>1.0652179522053051</v>
      </c>
      <c r="AE110" s="60">
        <v>1.067089299692825</v>
      </c>
      <c r="AF110" s="60">
        <v>1.0689234829406744</v>
      </c>
      <c r="AG110" s="60">
        <v>1.0707208700409823</v>
      </c>
      <c r="AH110" s="60">
        <v>1.0724818545109105</v>
      </c>
      <c r="AI110" s="60">
        <f t="shared" si="3"/>
        <v>1.0724818545109105</v>
      </c>
      <c r="AJ110" s="13">
        <v>620</v>
      </c>
    </row>
    <row r="111" spans="1:36" ht="9.9499999999999993" customHeight="1" x14ac:dyDescent="0.2">
      <c r="A111" s="60">
        <f t="shared" si="2"/>
        <v>1.0103377538994927</v>
      </c>
      <c r="B111" s="60">
        <v>1.0103377538994927</v>
      </c>
      <c r="C111" s="60">
        <v>1.0103787556792125</v>
      </c>
      <c r="D111" s="60">
        <v>1.01044707611911</v>
      </c>
      <c r="E111" s="60">
        <v>1.0105290344626414</v>
      </c>
      <c r="F111" s="60">
        <v>1.0105836574786888</v>
      </c>
      <c r="G111" s="60">
        <v>1.0108565817557547</v>
      </c>
      <c r="H111" s="60">
        <v>1.0111291874249415</v>
      </c>
      <c r="I111" s="60">
        <v>1.0114014736686738</v>
      </c>
      <c r="J111" s="60">
        <v>1.0115374967519233</v>
      </c>
      <c r="K111" s="60">
        <v>1.0116734396745752</v>
      </c>
      <c r="L111" s="60">
        <v>1.0130284380694659</v>
      </c>
      <c r="M111" s="60">
        <v>1.0157139649046369</v>
      </c>
      <c r="N111" s="60">
        <v>1.0209845803874689</v>
      </c>
      <c r="O111" s="60">
        <v>1.031106497394257</v>
      </c>
      <c r="P111" s="60">
        <v>1.0359497887807017</v>
      </c>
      <c r="Q111" s="60">
        <v>1.0383157078726841</v>
      </c>
      <c r="R111" s="60">
        <v>1.0406441239523558</v>
      </c>
      <c r="S111" s="60">
        <v>1.0429348398456888</v>
      </c>
      <c r="T111" s="60">
        <v>1.0451877102614653</v>
      </c>
      <c r="U111" s="60">
        <v>1.0474026403044956</v>
      </c>
      <c r="V111" s="60">
        <v>1.0495795838409994</v>
      </c>
      <c r="W111" s="60">
        <v>1.0517185417361021</v>
      </c>
      <c r="X111" s="60">
        <v>1.0538195599829883</v>
      </c>
      <c r="Y111" s="60">
        <v>1.0558827277426359</v>
      </c>
      <c r="Z111" s="60">
        <v>1.0579081753122963</v>
      </c>
      <c r="AA111" s="60">
        <v>1.0598960720400039</v>
      </c>
      <c r="AB111" s="60">
        <v>1.0618466242014024</v>
      </c>
      <c r="AC111" s="60">
        <v>1.0637600728541021</v>
      </c>
      <c r="AD111" s="60">
        <v>1.0656366916836733</v>
      </c>
      <c r="AE111" s="60">
        <v>1.0674767848542008</v>
      </c>
      <c r="AF111" s="60">
        <v>1.0692806848751641</v>
      </c>
      <c r="AG111" s="60">
        <v>1.0710487504952282</v>
      </c>
      <c r="AH111" s="60">
        <v>1.0727813646323678</v>
      </c>
      <c r="AI111" s="60">
        <f t="shared" si="3"/>
        <v>1.0727813646323678</v>
      </c>
      <c r="AJ111" s="13">
        <v>625</v>
      </c>
    </row>
    <row r="112" spans="1:36" ht="9.9499999999999993" customHeight="1" x14ac:dyDescent="0.2">
      <c r="A112" s="60">
        <f t="shared" si="2"/>
        <v>1.011779380422156</v>
      </c>
      <c r="B112" s="60">
        <v>1.011779380422156</v>
      </c>
      <c r="C112" s="60">
        <v>1.0118196139940665</v>
      </c>
      <c r="D112" s="60">
        <v>1.0118866543517693</v>
      </c>
      <c r="E112" s="60">
        <v>1.0119670770333735</v>
      </c>
      <c r="F112" s="60">
        <v>1.0120206765400273</v>
      </c>
      <c r="G112" s="60">
        <v>1.0122884864660748</v>
      </c>
      <c r="H112" s="60">
        <v>1.0125559831431503</v>
      </c>
      <c r="I112" s="60">
        <v>1.0128231657976179</v>
      </c>
      <c r="J112" s="60">
        <v>1.0129566391259837</v>
      </c>
      <c r="K112" s="60">
        <v>1.0130900336608579</v>
      </c>
      <c r="L112" s="60">
        <v>1.0144196245601702</v>
      </c>
      <c r="M112" s="60">
        <v>1.0170547695275998</v>
      </c>
      <c r="N112" s="60">
        <v>1.0222264965304722</v>
      </c>
      <c r="O112" s="60">
        <v>1.0321591653435651</v>
      </c>
      <c r="P112" s="60">
        <v>1.0369125999085056</v>
      </c>
      <c r="Q112" s="60">
        <v>1.0392348731046397</v>
      </c>
      <c r="R112" s="60">
        <v>1.0415205261977503</v>
      </c>
      <c r="S112" s="60">
        <v>1.0437693798411307</v>
      </c>
      <c r="T112" s="60">
        <v>1.0459813041334236</v>
      </c>
      <c r="U112" s="60">
        <v>1.0481562171802432</v>
      </c>
      <c r="V112" s="60">
        <v>1.0502940835191796</v>
      </c>
      <c r="W112" s="60">
        <v>1.0523949124268301</v>
      </c>
      <c r="X112" s="60">
        <v>1.0544587561260956</v>
      </c>
      <c r="Y112" s="60">
        <v>1.0564857079113805</v>
      </c>
      <c r="Z112" s="60">
        <v>1.0584759002086253</v>
      </c>
      <c r="AA112" s="60">
        <v>1.0604295025862587</v>
      </c>
      <c r="AB112" s="60">
        <v>1.0623467197322276</v>
      </c>
      <c r="AC112" s="60">
        <v>1.0642277894112668</v>
      </c>
      <c r="AD112" s="60">
        <v>1.0660729804155169</v>
      </c>
      <c r="AE112" s="60">
        <v>1.0678825905205223</v>
      </c>
      <c r="AF112" s="60">
        <v>1.0696569444575463</v>
      </c>
      <c r="AG112" s="60">
        <v>1.0713963919120482</v>
      </c>
      <c r="AH112" s="60">
        <v>1.0731013055570906</v>
      </c>
      <c r="AI112" s="60">
        <f t="shared" si="3"/>
        <v>1.0731013055570906</v>
      </c>
      <c r="AJ112" s="13">
        <v>630</v>
      </c>
    </row>
    <row r="113" spans="1:36" ht="9.9499999999999993" customHeight="1" x14ac:dyDescent="0.2">
      <c r="A113" s="60">
        <f t="shared" si="2"/>
        <v>1.013210831398428</v>
      </c>
      <c r="B113" s="60">
        <v>1.013210831398428</v>
      </c>
      <c r="C113" s="60">
        <v>1.0132503168342633</v>
      </c>
      <c r="D113" s="60">
        <v>1.0133161105608404</v>
      </c>
      <c r="E113" s="60">
        <v>1.0133950377187482</v>
      </c>
      <c r="F113" s="60">
        <v>1.0134476404729464</v>
      </c>
      <c r="G113" s="60">
        <v>1.0137104698093162</v>
      </c>
      <c r="H113" s="60">
        <v>1.013972991214845</v>
      </c>
      <c r="I113" s="60">
        <v>1.0142352039572975</v>
      </c>
      <c r="J113" s="60">
        <v>1.014366194352371</v>
      </c>
      <c r="K113" s="60">
        <v>1.0144971073092828</v>
      </c>
      <c r="L113" s="60">
        <v>1.0158019580942799</v>
      </c>
      <c r="M113" s="60">
        <v>1.018388051082284</v>
      </c>
      <c r="N113" s="60">
        <v>1.0234635214193157</v>
      </c>
      <c r="O113" s="60">
        <v>1.033212031030492</v>
      </c>
      <c r="P113" s="60">
        <v>1.0378780340668161</v>
      </c>
      <c r="Q113" s="60">
        <v>1.0401578382143739</v>
      </c>
      <c r="R113" s="60">
        <v>1.0424018793695997</v>
      </c>
      <c r="S113" s="60">
        <v>1.0446099947331948</v>
      </c>
      <c r="T113" s="60">
        <v>1.0467820686492599</v>
      </c>
      <c r="U113" s="60">
        <v>1.0489180312140978</v>
      </c>
      <c r="V113" s="60">
        <v>1.0510178567587098</v>
      </c>
      <c r="W113" s="60">
        <v>1.0530815622224274</v>
      </c>
      <c r="X113" s="60">
        <v>1.0551092054346902</v>
      </c>
      <c r="Y113" s="60">
        <v>1.0571008833214406</v>
      </c>
      <c r="Z113" s="60">
        <v>1.0590567300519049</v>
      </c>
      <c r="AA113" s="60">
        <v>1.0609769151407515</v>
      </c>
      <c r="AB113" s="60">
        <v>1.0628616415197443</v>
      </c>
      <c r="AC113" s="60">
        <v>1.06471114359207</v>
      </c>
      <c r="AD113" s="60">
        <v>1.0665256852815466</v>
      </c>
      <c r="AE113" s="60">
        <v>1.0683055580879048</v>
      </c>
      <c r="AF113" s="60">
        <v>1.0700510791583271</v>
      </c>
      <c r="AG113" s="60">
        <v>1.0717625893844036</v>
      </c>
      <c r="AH113" s="60">
        <v>1.0734404515326645</v>
      </c>
      <c r="AI113" s="60">
        <f t="shared" si="3"/>
        <v>1.0734404515326645</v>
      </c>
      <c r="AJ113" s="13">
        <v>635</v>
      </c>
    </row>
    <row r="114" spans="1:36" ht="9.9499999999999993" customHeight="1" x14ac:dyDescent="0.2">
      <c r="A114" s="60">
        <f t="shared" si="2"/>
        <v>1.0146319696511317</v>
      </c>
      <c r="B114" s="60">
        <v>1.0146319696511317</v>
      </c>
      <c r="C114" s="60">
        <v>1.0146707263494916</v>
      </c>
      <c r="D114" s="60">
        <v>1.0147353057738577</v>
      </c>
      <c r="E114" s="60">
        <v>1.0148127761992791</v>
      </c>
      <c r="F114" s="60">
        <v>1.0148644080596845</v>
      </c>
      <c r="G114" s="60">
        <v>1.0151223860732503</v>
      </c>
      <c r="H114" s="60">
        <v>1.0153800614282875</v>
      </c>
      <c r="I114" s="60">
        <v>1.0156374334315812</v>
      </c>
      <c r="J114" s="60">
        <v>1.0157660054609725</v>
      </c>
      <c r="K114" s="60">
        <v>1.0158945013945915</v>
      </c>
      <c r="L114" s="60">
        <v>1.0171752568353214</v>
      </c>
      <c r="M114" s="60">
        <v>1.0197135822431966</v>
      </c>
      <c r="N114" s="60">
        <v>1.0246953362137587</v>
      </c>
      <c r="O114" s="60">
        <v>1.0342645944774687</v>
      </c>
      <c r="P114" s="60">
        <v>1.0388455037692257</v>
      </c>
      <c r="Q114" s="60">
        <v>1.0410839731352024</v>
      </c>
      <c r="R114" s="60">
        <v>1.0432875117389466</v>
      </c>
      <c r="S114" s="60">
        <v>1.045455972139729</v>
      </c>
      <c r="T114" s="60">
        <v>1.047589251865312</v>
      </c>
      <c r="U114" s="60">
        <v>1.0496872920666631</v>
      </c>
      <c r="V114" s="60">
        <v>1.0517500760558534</v>
      </c>
      <c r="W114" s="60">
        <v>1.0537776277434507</v>
      </c>
      <c r="X114" s="60">
        <v>1.0557700099912966</v>
      </c>
      <c r="Y114" s="60">
        <v>1.0577273228960442</v>
      </c>
      <c r="Z114" s="60">
        <v>1.0596497020181619</v>
      </c>
      <c r="AA114" s="60">
        <v>1.0615373165703783</v>
      </c>
      <c r="AB114" s="60">
        <v>1.06339036757872</v>
      </c>
      <c r="AC114" s="60">
        <v>1.0652090860284287</v>
      </c>
      <c r="AD114" s="60">
        <v>1.0669937310061119</v>
      </c>
      <c r="AE114" s="60">
        <v>1.0687445878485657</v>
      </c>
      <c r="AF114" s="60">
        <v>1.0704619663077377</v>
      </c>
      <c r="AG114" s="60">
        <v>1.0721461987403769</v>
      </c>
      <c r="AH114" s="60">
        <v>1.0737976383299597</v>
      </c>
      <c r="AI114" s="60">
        <f t="shared" si="3"/>
        <v>1.0737976383299597</v>
      </c>
      <c r="AJ114" s="13">
        <v>640</v>
      </c>
    </row>
    <row r="115" spans="1:36" ht="9.9499999999999993" customHeight="1" x14ac:dyDescent="0.2">
      <c r="A115" s="60">
        <f t="shared" si="2"/>
        <v>1.016042671058484</v>
      </c>
      <c r="B115" s="60">
        <v>1.016042671058484</v>
      </c>
      <c r="C115" s="60">
        <v>1.0160807177724431</v>
      </c>
      <c r="D115" s="60">
        <v>1.0161441141474012</v>
      </c>
      <c r="E115" s="60">
        <v>1.0162201653398282</v>
      </c>
      <c r="F115" s="60">
        <v>1.0162708513037284</v>
      </c>
      <c r="G115" s="60">
        <v>1.0165241029517602</v>
      </c>
      <c r="H115" s="60">
        <v>1.0167770571633203</v>
      </c>
      <c r="I115" s="60">
        <v>1.0170297132819766</v>
      </c>
      <c r="J115" s="60">
        <v>1.0171559293525647</v>
      </c>
      <c r="K115" s="60">
        <v>1.0172820706558097</v>
      </c>
      <c r="L115" s="60">
        <v>1.0185393538527159</v>
      </c>
      <c r="M115" s="60">
        <v>1.0210311525119611</v>
      </c>
      <c r="N115" s="60">
        <v>1.0259216428600146</v>
      </c>
      <c r="O115" s="60">
        <v>1.0353163846027709</v>
      </c>
      <c r="P115" s="60">
        <v>1.0398144544254975</v>
      </c>
      <c r="Q115" s="60">
        <v>1.0420126826533871</v>
      </c>
      <c r="R115" s="60">
        <v>1.0441767883475748</v>
      </c>
      <c r="S115" s="60">
        <v>1.0463066383212802</v>
      </c>
      <c r="T115" s="60">
        <v>1.0484021423004675</v>
      </c>
      <c r="U115" s="60">
        <v>1.0504632516231669</v>
      </c>
      <c r="V115" s="60">
        <v>1.0524899578307247</v>
      </c>
      <c r="W115" s="60">
        <v>1.0544822911662257</v>
      </c>
      <c r="X115" s="60">
        <v>1.0564403189949505</v>
      </c>
      <c r="Y115" s="60">
        <v>1.0583641441612206</v>
      </c>
      <c r="Z115" s="60">
        <v>1.060253903295354</v>
      </c>
      <c r="AA115" s="60">
        <v>1.0621097650837732</v>
      </c>
      <c r="AB115" s="60">
        <v>1.0639319285145215</v>
      </c>
      <c r="AC115" s="60">
        <v>1.0657206211096373</v>
      </c>
      <c r="AD115" s="60">
        <v>1.0674760971549793</v>
      </c>
      <c r="AE115" s="60">
        <v>1.0691986359372132</v>
      </c>
      <c r="AF115" s="60">
        <v>1.0708885399968007</v>
      </c>
      <c r="AG115" s="60">
        <v>1.0725461334049382</v>
      </c>
      <c r="AH115" s="60">
        <v>1.0741717600715295</v>
      </c>
      <c r="AI115" s="60">
        <f t="shared" si="3"/>
        <v>1.0741717600715295</v>
      </c>
      <c r="AJ115" s="13">
        <v>645</v>
      </c>
    </row>
    <row r="116" spans="1:36" ht="9.9499999999999993" customHeight="1" x14ac:dyDescent="0.2">
      <c r="A116" s="60">
        <f t="shared" si="2"/>
        <v>1.0174428239833029</v>
      </c>
      <c r="B116" s="60">
        <v>1.0174428239833029</v>
      </c>
      <c r="C116" s="60">
        <v>1.0174801788466745</v>
      </c>
      <c r="D116" s="60">
        <v>1.0175424223927214</v>
      </c>
      <c r="E116" s="60">
        <v>1.0176170906125408</v>
      </c>
      <c r="F116" s="60">
        <v>1.0176668548509498</v>
      </c>
      <c r="G116" s="60">
        <v>1.0179155009569578</v>
      </c>
      <c r="H116" s="60">
        <v>1.0181638547944065</v>
      </c>
      <c r="I116" s="60">
        <v>1.0184119157415437</v>
      </c>
      <c r="J116" s="60">
        <v>1.0185358361881387</v>
      </c>
      <c r="K116" s="60">
        <v>1.0186596831809733</v>
      </c>
      <c r="L116" s="60">
        <v>1.0198940964598109</v>
      </c>
      <c r="M116" s="60">
        <v>1.0223405674583228</v>
      </c>
      <c r="N116" s="60">
        <v>1.0271421631256148</v>
      </c>
      <c r="O116" s="60">
        <v>1.0363669578150627</v>
      </c>
      <c r="P116" s="60">
        <v>1.0407843627133651</v>
      </c>
      <c r="Q116" s="60">
        <v>1.0429434046702624</v>
      </c>
      <c r="R116" s="60">
        <v>1.0450691091623996</v>
      </c>
      <c r="S116" s="60">
        <v>1.0471613562302531</v>
      </c>
      <c r="T116" s="60">
        <v>1.0492200668831062</v>
      </c>
      <c r="U116" s="60">
        <v>1.0512452018416683</v>
      </c>
      <c r="V116" s="60">
        <v>1.053236760180664</v>
      </c>
      <c r="W116" s="60">
        <v>1.0551947778856638</v>
      </c>
      <c r="X116" s="60">
        <v>1.0571193263380572</v>
      </c>
      <c r="Y116" s="60">
        <v>1.0590105107415702</v>
      </c>
      <c r="Z116" s="60">
        <v>1.0608684685031533</v>
      </c>
      <c r="AA116" s="60">
        <v>1.0626933675803993</v>
      </c>
      <c r="AB116" s="60">
        <v>1.0644854048069301</v>
      </c>
      <c r="AC116" s="60">
        <v>1.0662448042064341</v>
      </c>
      <c r="AD116" s="60">
        <v>1.0679718153052227</v>
      </c>
      <c r="AE116" s="60">
        <v>1.0696667114523708</v>
      </c>
      <c r="AF116" s="60">
        <v>1.0713297881556749</v>
      </c>
      <c r="AG116" s="60">
        <v>1.0729613614408458</v>
      </c>
      <c r="AH116" s="60">
        <v>1.07456176624054</v>
      </c>
      <c r="AI116" s="60">
        <f t="shared" si="3"/>
        <v>1.07456176624054</v>
      </c>
      <c r="AJ116" s="13">
        <v>650</v>
      </c>
    </row>
    <row r="117" spans="1:36" ht="9.9499999999999993" customHeight="1" x14ac:dyDescent="0.2">
      <c r="A117" s="60">
        <f t="shared" si="2"/>
        <v>1.018832328719171</v>
      </c>
      <c r="B117" s="60">
        <v>1.018832328719171</v>
      </c>
      <c r="C117" s="60">
        <v>1.0188690092715076</v>
      </c>
      <c r="D117" s="60">
        <v>1.0189301292185247</v>
      </c>
      <c r="E117" s="60">
        <v>1.0190034495370901</v>
      </c>
      <c r="F117" s="60">
        <v>1.0190523154281548</v>
      </c>
      <c r="G117" s="60">
        <v>1.0192964728492258</v>
      </c>
      <c r="H117" s="60">
        <v>1.0195403431121117</v>
      </c>
      <c r="I117" s="60">
        <v>1.0197839256277659</v>
      </c>
      <c r="J117" s="60">
        <v>1.0199056087974532</v>
      </c>
      <c r="K117" s="60">
        <v>1.0200272198113456</v>
      </c>
      <c r="L117" s="60">
        <v>1.0212393455740985</v>
      </c>
      <c r="M117" s="60">
        <v>1.0236416479890613</v>
      </c>
      <c r="N117" s="60">
        <v>1.0283566376747739</v>
      </c>
      <c r="O117" s="60">
        <v>1.0374158966766278</v>
      </c>
      <c r="P117" s="60">
        <v>1.0417547350336609</v>
      </c>
      <c r="Q117" s="60">
        <v>1.0438756085549505</v>
      </c>
      <c r="R117" s="60">
        <v>1.0459639073276061</v>
      </c>
      <c r="S117" s="60">
        <v>1.0480195236648047</v>
      </c>
      <c r="T117" s="60">
        <v>1.0500423890095596</v>
      </c>
      <c r="U117" s="60">
        <v>1.0520324727193131</v>
      </c>
      <c r="V117" s="60">
        <v>1.0539897807579053</v>
      </c>
      <c r="W117" s="60">
        <v>1.0559143543082958</v>
      </c>
      <c r="X117" s="60">
        <v>1.0578062683190357</v>
      </c>
      <c r="Y117" s="60">
        <v>1.0596656299970242</v>
      </c>
      <c r="Z117" s="60">
        <v>1.0614925772585277</v>
      </c>
      <c r="AA117" s="60">
        <v>1.0632872771498172</v>
      </c>
      <c r="AB117" s="60">
        <v>1.0650499242481055</v>
      </c>
      <c r="AC117" s="60">
        <v>1.066780739052744</v>
      </c>
      <c r="AD117" s="60">
        <v>1.0684799663758946</v>
      </c>
      <c r="AE117" s="60">
        <v>1.0701478737411279</v>
      </c>
      <c r="AF117" s="60">
        <v>1.0717847497976363</v>
      </c>
      <c r="AG117" s="60">
        <v>1.0733909027569712</v>
      </c>
      <c r="AH117" s="60">
        <v>1.0749666588584792</v>
      </c>
      <c r="AI117" s="60">
        <f t="shared" si="3"/>
        <v>1.0749666588584792</v>
      </c>
      <c r="AJ117" s="13">
        <v>655</v>
      </c>
    </row>
    <row r="118" spans="1:36" ht="9.9499999999999993" customHeight="1" x14ac:dyDescent="0.2">
      <c r="A118" s="60">
        <f t="shared" si="2"/>
        <v>1.020211096953628</v>
      </c>
      <c r="B118" s="60">
        <v>1.020211096953628</v>
      </c>
      <c r="C118" s="60">
        <v>1.0202471201640253</v>
      </c>
      <c r="D118" s="60">
        <v>1.0203071447909753</v>
      </c>
      <c r="E118" s="60">
        <v>1.02037915113828</v>
      </c>
      <c r="F118" s="60">
        <v>1.0204271412990875</v>
      </c>
      <c r="G118" s="60">
        <v>1.020666923085187</v>
      </c>
      <c r="H118" s="60">
        <v>1.0209064227629991</v>
      </c>
      <c r="I118" s="60">
        <v>1.0211456397743246</v>
      </c>
      <c r="J118" s="60">
        <v>1.0212651421067271</v>
      </c>
      <c r="K118" s="60">
        <v>1.0213845735650229</v>
      </c>
      <c r="L118" s="60">
        <v>1.0225749750993358</v>
      </c>
      <c r="M118" s="60">
        <v>1.0249342296441455</v>
      </c>
      <c r="N118" s="60">
        <v>1.0295648251827081</v>
      </c>
      <c r="O118" s="60">
        <v>1.0384628086316607</v>
      </c>
      <c r="P118" s="60">
        <v>1.0427251060440452</v>
      </c>
      <c r="Q118" s="60">
        <v>1.0448087935823895</v>
      </c>
      <c r="R118" s="60">
        <v>1.0468606475086959</v>
      </c>
      <c r="S118" s="60">
        <v>1.0488805715211018</v>
      </c>
      <c r="T118" s="60">
        <v>1.050868506707195</v>
      </c>
      <c r="U118" s="60">
        <v>1.0528244303692504</v>
      </c>
      <c r="V118" s="60">
        <v>1.0547483547636785</v>
      </c>
      <c r="W118" s="60">
        <v>1.0566403257672174</v>
      </c>
      <c r="X118" s="60">
        <v>1.0585004214820415</v>
      </c>
      <c r="Y118" s="60">
        <v>1.0603287507914951</v>
      </c>
      <c r="Z118" s="60">
        <v>1.0621254518776653</v>
      </c>
      <c r="AA118" s="60">
        <v>1.0638906907113874</v>
      </c>
      <c r="AB118" s="60">
        <v>1.0656246595246726</v>
      </c>
      <c r="AC118" s="60">
        <v>1.0673275752748479</v>
      </c>
      <c r="AD118" s="60">
        <v>1.0689996781090134</v>
      </c>
      <c r="AE118" s="60">
        <v>1.0706412298367141</v>
      </c>
      <c r="AF118" s="60">
        <v>1.072252512417988</v>
      </c>
      <c r="AG118" s="60">
        <v>1.0738338264732563</v>
      </c>
      <c r="AH118" s="60">
        <v>1.0753854898208111</v>
      </c>
      <c r="AI118" s="60">
        <f t="shared" si="3"/>
        <v>1.0753854898208111</v>
      </c>
      <c r="AJ118" s="13">
        <v>660</v>
      </c>
    </row>
    <row r="119" spans="1:36" ht="9.9499999999999993" customHeight="1" x14ac:dyDescent="0.2">
      <c r="A119" s="60">
        <f t="shared" si="2"/>
        <v>1.0215790512483733</v>
      </c>
      <c r="B119" s="60">
        <v>1.0215790512483733</v>
      </c>
      <c r="C119" s="60">
        <v>1.0216144335381454</v>
      </c>
      <c r="D119" s="60">
        <v>1.0216733902108828</v>
      </c>
      <c r="E119" s="60">
        <v>1.0217441154209708</v>
      </c>
      <c r="F119" s="60">
        <v>1.0217912517378411</v>
      </c>
      <c r="G119" s="60">
        <v>1.0220267672835341</v>
      </c>
      <c r="H119" s="60">
        <v>1.0222620057078302</v>
      </c>
      <c r="I119" s="60">
        <v>1.0224969664816315</v>
      </c>
      <c r="J119" s="60">
        <v>1.0226143425853249</v>
      </c>
      <c r="K119" s="60">
        <v>1.0227316490797593</v>
      </c>
      <c r="L119" s="60">
        <v>1.0239008713292446</v>
      </c>
      <c r="M119" s="60">
        <v>1.026218161919441</v>
      </c>
      <c r="N119" s="60">
        <v>1.0307665014874026</v>
      </c>
      <c r="O119" s="60">
        <v>1.0395073247962039</v>
      </c>
      <c r="P119" s="60">
        <v>1.0436950372669069</v>
      </c>
      <c r="Q119" s="60">
        <v>1.0457424874517296</v>
      </c>
      <c r="R119" s="60">
        <v>1.047758824323012</v>
      </c>
      <c r="S119" s="60">
        <v>1.0497439621380278</v>
      </c>
      <c r="T119" s="60">
        <v>1.0516978508957424</v>
      </c>
      <c r="U119" s="60">
        <v>1.053620475201372</v>
      </c>
      <c r="V119" s="60">
        <v>1.0555118530514693</v>
      </c>
      <c r="W119" s="60">
        <v>1.0573720345512692</v>
      </c>
      <c r="X119" s="60">
        <v>1.0592011005756969</v>
      </c>
      <c r="Y119" s="60">
        <v>1.0609991613850065</v>
      </c>
      <c r="Z119" s="60">
        <v>1.0627663552055195</v>
      </c>
      <c r="AA119" s="60">
        <v>1.0645028467853828</v>
      </c>
      <c r="AB119" s="60">
        <v>1.0662088259346654</v>
      </c>
      <c r="AC119" s="60">
        <v>1.0678845060584883</v>
      </c>
      <c r="AD119" s="60">
        <v>1.0695301226912162</v>
      </c>
      <c r="AE119" s="60">
        <v>1.0711459320390861</v>
      </c>
      <c r="AF119" s="60">
        <v>1.072732209537969</v>
      </c>
      <c r="AG119" s="60">
        <v>1.0742892484322975</v>
      </c>
      <c r="AH119" s="60">
        <v>1.075817358380539</v>
      </c>
      <c r="AI119" s="60">
        <f t="shared" si="3"/>
        <v>1.075817358380539</v>
      </c>
      <c r="AJ119" s="13">
        <v>665</v>
      </c>
    </row>
    <row r="120" spans="1:36" ht="9.9499999999999993" customHeight="1" x14ac:dyDescent="0.2">
      <c r="A120" s="60">
        <f t="shared" si="2"/>
        <v>1.0229361245364124</v>
      </c>
      <c r="B120" s="60">
        <v>1.0229361245364124</v>
      </c>
      <c r="C120" s="60">
        <v>1.0229708818006973</v>
      </c>
      <c r="D120" s="60">
        <v>1.0230287970080041</v>
      </c>
      <c r="E120" s="60">
        <v>1.0230982728622373</v>
      </c>
      <c r="F120" s="60">
        <v>1.0231445765195886</v>
      </c>
      <c r="G120" s="60">
        <v>1.0233759317085929</v>
      </c>
      <c r="H120" s="60">
        <v>1.0236070146979257</v>
      </c>
      <c r="I120" s="60">
        <v>1.0238378249859488</v>
      </c>
      <c r="J120" s="60">
        <v>1.0239531277112419</v>
      </c>
      <c r="K120" s="60">
        <v>1.0240683620748083</v>
      </c>
      <c r="L120" s="60">
        <v>1.0252169323724223</v>
      </c>
      <c r="M120" s="60">
        <v>1.0274933076152839</v>
      </c>
      <c r="N120" s="60">
        <v>1.0319614587773835</v>
      </c>
      <c r="O120" s="60">
        <v>1.0405490988065522</v>
      </c>
      <c r="P120" s="60">
        <v>1.0446641157673238</v>
      </c>
      <c r="Q120" s="60">
        <v>1.046676244880532</v>
      </c>
      <c r="R120" s="60">
        <v>1.0486579608517108</v>
      </c>
      <c r="S120" s="60">
        <v>1.0506091877288493</v>
      </c>
      <c r="T120" s="60">
        <v>1.0525298837409338</v>
      </c>
      <c r="U120" s="60">
        <v>1.0544200402005306</v>
      </c>
      <c r="V120" s="60">
        <v>1.0562796803327121</v>
      </c>
      <c r="W120" s="60">
        <v>1.0581088580413405</v>
      </c>
      <c r="X120" s="60">
        <v>1.059907656623382</v>
      </c>
      <c r="Y120" s="60">
        <v>1.061676187441527</v>
      </c>
      <c r="Z120" s="60">
        <v>1.0634145885649064</v>
      </c>
      <c r="AA120" s="60">
        <v>1.0651230233871885</v>
      </c>
      <c r="AB120" s="60">
        <v>1.0668016792307662</v>
      </c>
      <c r="AC120" s="60">
        <v>1.0684507659451581</v>
      </c>
      <c r="AD120" s="60">
        <v>1.0700705145071361</v>
      </c>
      <c r="AE120" s="60">
        <v>1.0716611756294621</v>
      </c>
      <c r="AF120" s="60">
        <v>1.0732230183844975</v>
      </c>
      <c r="AG120" s="60">
        <v>1.074756328848322</v>
      </c>
      <c r="AH120" s="60">
        <v>1.0762614087703908</v>
      </c>
      <c r="AI120" s="60">
        <f t="shared" si="3"/>
        <v>1.0762614087703908</v>
      </c>
      <c r="AJ120" s="13">
        <v>670</v>
      </c>
    </row>
    <row r="121" spans="1:36" ht="9.9499999999999993" customHeight="1" x14ac:dyDescent="0.2">
      <c r="A121" s="60">
        <f t="shared" si="2"/>
        <v>1.024282259636019</v>
      </c>
      <c r="B121" s="60">
        <v>1.024282259636019</v>
      </c>
      <c r="C121" s="60">
        <v>1.0243164072643789</v>
      </c>
      <c r="D121" s="60">
        <v>1.0243733066523089</v>
      </c>
      <c r="E121" s="60">
        <v>1.0244415639206155</v>
      </c>
      <c r="F121" s="60">
        <v>1.02448705542848</v>
      </c>
      <c r="G121" s="60">
        <v>1.0247143527714455</v>
      </c>
      <c r="H121" s="60">
        <v>1.0249413827694795</v>
      </c>
      <c r="I121" s="60">
        <v>1.025168144946861</v>
      </c>
      <c r="J121" s="60">
        <v>1.0252814254551423</v>
      </c>
      <c r="K121" s="60">
        <v>1.0253946388315203</v>
      </c>
      <c r="L121" s="60">
        <v>1.0265230675980679</v>
      </c>
      <c r="M121" s="60">
        <v>1.0287595422102076</v>
      </c>
      <c r="N121" s="60">
        <v>1.0331495048141048</v>
      </c>
      <c r="O121" s="60">
        <v>1.04158780572311</v>
      </c>
      <c r="P121" s="60">
        <v>1.0456319528972191</v>
      </c>
      <c r="Q121" s="60">
        <v>1.0476096462704798</v>
      </c>
      <c r="R121" s="60">
        <v>1.049557607228478</v>
      </c>
      <c r="S121" s="60">
        <v>1.0514757688947405</v>
      </c>
      <c r="T121" s="60">
        <v>1.0533640970949707</v>
      </c>
      <c r="U121" s="60">
        <v>1.0552225892963665</v>
      </c>
      <c r="V121" s="60">
        <v>1.0570512734786617</v>
      </c>
      <c r="W121" s="60">
        <v>1.0588502069472181</v>
      </c>
      <c r="X121" s="60">
        <v>1.0606194750981812</v>
      </c>
      <c r="Y121" s="60">
        <v>1.0623591901453129</v>
      </c>
      <c r="Z121" s="60">
        <v>1.0640694898176792</v>
      </c>
      <c r="AA121" s="60">
        <v>1.0657505360368715</v>
      </c>
      <c r="AB121" s="60">
        <v>1.0674025135819132</v>
      </c>
      <c r="AC121" s="60">
        <v>1.0690256287494482</v>
      </c>
      <c r="AD121" s="60">
        <v>1.0706201080162376</v>
      </c>
      <c r="AE121" s="60">
        <v>1.0721861967103978</v>
      </c>
      <c r="AF121" s="60">
        <v>1.0737241576972385</v>
      </c>
      <c r="AG121" s="60">
        <v>1.075234270084972</v>
      </c>
      <c r="AH121" s="60">
        <v>1.0767168279549919</v>
      </c>
      <c r="AI121" s="60">
        <f t="shared" si="3"/>
        <v>1.0767168279549919</v>
      </c>
      <c r="AJ121" s="13">
        <v>675</v>
      </c>
    </row>
    <row r="122" spans="1:36" ht="9.9499999999999993" customHeight="1" x14ac:dyDescent="0.2">
      <c r="A122" s="60">
        <f t="shared" si="2"/>
        <v>1.0256174087813474</v>
      </c>
      <c r="B122" s="60">
        <v>1.0256174087813474</v>
      </c>
      <c r="C122" s="60">
        <v>1.0256509616774119</v>
      </c>
      <c r="D122" s="60">
        <v>1.025706870082048</v>
      </c>
      <c r="E122" s="60">
        <v>1.0257739385622553</v>
      </c>
      <c r="F122" s="60">
        <v>1.0258186377825158</v>
      </c>
      <c r="G122" s="60">
        <v>1.0260419765483983</v>
      </c>
      <c r="H122" s="60">
        <v>1.0262650527555921</v>
      </c>
      <c r="I122" s="60">
        <v>1.0264878659528378</v>
      </c>
      <c r="J122" s="60">
        <v>1.0265991737826758</v>
      </c>
      <c r="K122" s="60">
        <v>1.0267104156924038</v>
      </c>
      <c r="L122" s="60">
        <v>1.0278191971021053</v>
      </c>
      <c r="M122" s="60">
        <v>1.0300167532591267</v>
      </c>
      <c r="N122" s="60">
        <v>1.0343304621875988</v>
      </c>
      <c r="O122" s="60">
        <v>1.0426231409868931</v>
      </c>
      <c r="P122" s="60">
        <v>1.0465981831021298</v>
      </c>
      <c r="Q122" s="60">
        <v>1.0485422964406219</v>
      </c>
      <c r="R122" s="60">
        <v>1.0504573393006218</v>
      </c>
      <c r="S122" s="60">
        <v>1.0523432532154218</v>
      </c>
      <c r="T122" s="60">
        <v>1.0542000110186938</v>
      </c>
      <c r="U122" s="60">
        <v>1.056027615819277</v>
      </c>
      <c r="V122" s="60">
        <v>1.0578260999126639</v>
      </c>
      <c r="W122" s="60">
        <v>1.0595955236388706</v>
      </c>
      <c r="X122" s="60">
        <v>1.0613359741960806</v>
      </c>
      <c r="Y122" s="60">
        <v>1.0630475644190802</v>
      </c>
      <c r="Z122" s="60">
        <v>1.0647304315310684</v>
      </c>
      <c r="AA122" s="60">
        <v>1.0663847358769782</v>
      </c>
      <c r="AB122" s="60">
        <v>1.0680106596459318</v>
      </c>
      <c r="AC122" s="60">
        <v>1.0696084055899444</v>
      </c>
      <c r="AD122" s="60">
        <v>1.0711781957454418</v>
      </c>
      <c r="AE122" s="60">
        <v>1.0727202701636196</v>
      </c>
      <c r="AF122" s="60">
        <v>1.0742348856551169</v>
      </c>
      <c r="AG122" s="60">
        <v>1.0757223145539425</v>
      </c>
      <c r="AH122" s="60">
        <v>1.0771828435050437</v>
      </c>
      <c r="AI122" s="60">
        <f t="shared" si="3"/>
        <v>1.0771828435050437</v>
      </c>
      <c r="AJ122" s="13">
        <v>680</v>
      </c>
    </row>
    <row r="123" spans="1:36" ht="9.9499999999999993" customHeight="1" x14ac:dyDescent="0.2">
      <c r="A123" s="60">
        <f t="shared" si="2"/>
        <v>1.0269415331694816</v>
      </c>
      <c r="B123" s="60">
        <v>1.0269415331694816</v>
      </c>
      <c r="C123" s="60">
        <v>1.0269745057696886</v>
      </c>
      <c r="D123" s="60">
        <v>1.0270294472483914</v>
      </c>
      <c r="E123" s="60">
        <v>1.0270953558037468</v>
      </c>
      <c r="F123" s="60">
        <v>1.0271392819751659</v>
      </c>
      <c r="G123" s="60">
        <v>1.027358758316542</v>
      </c>
      <c r="H123" s="60">
        <v>1.0275779768157363</v>
      </c>
      <c r="I123" s="60">
        <v>1.0277969370445847</v>
      </c>
      <c r="J123" s="60">
        <v>1.02790632017476</v>
      </c>
      <c r="K123" s="60">
        <v>1.0280156385783319</v>
      </c>
      <c r="L123" s="60">
        <v>1.0291052511932497</v>
      </c>
      <c r="M123" s="60">
        <v>1.0312648398152646</v>
      </c>
      <c r="N123" s="60">
        <v>1.0355041676040992</v>
      </c>
      <c r="O123" s="60">
        <v>1.0436548194260136</v>
      </c>
      <c r="P123" s="60">
        <v>1.0475624627871993</v>
      </c>
      <c r="Q123" s="60">
        <v>1.0494738234244188</v>
      </c>
      <c r="R123" s="60">
        <v>1.0513567573584643</v>
      </c>
      <c r="S123" s="60">
        <v>1.053211213912489</v>
      </c>
      <c r="T123" s="60">
        <v>1.0550371723807141</v>
      </c>
      <c r="U123" s="60">
        <v>1.0568346410374561</v>
      </c>
      <c r="V123" s="60">
        <v>1.0586036560874372</v>
      </c>
      <c r="W123" s="60">
        <v>1.0603442805664944</v>
      </c>
      <c r="X123" s="60">
        <v>1.0620566032014815</v>
      </c>
      <c r="Y123" s="60">
        <v>1.0637407372378218</v>
      </c>
      <c r="Z123" s="60">
        <v>1.0653968192427603</v>
      </c>
      <c r="AA123" s="60">
        <v>1.0670250078919299</v>
      </c>
      <c r="AB123" s="60">
        <v>1.0686254827463755</v>
      </c>
      <c r="AC123" s="60">
        <v>1.0701984430266931</v>
      </c>
      <c r="AD123" s="60">
        <v>1.0717441063904296</v>
      </c>
      <c r="AE123" s="60">
        <v>1.0732627077183878</v>
      </c>
      <c r="AF123" s="60">
        <v>1.0747544979149577</v>
      </c>
      <c r="AG123" s="60">
        <v>1.0762197427270968</v>
      </c>
      <c r="AH123" s="60">
        <v>1.0776587215860662</v>
      </c>
      <c r="AI123" s="60">
        <f t="shared" si="3"/>
        <v>1.0776587215860662</v>
      </c>
      <c r="AJ123" s="13">
        <v>685</v>
      </c>
    </row>
    <row r="124" spans="1:36" ht="9.9499999999999993" customHeight="1" x14ac:dyDescent="0.2">
      <c r="A124" s="60">
        <f t="shared" si="2"/>
        <v>1.0282546025236741</v>
      </c>
      <c r="B124" s="60">
        <v>1.0282546025236741</v>
      </c>
      <c r="C124" s="60">
        <v>1.0282870088151546</v>
      </c>
      <c r="D124" s="60">
        <v>1.0283410066763843</v>
      </c>
      <c r="E124" s="60">
        <v>1.0284057832713636</v>
      </c>
      <c r="F124" s="60">
        <v>1.028448955033469</v>
      </c>
      <c r="G124" s="60">
        <v>1.0286646621061117</v>
      </c>
      <c r="H124" s="60">
        <v>1.028880115982358</v>
      </c>
      <c r="I124" s="60">
        <v>1.0290953162558538</v>
      </c>
      <c r="J124" s="60">
        <v>1.0292028211654847</v>
      </c>
      <c r="K124" s="60">
        <v>1.0293102625235373</v>
      </c>
      <c r="L124" s="60">
        <v>1.0303811698985601</v>
      </c>
      <c r="M124" s="60">
        <v>1.0325037118751192</v>
      </c>
      <c r="N124" s="60">
        <v>1.0366704712043775</v>
      </c>
      <c r="O124" s="60">
        <v>1.0446825743096477</v>
      </c>
      <c r="P124" s="60">
        <v>1.0485244692392461</v>
      </c>
      <c r="Q124" s="60">
        <v>1.0504038773271014</v>
      </c>
      <c r="R124" s="60">
        <v>1.0522554849292165</v>
      </c>
      <c r="S124" s="60">
        <v>1.054079248581298</v>
      </c>
      <c r="T124" s="60">
        <v>1.0558751535290605</v>
      </c>
      <c r="U124" s="60">
        <v>1.0576432127702728</v>
      </c>
      <c r="V124" s="60">
        <v>1.0593834660423551</v>
      </c>
      <c r="W124" s="60">
        <v>1.0610959787640577</v>
      </c>
      <c r="X124" s="60">
        <v>1.0627808409395039</v>
      </c>
      <c r="Y124" s="60">
        <v>1.0644381660325111</v>
      </c>
      <c r="Z124" s="60">
        <v>1.0660680898187485</v>
      </c>
      <c r="AA124" s="60">
        <v>1.0676707692228604</v>
      </c>
      <c r="AB124" s="60">
        <v>1.0692463811472512</v>
      </c>
      <c r="AC124" s="60">
        <v>1.0707951212987641</v>
      </c>
      <c r="AD124" s="60">
        <v>1.0723172030190171</v>
      </c>
      <c r="AE124" s="60">
        <v>1.0738128561236746</v>
      </c>
      <c r="AF124" s="60">
        <v>1.0752823257554511</v>
      </c>
      <c r="AG124" s="60">
        <v>1.0767258712551804</v>
      </c>
      <c r="AH124" s="60">
        <v>1.078143765054796</v>
      </c>
      <c r="AI124" s="60">
        <f t="shared" si="3"/>
        <v>1.078143765054796</v>
      </c>
      <c r="AJ124" s="13">
        <v>690</v>
      </c>
    </row>
    <row r="125" spans="1:36" ht="9.9499999999999993" customHeight="1" x14ac:dyDescent="0.2">
      <c r="A125" s="60">
        <f t="shared" si="2"/>
        <v>1.029556594672498</v>
      </c>
      <c r="B125" s="60">
        <v>1.029556594672498</v>
      </c>
      <c r="C125" s="60">
        <v>1.0295884482101518</v>
      </c>
      <c r="D125" s="60">
        <v>1.0296415250419393</v>
      </c>
      <c r="E125" s="60">
        <v>1.0297051967764312</v>
      </c>
      <c r="F125" s="60">
        <v>1.0297476321923162</v>
      </c>
      <c r="G125" s="60">
        <v>1.0299596602693382</v>
      </c>
      <c r="H125" s="60">
        <v>1.0301714397242707</v>
      </c>
      <c r="I125" s="60">
        <v>1.0303829701713567</v>
      </c>
      <c r="J125" s="60">
        <v>1.0304886418972787</v>
      </c>
      <c r="K125" s="60">
        <v>1.0305942512280217</v>
      </c>
      <c r="L125" s="60">
        <v>1.0316469024879957</v>
      </c>
      <c r="M125" s="60">
        <v>1.0337332898457612</v>
      </c>
      <c r="N125" s="60">
        <v>1.0378292359115877</v>
      </c>
      <c r="O125" s="60">
        <v>1.0457061564471253</v>
      </c>
      <c r="P125" s="60">
        <v>1.0494838996019353</v>
      </c>
      <c r="Q125" s="60">
        <v>1.0513321292400737</v>
      </c>
      <c r="R125" s="60">
        <v>1.053153167631774</v>
      </c>
      <c r="S125" s="60">
        <v>1.0549469779875678</v>
      </c>
      <c r="T125" s="60">
        <v>1.0567135510312122</v>
      </c>
      <c r="U125" s="60">
        <v>1.0584529040735873</v>
      </c>
      <c r="V125" s="60">
        <v>1.06016508003607</v>
      </c>
      <c r="W125" s="60">
        <v>1.0618501464314205</v>
      </c>
      <c r="X125" s="60">
        <v>1.0635081943099403</v>
      </c>
      <c r="Y125" s="60">
        <v>1.0651393371783431</v>
      </c>
      <c r="Z125" s="60">
        <v>1.0667437098984178</v>
      </c>
      <c r="AA125" s="60">
        <v>1.0683214675721742</v>
      </c>
      <c r="AB125" s="60">
        <v>1.0698727844197433</v>
      </c>
      <c r="AC125" s="60">
        <v>1.0713978526558803</v>
      </c>
      <c r="AD125" s="60">
        <v>1.0728968813704589</v>
      </c>
      <c r="AE125" s="60">
        <v>1.0743700954179127</v>
      </c>
      <c r="AF125" s="60">
        <v>1.0758177343201156</v>
      </c>
      <c r="AG125" s="60">
        <v>1.0772400511867533</v>
      </c>
      <c r="AH125" s="60">
        <v>1.0786373116568047</v>
      </c>
      <c r="AI125" s="60">
        <f t="shared" si="3"/>
        <v>1.0786373116568047</v>
      </c>
      <c r="AJ125" s="13">
        <v>695</v>
      </c>
    </row>
    <row r="126" spans="1:36" ht="9.9499999999999993" customHeight="1" x14ac:dyDescent="0.2">
      <c r="A126" s="60">
        <f t="shared" si="2"/>
        <v>1.0308474951446092</v>
      </c>
      <c r="B126" s="60">
        <v>1.0308474951446092</v>
      </c>
      <c r="C126" s="60">
        <v>1.0308788090674135</v>
      </c>
      <c r="D126" s="60">
        <v>1.0309309867645498</v>
      </c>
      <c r="E126" s="60">
        <v>1.0309935799065011</v>
      </c>
      <c r="F126" s="60">
        <v>1.0310352964845992</v>
      </c>
      <c r="G126" s="60">
        <v>1.031243733065452</v>
      </c>
      <c r="H126" s="60">
        <v>1.031451925526488</v>
      </c>
      <c r="I126" s="60">
        <v>1.0316598735014084</v>
      </c>
      <c r="J126" s="60">
        <v>1.0317637556929478</v>
      </c>
      <c r="K126" s="60">
        <v>1.0318675766269889</v>
      </c>
      <c r="L126" s="60">
        <v>1.0329024070174797</v>
      </c>
      <c r="M126" s="60">
        <v>1.0349535040337583</v>
      </c>
      <c r="N126" s="60">
        <v>1.0389803368074479</v>
      </c>
      <c r="O126" s="60">
        <v>1.0467253333299047</v>
      </c>
      <c r="P126" s="60">
        <v>1.0504404699012635</v>
      </c>
      <c r="Q126" s="60">
        <v>1.0522582702092993</v>
      </c>
      <c r="R126" s="60">
        <v>1.0540494720890992</v>
      </c>
      <c r="S126" s="60">
        <v>1.055814044925077</v>
      </c>
      <c r="T126" s="60">
        <v>1.0575519844786603</v>
      </c>
      <c r="U126" s="60">
        <v>1.0592633119928876</v>
      </c>
      <c r="V126" s="60">
        <v>1.0609480732501253</v>
      </c>
      <c r="W126" s="60">
        <v>1.0626063375904646</v>
      </c>
      <c r="X126" s="60">
        <v>1.0642381968980783</v>
      </c>
      <c r="Y126" s="60">
        <v>1.065843764562532</v>
      </c>
      <c r="Z126" s="60">
        <v>1.0674231744216904</v>
      </c>
      <c r="AA126" s="60">
        <v>1.0689765796924884</v>
      </c>
      <c r="AB126" s="60">
        <v>1.0705041518954643</v>
      </c>
      <c r="AC126" s="60">
        <v>1.0720060797785176</v>
      </c>
      <c r="AD126" s="60">
        <v>1.0734825682449614</v>
      </c>
      <c r="AE126" s="60">
        <v>1.0749338372905033</v>
      </c>
      <c r="AF126" s="60">
        <v>1.0763601209533724</v>
      </c>
      <c r="AG126" s="60">
        <v>1.0777616662813856</v>
      </c>
      <c r="AH126" s="60">
        <v>1.0791387323193482</v>
      </c>
      <c r="AI126" s="60">
        <f t="shared" si="3"/>
        <v>1.0791387323193482</v>
      </c>
      <c r="AJ126" s="13">
        <v>700</v>
      </c>
    </row>
    <row r="127" spans="1:36" ht="9.9499999999999993" customHeight="1" x14ac:dyDescent="0.2">
      <c r="A127" s="60">
        <f t="shared" si="2"/>
        <v>1.0321272967787938</v>
      </c>
      <c r="B127" s="60">
        <v>1.0321272967787938</v>
      </c>
      <c r="C127" s="60">
        <v>1.0321580838253823</v>
      </c>
      <c r="D127" s="60">
        <v>1.0322093836153956</v>
      </c>
      <c r="E127" s="60">
        <v>1.0322709236319993</v>
      </c>
      <c r="F127" s="60">
        <v>1.0323119383468857</v>
      </c>
      <c r="G127" s="60">
        <v>1.0325168682614769</v>
      </c>
      <c r="H127" s="60">
        <v>1.0327215584861222</v>
      </c>
      <c r="I127" s="60">
        <v>1.0329260086729068</v>
      </c>
      <c r="J127" s="60">
        <v>1.0330281436441902</v>
      </c>
      <c r="K127" s="60">
        <v>1.0331302184768865</v>
      </c>
      <c r="L127" s="60">
        <v>1.0341476498899753</v>
      </c>
      <c r="M127" s="60">
        <v>1.0361642941550406</v>
      </c>
      <c r="N127" s="60">
        <v>1.040123660535633</v>
      </c>
      <c r="O127" s="60">
        <v>1.0477398883143338</v>
      </c>
      <c r="P127" s="60">
        <v>1.0513939141187414</v>
      </c>
      <c r="Q127" s="60">
        <v>1.0531820102547889</v>
      </c>
      <c r="R127" s="60">
        <v>1.0549440848950553</v>
      </c>
      <c r="S127" s="60">
        <v>1.056680113131099</v>
      </c>
      <c r="T127" s="60">
        <v>1.0583900953523737</v>
      </c>
      <c r="U127" s="60">
        <v>1.0600740563804107</v>
      </c>
      <c r="V127" s="60">
        <v>1.0617320445594984</v>
      </c>
      <c r="W127" s="60">
        <v>1.0633641308109676</v>
      </c>
      <c r="X127" s="60">
        <v>1.0649704076579283</v>
      </c>
      <c r="Y127" s="60">
        <v>1.0665509882270221</v>
      </c>
      <c r="Z127" s="60">
        <v>1.0681060052334299</v>
      </c>
      <c r="AA127" s="60">
        <v>1.0696356099550142</v>
      </c>
      <c r="AB127" s="60">
        <v>1.071139971201134</v>
      </c>
      <c r="AC127" s="60">
        <v>1.0726192742812499</v>
      </c>
      <c r="AD127" s="60">
        <v>1.0740737199780834</v>
      </c>
      <c r="AE127" s="60">
        <v>1.0755035235296659</v>
      </c>
      <c r="AF127" s="60">
        <v>1.0769089136242413</v>
      </c>
      <c r="AG127" s="60">
        <v>1.0782901314115749</v>
      </c>
      <c r="AH127" s="60">
        <v>1.0796474295338561</v>
      </c>
      <c r="AI127" s="60">
        <f t="shared" si="3"/>
        <v>1.0796474295338561</v>
      </c>
      <c r="AJ127" s="13">
        <v>705</v>
      </c>
    </row>
    <row r="128" spans="1:36" ht="9.9499999999999993" customHeight="1" x14ac:dyDescent="0.2">
      <c r="A128" s="60">
        <f t="shared" si="2"/>
        <v>1.0333959993489592</v>
      </c>
      <c r="B128" s="60">
        <v>1.0333959993489592</v>
      </c>
      <c r="C128" s="60">
        <v>1.0334262718725118</v>
      </c>
      <c r="D128" s="60">
        <v>1.0334767143404933</v>
      </c>
      <c r="E128" s="60">
        <v>1.0335372259279934</v>
      </c>
      <c r="F128" s="60">
        <v>1.0335775552402626</v>
      </c>
      <c r="G128" s="60">
        <v>1.0337790607484505</v>
      </c>
      <c r="H128" s="60">
        <v>1.0339803309239586</v>
      </c>
      <c r="I128" s="60">
        <v>1.0341813654362451</v>
      </c>
      <c r="J128" s="60">
        <v>1.0342817942161706</v>
      </c>
      <c r="K128" s="60">
        <v>1.0343821639576385</v>
      </c>
      <c r="L128" s="60">
        <v>1.0353826054340678</v>
      </c>
      <c r="M128" s="60">
        <v>1.0373656088650103</v>
      </c>
      <c r="N128" s="60">
        <v>1.0412591047312889</v>
      </c>
      <c r="O128" s="60">
        <v>1.0487496198431969</v>
      </c>
      <c r="P128" s="60">
        <v>1.0523439833098029</v>
      </c>
      <c r="Q128" s="60">
        <v>1.0541030774384961</v>
      </c>
      <c r="R128" s="60">
        <v>1.0558367116327694</v>
      </c>
      <c r="S128" s="60">
        <v>1.0575448662564062</v>
      </c>
      <c r="T128" s="60">
        <v>1.0592275459458038</v>
      </c>
      <c r="U128" s="60">
        <v>1.0608847787726587</v>
      </c>
      <c r="V128" s="60">
        <v>1.0625166153662826</v>
      </c>
      <c r="W128" s="60">
        <v>1.0641231280022323</v>
      </c>
      <c r="X128" s="60">
        <v>1.0657044096636923</v>
      </c>
      <c r="Y128" s="60">
        <v>1.0672605730817784</v>
      </c>
      <c r="Z128" s="60">
        <v>1.0687917497606159</v>
      </c>
      <c r="AA128" s="60">
        <v>1.0702980889927314</v>
      </c>
      <c r="AB128" s="60">
        <v>1.0717797568699277</v>
      </c>
      <c r="AC128" s="60">
        <v>1.0732369352944735</v>
      </c>
      <c r="AD128" s="60">
        <v>1.0746698209950583</v>
      </c>
      <c r="AE128" s="60">
        <v>1.076078624551587</v>
      </c>
      <c r="AF128" s="60">
        <v>1.0774635694325372</v>
      </c>
      <c r="AG128" s="60">
        <v>1.0788248910482068</v>
      </c>
      <c r="AH128" s="60">
        <v>1.0801628358228417</v>
      </c>
      <c r="AI128" s="60">
        <f t="shared" si="3"/>
        <v>1.0801628358228417</v>
      </c>
      <c r="AJ128" s="13">
        <v>710</v>
      </c>
    </row>
    <row r="129" spans="1:36" ht="9.9499999999999993" customHeight="1" x14ac:dyDescent="0.2">
      <c r="A129" s="60">
        <f t="shared" si="2"/>
        <v>1.0346536092037051</v>
      </c>
      <c r="B129" s="60">
        <v>1.0346536092037051</v>
      </c>
      <c r="C129" s="60">
        <v>1.034683379186184</v>
      </c>
      <c r="D129" s="60">
        <v>1.03473298429852</v>
      </c>
      <c r="E129" s="60">
        <v>1.0347924914107032</v>
      </c>
      <c r="F129" s="60">
        <v>1.0348321512859728</v>
      </c>
      <c r="G129" s="60">
        <v>1.0350303121726712</v>
      </c>
      <c r="H129" s="60">
        <v>1.0352282420113004</v>
      </c>
      <c r="I129" s="60">
        <v>1.0354259404877373</v>
      </c>
      <c r="J129" s="60">
        <v>1.0355247028677292</v>
      </c>
      <c r="K129" s="60">
        <v>1.0356234072906352</v>
      </c>
      <c r="L129" s="60">
        <v>1.0366072554995323</v>
      </c>
      <c r="M129" s="60">
        <v>1.0385574053082178</v>
      </c>
      <c r="N129" s="60">
        <v>1.0423865774756116</v>
      </c>
      <c r="O129" s="60">
        <v>1.0497543407041552</v>
      </c>
      <c r="P129" s="60">
        <v>1.0532904447651159</v>
      </c>
      <c r="Q129" s="60">
        <v>1.0550212169780653</v>
      </c>
      <c r="R129" s="60">
        <v>1.0567270759417571</v>
      </c>
      <c r="S129" s="60">
        <v>1.0584080068868833</v>
      </c>
      <c r="T129" s="60">
        <v>1.0600640183422545</v>
      </c>
      <c r="U129" s="60">
        <v>1.0616951413249429</v>
      </c>
      <c r="V129" s="60">
        <v>1.0633014284929585</v>
      </c>
      <c r="W129" s="60">
        <v>1.0648829532667496</v>
      </c>
      <c r="X129" s="60">
        <v>1.0664398089255855</v>
      </c>
      <c r="Y129" s="60">
        <v>1.0679721076846129</v>
      </c>
      <c r="Z129" s="60">
        <v>1.0694799797580994</v>
      </c>
      <c r="AA129" s="60">
        <v>1.0709635724140494</v>
      </c>
      <c r="AB129" s="60">
        <v>1.0724230490250637</v>
      </c>
      <c r="AC129" s="60">
        <v>1.0738585881199691</v>
      </c>
      <c r="AD129" s="60">
        <v>1.0752703824403971</v>
      </c>
      <c r="AE129" s="60">
        <v>1.0766586380061436</v>
      </c>
      <c r="AF129" s="60">
        <v>1.0780235731927901</v>
      </c>
      <c r="AG129" s="60">
        <v>1.0793654178247269</v>
      </c>
      <c r="AH129" s="60">
        <v>1.0806844122863717</v>
      </c>
      <c r="AI129" s="60">
        <f t="shared" si="3"/>
        <v>1.0806844122863717</v>
      </c>
      <c r="AJ129" s="13">
        <v>715</v>
      </c>
    </row>
    <row r="130" spans="1:36" ht="9.9499999999999993" customHeight="1" x14ac:dyDescent="0.2">
      <c r="A130" s="60">
        <f t="shared" ref="A130:A193" si="4">B130</f>
        <v>1.0359001389201099</v>
      </c>
      <c r="B130" s="60">
        <v>1.0359001389201099</v>
      </c>
      <c r="C130" s="60">
        <v>1.0359294179858736</v>
      </c>
      <c r="D130" s="60">
        <v>1.0359782051129431</v>
      </c>
      <c r="E130" s="60">
        <v>1.0360367309883867</v>
      </c>
      <c r="F130" s="60">
        <v>1.0360757369154687</v>
      </c>
      <c r="G130" s="60">
        <v>1.0362706305815899</v>
      </c>
      <c r="H130" s="60">
        <v>1.0364652974116788</v>
      </c>
      <c r="I130" s="60">
        <v>1.036659737107134</v>
      </c>
      <c r="J130" s="60">
        <v>1.0367568716867948</v>
      </c>
      <c r="K130" s="60">
        <v>1.0368539493720379</v>
      </c>
      <c r="L130" s="60">
        <v>1.0378215890693876</v>
      </c>
      <c r="M130" s="60">
        <v>1.0397396486869388</v>
      </c>
      <c r="N130" s="60">
        <v>1.0435059967744893</v>
      </c>
      <c r="O130" s="60">
        <v>1.0507538773233003</v>
      </c>
      <c r="P130" s="60">
        <v>1.0542330812125986</v>
      </c>
      <c r="Q130" s="60">
        <v>1.055936190404055</v>
      </c>
      <c r="R130" s="60">
        <v>1.0576149186312294</v>
      </c>
      <c r="S130" s="60">
        <v>1.059269255613964</v>
      </c>
      <c r="T130" s="60">
        <v>1.0608992134436501</v>
      </c>
      <c r="U130" s="60">
        <v>1.0625048257998146</v>
      </c>
      <c r="V130" s="60">
        <v>1.0640861471319372</v>
      </c>
      <c r="W130" s="60">
        <v>1.0656432518124133</v>
      </c>
      <c r="X130" s="60">
        <v>1.0671762332663668</v>
      </c>
      <c r="Y130" s="60">
        <v>1.0686852030837692</v>
      </c>
      <c r="Z130" s="60">
        <v>1.0701702901190238</v>
      </c>
      <c r="AA130" s="60">
        <v>1.0716316395829146</v>
      </c>
      <c r="AB130" s="60">
        <v>1.0730694121314774</v>
      </c>
      <c r="AC130" s="60">
        <v>1.074483782956055</v>
      </c>
      <c r="AD130" s="60">
        <v>1.0758749408784543</v>
      </c>
      <c r="AE130" s="60">
        <v>1.0772430874548109</v>
      </c>
      <c r="AF130" s="60">
        <v>1.0785884360914251</v>
      </c>
      <c r="AG130" s="60">
        <v>1.0799112111755163</v>
      </c>
      <c r="AH130" s="60">
        <v>1.0812116472235289</v>
      </c>
      <c r="AI130" s="60">
        <f t="shared" ref="AI130:AI193" si="5">AH130</f>
        <v>1.0812116472235289</v>
      </c>
      <c r="AJ130" s="13">
        <v>720</v>
      </c>
    </row>
    <row r="131" spans="1:36" ht="9.9499999999999993" customHeight="1" x14ac:dyDescent="0.2">
      <c r="A131" s="60">
        <f t="shared" si="4"/>
        <v>1.037135606971354</v>
      </c>
      <c r="B131" s="60">
        <v>1.037135606971354</v>
      </c>
      <c r="C131" s="60">
        <v>1.037164406400179</v>
      </c>
      <c r="D131" s="60">
        <v>1.0372123943380651</v>
      </c>
      <c r="E131" s="60">
        <v>1.0372699615262024</v>
      </c>
      <c r="F131" s="60">
        <v>1.0373083285344866</v>
      </c>
      <c r="G131" s="60">
        <v>1.0375000300839299</v>
      </c>
      <c r="H131" s="60">
        <v>1.0376915089370089</v>
      </c>
      <c r="I131" s="60">
        <v>1.0378827648097957</v>
      </c>
      <c r="J131" s="60">
        <v>1.037978309040563</v>
      </c>
      <c r="K131" s="60">
        <v>1.0380737974209617</v>
      </c>
      <c r="L131" s="60">
        <v>1.0390256018879127</v>
      </c>
      <c r="M131" s="60">
        <v>1.0409123118479902</v>
      </c>
      <c r="N131" s="60">
        <v>1.0446172900602124</v>
      </c>
      <c r="O131" s="60">
        <v>1.0517480690921173</v>
      </c>
      <c r="P131" s="60">
        <v>1.0551716900580836</v>
      </c>
      <c r="Q131" s="60">
        <v>1.0568477747583711</v>
      </c>
      <c r="R131" s="60">
        <v>1.0584999968371418</v>
      </c>
      <c r="S131" s="60">
        <v>1.0601283501512859</v>
      </c>
      <c r="T131" s="60">
        <v>1.061732850047918</v>
      </c>
      <c r="U131" s="60">
        <v>1.0633135326064291</v>
      </c>
      <c r="V131" s="60">
        <v>1.0648704538482661</v>
      </c>
      <c r="W131" s="60">
        <v>1.0664036889200217</v>
      </c>
      <c r="X131" s="60">
        <v>1.0679133312551892</v>
      </c>
      <c r="Y131" s="60">
        <v>1.0693994917197229</v>
      </c>
      <c r="Z131" s="60">
        <v>1.070862297746259</v>
      </c>
      <c r="AA131" s="60">
        <v>1.0723018924615941</v>
      </c>
      <c r="AB131" s="60">
        <v>1.0737184338117147</v>
      </c>
      <c r="AC131" s="60">
        <v>1.0751120936883727</v>
      </c>
      <c r="AD131" s="60">
        <v>1.0764830570608983</v>
      </c>
      <c r="AE131" s="60">
        <v>1.0778315211166287</v>
      </c>
      <c r="AF131" s="60">
        <v>1.0791576944130239</v>
      </c>
      <c r="AG131" s="60">
        <v>1.0804617960442391</v>
      </c>
      <c r="AH131" s="60">
        <v>1.0817440548246215</v>
      </c>
      <c r="AI131" s="60">
        <f t="shared" si="5"/>
        <v>1.0817440548246215</v>
      </c>
      <c r="AJ131" s="13">
        <v>725</v>
      </c>
    </row>
    <row r="132" spans="1:36" ht="9.9499999999999993" customHeight="1" x14ac:dyDescent="0.2">
      <c r="A132" s="60">
        <f t="shared" si="4"/>
        <v>1.0383600374077846</v>
      </c>
      <c r="B132" s="60">
        <v>1.0383600374077846</v>
      </c>
      <c r="C132" s="60">
        <v>1.0383883681473309</v>
      </c>
      <c r="D132" s="60">
        <v>1.0384355751385992</v>
      </c>
      <c r="E132" s="60">
        <v>1.0384922055246617</v>
      </c>
      <c r="F132" s="60">
        <v>1.0385299482007486</v>
      </c>
      <c r="G132" s="60">
        <v>1.0387185305236366</v>
      </c>
      <c r="H132" s="60">
        <v>1.0389068942177697</v>
      </c>
      <c r="I132" s="60">
        <v>1.0390950390130977</v>
      </c>
      <c r="J132" s="60">
        <v>1.0391890292400066</v>
      </c>
      <c r="K132" s="60">
        <v>1.0392829646420843</v>
      </c>
      <c r="L132" s="60">
        <v>1.0402192961041241</v>
      </c>
      <c r="M132" s="60">
        <v>1.0420753748871423</v>
      </c>
      <c r="N132" s="60">
        <v>1.045720393715321</v>
      </c>
      <c r="O132" s="60">
        <v>1.0527367677262511</v>
      </c>
      <c r="P132" s="60">
        <v>1.056106082662662</v>
      </c>
      <c r="Q132" s="60">
        <v>1.0577557618317952</v>
      </c>
      <c r="R132" s="60">
        <v>1.0593820832206962</v>
      </c>
      <c r="S132" s="60">
        <v>1.0609850444951012</v>
      </c>
      <c r="T132" s="60">
        <v>1.0625646639723729</v>
      </c>
      <c r="U132" s="60">
        <v>1.0641209798880709</v>
      </c>
      <c r="V132" s="60">
        <v>1.0656540496325759</v>
      </c>
      <c r="W132" s="60">
        <v>1.0671639489630187</v>
      </c>
      <c r="X132" s="60">
        <v>1.068650771195566</v>
      </c>
      <c r="Y132" s="60">
        <v>1.0701146263828933</v>
      </c>
      <c r="Z132" s="60">
        <v>1.0715556404814166</v>
      </c>
      <c r="AA132" s="60">
        <v>1.072973954512606</v>
      </c>
      <c r="AB132" s="60">
        <v>1.074369723722415</v>
      </c>
      <c r="AC132" s="60">
        <v>1.0757431167425895</v>
      </c>
      <c r="AD132" s="60">
        <v>1.0770943147573142</v>
      </c>
      <c r="AE132" s="60">
        <v>1.0784235106783824</v>
      </c>
      <c r="AF132" s="60">
        <v>1.0797309083317694</v>
      </c>
      <c r="AG132" s="60">
        <v>1.0810167216582176</v>
      </c>
      <c r="AH132" s="60">
        <v>1.0822811739301459</v>
      </c>
      <c r="AI132" s="60">
        <f t="shared" si="5"/>
        <v>1.0822811739301459</v>
      </c>
      <c r="AJ132" s="13">
        <v>730</v>
      </c>
    </row>
    <row r="133" spans="1:36" ht="9.9499999999999993" customHeight="1" x14ac:dyDescent="0.2">
      <c r="A133" s="60">
        <f t="shared" si="4"/>
        <v>1.0395734595510466</v>
      </c>
      <c r="B133" s="60">
        <v>1.0395734595510466</v>
      </c>
      <c r="C133" s="60">
        <v>1.0396013322287863</v>
      </c>
      <c r="D133" s="60">
        <v>1.0396477759823719</v>
      </c>
      <c r="E133" s="60">
        <v>1.0397034908112646</v>
      </c>
      <c r="F133" s="60">
        <v>1.0397406233148885</v>
      </c>
      <c r="G133" s="60">
        <v>1.0399261571672334</v>
      </c>
      <c r="H133" s="60">
        <v>1.0401114763867845</v>
      </c>
      <c r="I133" s="60">
        <v>1.0402965807166167</v>
      </c>
      <c r="J133" s="60">
        <v>1.0403890522182639</v>
      </c>
      <c r="K133" s="60">
        <v>1.0404814699022367</v>
      </c>
      <c r="L133" s="60">
        <v>1.0414026799301981</v>
      </c>
      <c r="M133" s="60">
        <v>1.0432288247704895</v>
      </c>
      <c r="N133" s="60">
        <v>1.0468152526176679</v>
      </c>
      <c r="O133" s="60">
        <v>1.0537198366545457</v>
      </c>
      <c r="P133" s="60">
        <v>1.0570360836548718</v>
      </c>
      <c r="Q133" s="60">
        <v>1.0586599574385949</v>
      </c>
      <c r="R133" s="60">
        <v>1.0602609652061337</v>
      </c>
      <c r="S133" s="60">
        <v>1.0618391081261342</v>
      </c>
      <c r="T133" s="60">
        <v>1.0633944072206347</v>
      </c>
      <c r="U133" s="60">
        <v>1.0649269026552455</v>
      </c>
      <c r="V133" s="60">
        <v>1.0664366530015379</v>
      </c>
      <c r="W133" s="60">
        <v>1.0679237344765937</v>
      </c>
      <c r="X133" s="60">
        <v>1.0693882401644754</v>
      </c>
      <c r="Y133" s="60">
        <v>1.0708302792241591</v>
      </c>
      <c r="Z133" s="60">
        <v>1.0722499760882425</v>
      </c>
      <c r="AA133" s="60">
        <v>1.0736474696564864</v>
      </c>
      <c r="AB133" s="60">
        <v>1.0750229124879922</v>
      </c>
      <c r="AC133" s="60">
        <v>1.0763764699955436</v>
      </c>
      <c r="AD133" s="60">
        <v>1.0777083196453812</v>
      </c>
      <c r="AE133" s="60">
        <v>1.0790186501653869</v>
      </c>
      <c r="AF133" s="60">
        <v>1.0803076607644042</v>
      </c>
      <c r="AG133" s="60">
        <v>1.0815755603651291</v>
      </c>
      <c r="AH133" s="60">
        <v>1.0828225668527622</v>
      </c>
      <c r="AI133" s="60">
        <f t="shared" si="5"/>
        <v>1.0828225668527622</v>
      </c>
      <c r="AJ133" s="13">
        <v>735</v>
      </c>
    </row>
    <row r="134" spans="1:36" ht="9.9499999999999993" customHeight="1" x14ac:dyDescent="0.2">
      <c r="A134" s="60">
        <f t="shared" si="4"/>
        <v>1.0407759077008725</v>
      </c>
      <c r="B134" s="60">
        <v>1.0407759077008725</v>
      </c>
      <c r="C134" s="60">
        <v>1.0408033326355139</v>
      </c>
      <c r="D134" s="60">
        <v>1.0408490303457687</v>
      </c>
      <c r="E134" s="60">
        <v>1.0409038502449304</v>
      </c>
      <c r="F134" s="60">
        <v>1.040940386324203</v>
      </c>
      <c r="G134" s="60">
        <v>1.0411229404041866</v>
      </c>
      <c r="H134" s="60">
        <v>1.0413052837761829</v>
      </c>
      <c r="I134" s="60">
        <v>1.0414874161956833</v>
      </c>
      <c r="J134" s="60">
        <v>1.041578403222482</v>
      </c>
      <c r="K134" s="60">
        <v>1.0416693374205321</v>
      </c>
      <c r="L134" s="60">
        <v>1.0425757673143499</v>
      </c>
      <c r="M134" s="60">
        <v>1.0443726549721641</v>
      </c>
      <c r="N134" s="60">
        <v>1.0479018197058281</v>
      </c>
      <c r="O134" s="60">
        <v>1.0546971504369147</v>
      </c>
      <c r="P134" s="60">
        <v>1.0579615302759824</v>
      </c>
      <c r="Q134" s="60">
        <v>1.059560180726334</v>
      </c>
      <c r="R134" s="60">
        <v>1.0611364442557876</v>
      </c>
      <c r="S134" s="60">
        <v>1.0626903252507118</v>
      </c>
      <c r="T134" s="60">
        <v>1.0642218471907827</v>
      </c>
      <c r="U134" s="60">
        <v>1.0657310519618899</v>
      </c>
      <c r="V134" s="60">
        <v>1.067217999143262</v>
      </c>
      <c r="W134" s="60">
        <v>1.0686827652734696</v>
      </c>
      <c r="X134" s="60">
        <v>1.0701254430997991</v>
      </c>
      <c r="Y134" s="60">
        <v>1.0715461408152724</v>
      </c>
      <c r="Z134" s="60">
        <v>1.072944981287375</v>
      </c>
      <c r="AA134" s="60">
        <v>1.0743221012823052</v>
      </c>
      <c r="AB134" s="60">
        <v>1.0756776506883323</v>
      </c>
      <c r="AC134" s="60">
        <v>1.0770117917415825</v>
      </c>
      <c r="AD134" s="60">
        <v>1.078324698257314</v>
      </c>
      <c r="AE134" s="60">
        <v>1.0796165548695045</v>
      </c>
      <c r="AF134" s="60">
        <v>1.0808875562812894</v>
      </c>
      <c r="AG134" s="60">
        <v>1.082137906528565</v>
      </c>
      <c r="AH134" s="60">
        <v>1.0833678182588007</v>
      </c>
      <c r="AI134" s="60">
        <f t="shared" si="5"/>
        <v>1.0833678182588007</v>
      </c>
      <c r="AJ134" s="13">
        <v>740</v>
      </c>
    </row>
    <row r="135" spans="1:36" ht="9.9499999999999993" customHeight="1" x14ac:dyDescent="0.2">
      <c r="A135" s="60">
        <f t="shared" si="4"/>
        <v>1.0419674208541418</v>
      </c>
      <c r="B135" s="60">
        <v>1.0419674208541418</v>
      </c>
      <c r="C135" s="60">
        <v>1.0419944080665733</v>
      </c>
      <c r="D135" s="60">
        <v>1.0420393764315061</v>
      </c>
      <c r="E135" s="60">
        <v>1.0420933214328061</v>
      </c>
      <c r="F135" s="60">
        <v>1.0421292744388191</v>
      </c>
      <c r="G135" s="60">
        <v>1.0423089154598468</v>
      </c>
      <c r="H135" s="60">
        <v>1.0424883496271116</v>
      </c>
      <c r="I135" s="60">
        <v>1.0426675767078508</v>
      </c>
      <c r="J135" s="60">
        <v>1.0427571125186585</v>
      </c>
      <c r="K135" s="60">
        <v>1.042846596471581</v>
      </c>
      <c r="L135" s="60">
        <v>1.0437385776276573</v>
      </c>
      <c r="M135" s="60">
        <v>1.0455068651277837</v>
      </c>
      <c r="N135" s="60">
        <v>1.0489800555639988</v>
      </c>
      <c r="O135" s="60">
        <v>1.0556685942096495</v>
      </c>
      <c r="P135" s="60">
        <v>1.0588822717567197</v>
      </c>
      <c r="Q135" s="60">
        <v>1.0604562635190884</v>
      </c>
      <c r="R135" s="60">
        <v>1.0620083351804686</v>
      </c>
      <c r="S135" s="60">
        <v>1.0635384940791111</v>
      </c>
      <c r="T135" s="60">
        <v>1.0650467659225513</v>
      </c>
      <c r="U135" s="60">
        <v>1.0665331941224001</v>
      </c>
      <c r="V135" s="60">
        <v>1.0679978391052107</v>
      </c>
      <c r="W135" s="60">
        <v>1.0694407776038299</v>
      </c>
      <c r="X135" s="60">
        <v>1.0708621019334561</v>
      </c>
      <c r="Y135" s="60">
        <v>1.0722619192564409</v>
      </c>
      <c r="Z135" s="60">
        <v>1.0736403508396537</v>
      </c>
      <c r="AA135" s="60">
        <v>1.0749975313080087</v>
      </c>
      <c r="AB135" s="60">
        <v>1.0763336078975239</v>
      </c>
      <c r="AC135" s="60">
        <v>1.0776487397110333</v>
      </c>
      <c r="AD135" s="60">
        <v>1.0789430969794498</v>
      </c>
      <c r="AE135" s="60">
        <v>1.0802168603312146</v>
      </c>
      <c r="AF135" s="60">
        <v>1.0814702200723341</v>
      </c>
      <c r="AG135" s="60">
        <v>1.082703375479183</v>
      </c>
      <c r="AH135" s="60">
        <v>1.083916534105986</v>
      </c>
      <c r="AI135" s="60">
        <f t="shared" si="5"/>
        <v>1.083916534105986</v>
      </c>
      <c r="AJ135" s="13">
        <v>745</v>
      </c>
    </row>
    <row r="136" spans="1:36" ht="9.9499999999999993" customHeight="1" x14ac:dyDescent="0.2">
      <c r="A136" s="60">
        <f t="shared" si="4"/>
        <v>1.0431480424358281</v>
      </c>
      <c r="B136" s="60">
        <v>1.0431480424358281</v>
      </c>
      <c r="C136" s="60">
        <v>1.0431746016596011</v>
      </c>
      <c r="D136" s="60">
        <v>1.0432188568983543</v>
      </c>
      <c r="E136" s="60">
        <v>1.0432719464590714</v>
      </c>
      <c r="F136" s="60">
        <v>1.0433073293598867</v>
      </c>
      <c r="G136" s="60">
        <v>1.0434841221205762</v>
      </c>
      <c r="H136" s="60">
        <v>1.0436607118117838</v>
      </c>
      <c r="I136" s="60">
        <v>1.0438370982118619</v>
      </c>
      <c r="J136" s="60">
        <v>1.0439252151090663</v>
      </c>
      <c r="K136" s="60">
        <v>1.0440132811013705</v>
      </c>
      <c r="L136" s="60">
        <v>1.0448911353643588</v>
      </c>
      <c r="M136" s="60">
        <v>1.0466314607030442</v>
      </c>
      <c r="N136" s="60">
        <v>1.0500499280255859</v>
      </c>
      <c r="O136" s="60">
        <v>1.0566340631568785</v>
      </c>
      <c r="P136" s="60">
        <v>1.0597981687238804</v>
      </c>
      <c r="Q136" s="60">
        <v>1.0613480496923855</v>
      </c>
      <c r="R136" s="60">
        <v>1.0628764654833833</v>
      </c>
      <c r="S136" s="60">
        <v>1.0643834261392024</v>
      </c>
      <c r="T136" s="60">
        <v>1.065868959381542</v>
      </c>
      <c r="U136" s="60">
        <v>1.0673331099673269</v>
      </c>
      <c r="V136" s="60">
        <v>1.0687759390223766</v>
      </c>
      <c r="W136" s="60">
        <v>1.0701975233570393</v>
      </c>
      <c r="X136" s="60">
        <v>1.0715979547677781</v>
      </c>
      <c r="Y136" s="60">
        <v>1.0729773393285147</v>
      </c>
      <c r="Z136" s="60">
        <v>1.0743357966753264</v>
      </c>
      <c r="AA136" s="60">
        <v>1.0756734592878872</v>
      </c>
      <c r="AB136" s="60">
        <v>1.0769904717708276</v>
      </c>
      <c r="AC136" s="60">
        <v>1.0782869901379568</v>
      </c>
      <c r="AD136" s="60">
        <v>1.0795631811020627</v>
      </c>
      <c r="AE136" s="60">
        <v>1.0808192213727819</v>
      </c>
      <c r="AF136" s="60">
        <v>1.0820552969648001</v>
      </c>
      <c r="AG136" s="60">
        <v>1.0832716025184217</v>
      </c>
      <c r="AH136" s="60">
        <v>1.0844683406343272</v>
      </c>
      <c r="AI136" s="60">
        <f t="shared" si="5"/>
        <v>1.0844683406343272</v>
      </c>
      <c r="AJ136" s="13">
        <v>750</v>
      </c>
    </row>
    <row r="137" spans="1:36" ht="9.9499999999999993" customHeight="1" x14ac:dyDescent="0.2">
      <c r="A137" s="60">
        <f t="shared" si="4"/>
        <v>1.0443178200414203</v>
      </c>
      <c r="B137" s="60">
        <v>1.0443178200414203</v>
      </c>
      <c r="C137" s="60">
        <v>1.0443439607327973</v>
      </c>
      <c r="D137" s="60">
        <v>1.044387518602399</v>
      </c>
      <c r="E137" s="60">
        <v>1.0444397716253273</v>
      </c>
      <c r="F137" s="60">
        <v>1.0444745970193825</v>
      </c>
      <c r="G137" s="60">
        <v>1.0446486044706373</v>
      </c>
      <c r="H137" s="60">
        <v>1.0448224125674461</v>
      </c>
      <c r="I137" s="60">
        <v>1.0449960210986811</v>
      </c>
      <c r="J137" s="60">
        <v>1.0450827504618159</v>
      </c>
      <c r="K137" s="60">
        <v>1.0451694298553527</v>
      </c>
      <c r="L137" s="60">
        <v>1.0460334698551288</v>
      </c>
      <c r="M137" s="60">
        <v>1.0477464526768798</v>
      </c>
      <c r="N137" s="60">
        <v>1.051111411794678</v>
      </c>
      <c r="O137" s="60">
        <v>1.0575934620069078</v>
      </c>
      <c r="P137" s="60">
        <v>1.0607090926353371</v>
      </c>
      <c r="Q137" s="60">
        <v>1.062235394578265</v>
      </c>
      <c r="R137" s="60">
        <v>1.0637406747358613</v>
      </c>
      <c r="S137" s="60">
        <v>1.0652249456235532</v>
      </c>
      <c r="T137" s="60">
        <v>1.0666882367784909</v>
      </c>
      <c r="U137" s="60">
        <v>1.0681305941356842</v>
      </c>
      <c r="V137" s="60">
        <v>1.0695520793835653</v>
      </c>
      <c r="W137" s="60">
        <v>1.0709527693028948</v>
      </c>
      <c r="X137" s="60">
        <v>1.0723327550927784</v>
      </c>
      <c r="Y137" s="60">
        <v>1.0736921416873701</v>
      </c>
      <c r="Z137" s="60">
        <v>1.0750310470666669</v>
      </c>
      <c r="AA137" s="60">
        <v>1.0763496015645753</v>
      </c>
      <c r="AB137" s="60">
        <v>1.0776479471772515</v>
      </c>
      <c r="AC137" s="60">
        <v>1.0789262368744807</v>
      </c>
      <c r="AD137" s="60">
        <v>1.0801846339166585</v>
      </c>
      <c r="AE137" s="60">
        <v>1.0814233111797167</v>
      </c>
      <c r="AF137" s="60">
        <v>1.0826424504901255</v>
      </c>
      <c r="AG137" s="60">
        <v>1.0838422419718907</v>
      </c>
      <c r="AH137" s="60">
        <v>1.0850228834072562</v>
      </c>
      <c r="AI137" s="60">
        <f t="shared" si="5"/>
        <v>1.0850228834072562</v>
      </c>
      <c r="AJ137" s="13">
        <v>755</v>
      </c>
    </row>
    <row r="138" spans="1:36" ht="9.9499999999999993" customHeight="1" x14ac:dyDescent="0.2">
      <c r="A138" s="60">
        <f t="shared" si="4"/>
        <v>1.0454768051904493</v>
      </c>
      <c r="B138" s="60">
        <v>1.0454768051904493</v>
      </c>
      <c r="C138" s="60">
        <v>1.0455025365380397</v>
      </c>
      <c r="D138" s="60">
        <v>1.0455454123494616</v>
      </c>
      <c r="E138" s="60">
        <v>1.0455968472021855</v>
      </c>
      <c r="F138" s="60">
        <v>1.045631127331146</v>
      </c>
      <c r="G138" s="60">
        <v>1.04580241064045</v>
      </c>
      <c r="H138" s="60">
        <v>1.0459734982418494</v>
      </c>
      <c r="I138" s="60">
        <v>1.0461443899341756</v>
      </c>
      <c r="J138" s="60">
        <v>1.0462297622521366</v>
      </c>
      <c r="K138" s="60">
        <v>1.0463150855183292</v>
      </c>
      <c r="L138" s="60">
        <v>1.0471656149928712</v>
      </c>
      <c r="M138" s="60">
        <v>1.0488518572386256</v>
      </c>
      <c r="N138" s="60">
        <v>1.052164488084661</v>
      </c>
      <c r="O138" s="60">
        <v>1.0585467045522805</v>
      </c>
      <c r="P138" s="60">
        <v>1.0616149252420526</v>
      </c>
      <c r="Q138" s="60">
        <v>1.0631181643989562</v>
      </c>
      <c r="R138" s="60">
        <v>1.0646008139832839</v>
      </c>
      <c r="S138" s="60">
        <v>1.0660628887682786</v>
      </c>
      <c r="T138" s="60">
        <v>1.0675044199217962</v>
      </c>
      <c r="U138" s="60">
        <v>1.0689254544019673</v>
      </c>
      <c r="V138" s="60">
        <v>1.0703260543337871</v>
      </c>
      <c r="W138" s="60">
        <v>1.0717062963703312</v>
      </c>
      <c r="X138" s="60">
        <v>1.0730662710421508</v>
      </c>
      <c r="Y138" s="60">
        <v>1.0744060820982242</v>
      </c>
      <c r="Z138" s="60">
        <v>1.0757258458416663</v>
      </c>
      <c r="AA138" s="60">
        <v>1.0770256904632094</v>
      </c>
      <c r="AB138" s="60">
        <v>1.0783057553752664</v>
      </c>
      <c r="AC138" s="60">
        <v>1.0795661905491964</v>
      </c>
      <c r="AD138" s="60">
        <v>1.0808071558581798</v>
      </c>
      <c r="AE138" s="60">
        <v>1.0820288204279134</v>
      </c>
      <c r="AF138" s="60">
        <v>1.0832313619971303</v>
      </c>
      <c r="AG138" s="60">
        <v>1.0844149662897551</v>
      </c>
      <c r="AH138" s="60">
        <v>1.0855798264003038</v>
      </c>
      <c r="AI138" s="60">
        <f t="shared" si="5"/>
        <v>1.0855798264003038</v>
      </c>
      <c r="AJ138" s="13">
        <v>760</v>
      </c>
    </row>
    <row r="139" spans="1:36" ht="9.9499999999999993" customHeight="1" x14ac:dyDescent="0.2">
      <c r="A139" s="60">
        <f t="shared" si="4"/>
        <v>1.0466250530907328</v>
      </c>
      <c r="B139" s="60">
        <v>1.0466250530907328</v>
      </c>
      <c r="C139" s="60">
        <v>1.0466503840247288</v>
      </c>
      <c r="D139" s="60">
        <v>1.0466925926582853</v>
      </c>
      <c r="E139" s="60">
        <v>1.0467432271916628</v>
      </c>
      <c r="F139" s="60">
        <v>1.0467769739527488</v>
      </c>
      <c r="G139" s="60">
        <v>1.0469455925658171</v>
      </c>
      <c r="H139" s="60">
        <v>1.0471140190498258</v>
      </c>
      <c r="I139" s="60">
        <v>1.0472822532130341</v>
      </c>
      <c r="J139" s="60">
        <v>1.0473662981149672</v>
      </c>
      <c r="K139" s="60">
        <v>1.0474502948657056</v>
      </c>
      <c r="L139" s="60">
        <v>1.0482876089705657</v>
      </c>
      <c r="M139" s="60">
        <v>1.0499476954986455</v>
      </c>
      <c r="N139" s="60">
        <v>1.0532091442732425</v>
      </c>
      <c r="O139" s="60">
        <v>1.0594937131924185</v>
      </c>
      <c r="P139" s="60">
        <v>1.062515558075759</v>
      </c>
      <c r="Q139" s="60">
        <v>1.0639962357277384</v>
      </c>
      <c r="R139" s="60">
        <v>1.0654567451796835</v>
      </c>
      <c r="S139" s="60">
        <v>1.0668971032620171</v>
      </c>
      <c r="T139" s="60">
        <v>1.0683173426015748</v>
      </c>
      <c r="U139" s="60">
        <v>1.0697175110360655</v>
      </c>
      <c r="V139" s="60">
        <v>1.0710976710108575</v>
      </c>
      <c r="W139" s="60">
        <v>1.0724578989615876</v>
      </c>
      <c r="X139" s="60">
        <v>1.073798284685934</v>
      </c>
      <c r="Y139" s="60">
        <v>1.0751189307077544</v>
      </c>
      <c r="Z139" s="60">
        <v>1.0764199516366029</v>
      </c>
      <c r="AA139" s="60">
        <v>1.0777014735254595</v>
      </c>
      <c r="AB139" s="60">
        <v>1.0789636332293413</v>
      </c>
      <c r="AC139" s="60">
        <v>1.0802065777672438</v>
      </c>
      <c r="AD139" s="60">
        <v>1.0814304636896956</v>
      </c>
      <c r="AE139" s="60">
        <v>1.0826354564540057</v>
      </c>
      <c r="AF139" s="60">
        <v>1.0838217298090891</v>
      </c>
      <c r="AG139" s="60">
        <v>1.0849894651915817</v>
      </c>
      <c r="AH139" s="60">
        <v>1.0861388511347576</v>
      </c>
      <c r="AI139" s="60">
        <f t="shared" si="5"/>
        <v>1.0861388511347576</v>
      </c>
      <c r="AJ139" s="13">
        <v>765</v>
      </c>
    </row>
    <row r="140" spans="1:36" ht="9.9499999999999993" customHeight="1" x14ac:dyDescent="0.2">
      <c r="A140" s="60">
        <f t="shared" si="4"/>
        <v>1.0477626224129541</v>
      </c>
      <c r="B140" s="60">
        <v>1.0477626224129541</v>
      </c>
      <c r="C140" s="60">
        <v>1.0477875616139927</v>
      </c>
      <c r="D140" s="60">
        <v>1.0478291175341135</v>
      </c>
      <c r="E140" s="60">
        <v>1.0478789691000048</v>
      </c>
      <c r="F140" s="60">
        <v>1.0479121940578118</v>
      </c>
      <c r="G140" s="60">
        <v>1.0480782057577249</v>
      </c>
      <c r="H140" s="60">
        <v>1.0482440288405637</v>
      </c>
      <c r="I140" s="60">
        <v>1.0484096631235131</v>
      </c>
      <c r="J140" s="60">
        <v>1.0484924094084314</v>
      </c>
      <c r="K140" s="60">
        <v>1.048575108425702</v>
      </c>
      <c r="L140" s="60">
        <v>1.0493994940307163</v>
      </c>
      <c r="M140" s="60">
        <v>1.0510339932118875</v>
      </c>
      <c r="N140" s="60">
        <v>1.0542453735731843</v>
      </c>
      <c r="O140" s="60">
        <v>1.0604344184977794</v>
      </c>
      <c r="P140" s="60">
        <v>1.0634108919610512</v>
      </c>
      <c r="Q140" s="60">
        <v>1.0648694949756352</v>
      </c>
      <c r="R140" s="60">
        <v>1.0663083406495686</v>
      </c>
      <c r="S140" s="60">
        <v>1.0677274476834897</v>
      </c>
      <c r="T140" s="60">
        <v>1.0691268500036279</v>
      </c>
      <c r="U140" s="60">
        <v>1.0705065961943636</v>
      </c>
      <c r="V140" s="60">
        <v>1.0718667489144196</v>
      </c>
      <c r="W140" s="60">
        <v>1.0732073842999801</v>
      </c>
      <c r="X140" s="60">
        <v>1.0745285913579001</v>
      </c>
      <c r="Y140" s="60">
        <v>1.0758304713520166</v>
      </c>
      <c r="Z140" s="60">
        <v>1.0771131371854141</v>
      </c>
      <c r="AA140" s="60">
        <v>1.0783767127813166</v>
      </c>
      <c r="AB140" s="60">
        <v>1.0796213324651152</v>
      </c>
      <c r="AC140" s="60">
        <v>1.0808471403498512</v>
      </c>
      <c r="AD140" s="60">
        <v>1.0820542897273</v>
      </c>
      <c r="AE140" s="60">
        <v>1.0832429424666166</v>
      </c>
      <c r="AF140" s="60">
        <v>1.0844132684223258</v>
      </c>
      <c r="AG140" s="60">
        <v>1.0855654448532617</v>
      </c>
      <c r="AH140" s="60">
        <v>1.0866996558538888</v>
      </c>
      <c r="AI140" s="60">
        <f t="shared" si="5"/>
        <v>1.0866996558538888</v>
      </c>
      <c r="AJ140" s="13">
        <v>770</v>
      </c>
    </row>
    <row r="141" spans="1:36" ht="9.9499999999999993" customHeight="1" x14ac:dyDescent="0.2">
      <c r="A141" s="60">
        <f t="shared" si="4"/>
        <v>1.048889575075205</v>
      </c>
      <c r="B141" s="60">
        <v>1.048889575075205</v>
      </c>
      <c r="C141" s="60">
        <v>1.0489141309828716</v>
      </c>
      <c r="D141" s="60">
        <v>1.0489550482522738</v>
      </c>
      <c r="E141" s="60">
        <v>1.049004133720554</v>
      </c>
      <c r="F141" s="60">
        <v>1.0490368481183949</v>
      </c>
      <c r="G141" s="60">
        <v>1.0492003090823334</v>
      </c>
      <c r="H141" s="60">
        <v>1.0493635848751923</v>
      </c>
      <c r="I141" s="60">
        <v>1.0495266753226109</v>
      </c>
      <c r="J141" s="60">
        <v>1.0496081509878072</v>
      </c>
      <c r="K141" s="60">
        <v>1.0496895802521116</v>
      </c>
      <c r="L141" s="60">
        <v>1.0505013162259542</v>
      </c>
      <c r="M141" s="60">
        <v>1.0521107805138521</v>
      </c>
      <c r="N141" s="60">
        <v>1.0552731747180693</v>
      </c>
      <c r="O141" s="60">
        <v>1.0613687587945047</v>
      </c>
      <c r="P141" s="60">
        <v>1.0643008365506921</v>
      </c>
      <c r="Q141" s="60">
        <v>1.0657378379026534</v>
      </c>
      <c r="R141" s="60">
        <v>1.0671554825756033</v>
      </c>
      <c r="S141" s="60">
        <v>1.0685537909661944</v>
      </c>
      <c r="T141" s="60">
        <v>1.069932798151783</v>
      </c>
      <c r="U141" s="60">
        <v>1.0712925533404227</v>
      </c>
      <c r="V141" s="60">
        <v>1.0726331193056979</v>
      </c>
      <c r="W141" s="60">
        <v>1.0739545718095165</v>
      </c>
      <c r="X141" s="60">
        <v>1.0752569990158505</v>
      </c>
      <c r="Y141" s="60">
        <v>1.0765405008982645</v>
      </c>
      <c r="Z141" s="60">
        <v>1.0778051886439268</v>
      </c>
      <c r="AA141" s="60">
        <v>1.0790511840566246</v>
      </c>
      <c r="AB141" s="60">
        <v>1.0802786189611462</v>
      </c>
      <c r="AC141" s="60">
        <v>1.081487634611227</v>
      </c>
      <c r="AD141" s="60">
        <v>1.0826783811030745</v>
      </c>
      <c r="AE141" s="60">
        <v>1.0838510167963249</v>
      </c>
      <c r="AF141" s="60">
        <v>1.0850057077441135</v>
      </c>
      <c r="AG141" s="60">
        <v>1.0861426271337693</v>
      </c>
      <c r="AH141" s="60">
        <v>1.0872619547394866</v>
      </c>
      <c r="AI141" s="60">
        <f t="shared" si="5"/>
        <v>1.0872619547394866</v>
      </c>
      <c r="AJ141" s="13">
        <v>775</v>
      </c>
    </row>
    <row r="142" spans="1:36" ht="9.9499999999999993" customHeight="1" x14ac:dyDescent="0.2">
      <c r="A142" s="60">
        <f t="shared" si="4"/>
        <v>1.0500059760371345</v>
      </c>
      <c r="B142" s="60">
        <v>1.0500059760371345</v>
      </c>
      <c r="C142" s="60">
        <v>1.0500301568581243</v>
      </c>
      <c r="D142" s="60">
        <v>1.0500704491514161</v>
      </c>
      <c r="E142" s="60">
        <v>1.0501187849263003</v>
      </c>
      <c r="F142" s="60">
        <v>1.0501509996970919</v>
      </c>
      <c r="G142" s="60">
        <v>1.0503119645507828</v>
      </c>
      <c r="H142" s="60">
        <v>1.0504727476142983</v>
      </c>
      <c r="I142" s="60">
        <v>1.0506333487212856</v>
      </c>
      <c r="J142" s="60">
        <v>1.0507135809895949</v>
      </c>
      <c r="K142" s="60">
        <v>1.0507937677072177</v>
      </c>
      <c r="L142" s="60">
        <v>1.0515931251903801</v>
      </c>
      <c r="M142" s="60">
        <v>1.0531780916684799</v>
      </c>
      <c r="N142" s="60">
        <v>1.0562925516624542</v>
      </c>
      <c r="O142" s="60">
        <v>1.0622966797685982</v>
      </c>
      <c r="P142" s="60">
        <v>1.0651853098830013</v>
      </c>
      <c r="Q142" s="60">
        <v>1.0666011691523636</v>
      </c>
      <c r="R142" s="60">
        <v>1.067998062510858</v>
      </c>
      <c r="S142" s="60">
        <v>1.0693760118888671</v>
      </c>
      <c r="T142" s="60">
        <v>1.0707350533771702</v>
      </c>
      <c r="U142" s="60">
        <v>1.0720752366937227</v>
      </c>
      <c r="V142" s="60">
        <v>1.0733966246364084</v>
      </c>
      <c r="W142" s="60">
        <v>1.0746992925247048</v>
      </c>
      <c r="X142" s="60">
        <v>1.0759833276330961</v>
      </c>
      <c r="Y142" s="60">
        <v>1.0772488286189084</v>
      </c>
      <c r="Z142" s="60">
        <v>1.0784959049471132</v>
      </c>
      <c r="AA142" s="60">
        <v>1.0797246763144801</v>
      </c>
      <c r="AB142" s="60">
        <v>1.080935272075312</v>
      </c>
      <c r="AC142" s="60">
        <v>1.0821278306708284</v>
      </c>
      <c r="AD142" s="60">
        <v>1.0833024990641016</v>
      </c>
      <c r="AE142" s="60">
        <v>1.0844594321822976</v>
      </c>
      <c r="AF142" s="60">
        <v>1.0855987923678003</v>
      </c>
      <c r="AG142" s="60">
        <v>1.0867207488396504</v>
      </c>
      <c r="AH142" s="60">
        <v>1.0878254771665719</v>
      </c>
      <c r="AI142" s="60">
        <f t="shared" si="5"/>
        <v>1.0878254771665719</v>
      </c>
      <c r="AJ142" s="13">
        <v>780</v>
      </c>
    </row>
    <row r="143" spans="1:36" ht="9.9499999999999993" customHeight="1" x14ac:dyDescent="0.2">
      <c r="A143" s="60">
        <f t="shared" si="4"/>
        <v>1.0511118931033365</v>
      </c>
      <c r="B143" s="60">
        <v>1.0511118931033365</v>
      </c>
      <c r="C143" s="60">
        <v>1.0511357068192875</v>
      </c>
      <c r="D143" s="60">
        <v>1.0511753874360283</v>
      </c>
      <c r="E143" s="60">
        <v>1.0512229894717458</v>
      </c>
      <c r="F143" s="60">
        <v>1.0512547152484579</v>
      </c>
      <c r="G143" s="60">
        <v>1.0514132371184404</v>
      </c>
      <c r="H143" s="60">
        <v>1.0515715805149868</v>
      </c>
      <c r="I143" s="60">
        <v>1.0517297452793295</v>
      </c>
      <c r="J143" s="60">
        <v>1.0518087606252939</v>
      </c>
      <c r="K143" s="60">
        <v>1.0518877312544723</v>
      </c>
      <c r="L143" s="60">
        <v>1.0526749739212116</v>
      </c>
      <c r="M143" s="60">
        <v>1.0542359648274657</v>
      </c>
      <c r="N143" s="60">
        <v>1.0573035132957866</v>
      </c>
      <c r="O143" s="60">
        <v>1.0632181340887008</v>
      </c>
      <c r="P143" s="60">
        <v>1.0660642379602494</v>
      </c>
      <c r="Q143" s="60">
        <v>1.0674594018086581</v>
      </c>
      <c r="R143" s="60">
        <v>1.0688359809143919</v>
      </c>
      <c r="S143" s="60">
        <v>1.0701939985904092</v>
      </c>
      <c r="T143" s="60">
        <v>1.0715334918130577</v>
      </c>
      <c r="U143" s="60">
        <v>1.0728545107050242</v>
      </c>
      <c r="V143" s="60">
        <v>1.0741571180053044</v>
      </c>
      <c r="W143" s="60">
        <v>1.0754413885289837</v>
      </c>
      <c r="X143" s="60">
        <v>1.0767074086194992</v>
      </c>
      <c r="Y143" s="60">
        <v>1.0779552755959192</v>
      </c>
      <c r="Z143" s="60">
        <v>1.0791850971976327</v>
      </c>
      <c r="AA143" s="60">
        <v>1.0803969910287095</v>
      </c>
      <c r="AB143" s="60">
        <v>1.0815910840040295</v>
      </c>
      <c r="AC143" s="60">
        <v>1.0827675117991382</v>
      </c>
      <c r="AD143" s="60">
        <v>1.0839264183056205</v>
      </c>
      <c r="AE143" s="60">
        <v>1.0850679550936486</v>
      </c>
      <c r="AF143" s="60">
        <v>1.086192280883193</v>
      </c>
      <c r="AG143" s="60">
        <v>1.0872995610252474</v>
      </c>
      <c r="AH143" s="60">
        <v>1.0883899669942692</v>
      </c>
      <c r="AI143" s="60">
        <f t="shared" si="5"/>
        <v>1.0883899669942692</v>
      </c>
      <c r="AJ143" s="13">
        <v>785</v>
      </c>
    </row>
    <row r="144" spans="1:36" ht="9.9499999999999993" customHeight="1" x14ac:dyDescent="0.2">
      <c r="A144" s="60">
        <f t="shared" si="4"/>
        <v>1.0522073967356314</v>
      </c>
      <c r="B144" s="60">
        <v>1.0522073967356314</v>
      </c>
      <c r="C144" s="60">
        <v>1.0522308511106497</v>
      </c>
      <c r="D144" s="60">
        <v>1.0522699329878891</v>
      </c>
      <c r="E144" s="60">
        <v>1.0523168168037331</v>
      </c>
      <c r="F144" s="60">
        <v>1.052348063929426</v>
      </c>
      <c r="G144" s="60">
        <v>1.0525041944932394</v>
      </c>
      <c r="H144" s="60">
        <v>1.0526601498371351</v>
      </c>
      <c r="I144" s="60">
        <v>1.0528159298095323</v>
      </c>
      <c r="J144" s="60">
        <v>1.0528937539845205</v>
      </c>
      <c r="K144" s="60">
        <v>1.0529715342605697</v>
      </c>
      <c r="L144" s="60">
        <v>1.0537469185703396</v>
      </c>
      <c r="M144" s="60">
        <v>1.0552844418005445</v>
      </c>
      <c r="N144" s="60">
        <v>1.0583060731694869</v>
      </c>
      <c r="O144" s="60">
        <v>1.0641330810465923</v>
      </c>
      <c r="P144" s="60">
        <v>1.0669375543470365</v>
      </c>
      <c r="Q144" s="60">
        <v>1.0683124569736051</v>
      </c>
      <c r="R144" s="60">
        <v>1.069669146709018</v>
      </c>
      <c r="S144" s="60">
        <v>1.0710076481080515</v>
      </c>
      <c r="T144" s="60">
        <v>1.0723279989139614</v>
      </c>
      <c r="U144" s="60">
        <v>1.073630249557004</v>
      </c>
      <c r="V144" s="60">
        <v>1.0749144626409615</v>
      </c>
      <c r="W144" s="60">
        <v>1.0761807124203089</v>
      </c>
      <c r="X144" s="60">
        <v>1.0774290842705487</v>
      </c>
      <c r="Y144" s="60">
        <v>1.0786596741541046</v>
      </c>
      <c r="Z144" s="60">
        <v>1.0798725880840445</v>
      </c>
      <c r="AA144" s="60">
        <v>1.0810679415877598</v>
      </c>
      <c r="AB144" s="60">
        <v>1.0822458591725845</v>
      </c>
      <c r="AC144" s="60">
        <v>1.0834064737952043</v>
      </c>
      <c r="AD144" s="60">
        <v>1.0845499263365466</v>
      </c>
      <c r="AE144" s="60">
        <v>1.085676365083712</v>
      </c>
      <c r="AF144" s="60">
        <v>1.0867859452203563</v>
      </c>
      <c r="AG144" s="60">
        <v>1.0878788283267944</v>
      </c>
      <c r="AH144" s="60">
        <v>1.0889551818909617</v>
      </c>
      <c r="AI144" s="60">
        <f t="shared" si="5"/>
        <v>1.0889551818909617</v>
      </c>
      <c r="AJ144" s="13">
        <v>790</v>
      </c>
    </row>
    <row r="145" spans="1:36" ht="9.9499999999999993" customHeight="1" x14ac:dyDescent="0.2">
      <c r="A145" s="60">
        <f t="shared" si="4"/>
        <v>1.0532925598738963</v>
      </c>
      <c r="B145" s="60">
        <v>1.0532925598738963</v>
      </c>
      <c r="C145" s="60">
        <v>1.0533156624617825</v>
      </c>
      <c r="D145" s="60">
        <v>1.0533541581861072</v>
      </c>
      <c r="E145" s="60">
        <v>1.0534003388808919</v>
      </c>
      <c r="F145" s="60">
        <v>1.053431117418351</v>
      </c>
      <c r="G145" s="60">
        <v>1.0535849069527383</v>
      </c>
      <c r="H145" s="60">
        <v>1.0537385244584667</v>
      </c>
      <c r="I145" s="60">
        <v>1.0538919697907656</v>
      </c>
      <c r="J145" s="60">
        <v>1.0539686278470946</v>
      </c>
      <c r="K145" s="60">
        <v>1.0540452428065332</v>
      </c>
      <c r="L145" s="60">
        <v>1.054809018245392</v>
      </c>
      <c r="M145" s="60">
        <v>1.0563235678362803</v>
      </c>
      <c r="N145" s="60">
        <v>1.0593002492366199</v>
      </c>
      <c r="O145" s="60">
        <v>1.065041486214573</v>
      </c>
      <c r="P145" s="60">
        <v>1.0678051997876818</v>
      </c>
      <c r="Q145" s="60">
        <v>1.0691602633653547</v>
      </c>
      <c r="R145" s="60">
        <v>1.0704974768601434</v>
      </c>
      <c r="S145" s="60">
        <v>1.0718168659375975</v>
      </c>
      <c r="T145" s="60">
        <v>1.0731184689977959</v>
      </c>
      <c r="U145" s="60">
        <v>1.0744023366888691</v>
      </c>
      <c r="V145" s="60">
        <v>1.0756685314094416</v>
      </c>
      <c r="W145" s="60">
        <v>1.0769171268024933</v>
      </c>
      <c r="X145" s="60">
        <v>1.0781482072430191</v>
      </c>
      <c r="Y145" s="60">
        <v>1.0793618673217587</v>
      </c>
      <c r="Z145" s="60">
        <v>1.080558211327135</v>
      </c>
      <c r="AA145" s="60">
        <v>1.0817373527274108</v>
      </c>
      <c r="AB145" s="60">
        <v>1.0828994136549419</v>
      </c>
      <c r="AC145" s="60">
        <v>1.0840445243942689</v>
      </c>
      <c r="AD145" s="60">
        <v>1.0851728228756499</v>
      </c>
      <c r="AE145" s="60">
        <v>1.0862844541754995</v>
      </c>
      <c r="AF145" s="60">
        <v>1.0873795700250757</v>
      </c>
      <c r="AG145" s="60">
        <v>1.0884583283286049</v>
      </c>
      <c r="AH145" s="60">
        <v>1.0895208926919209</v>
      </c>
      <c r="AI145" s="60">
        <f t="shared" si="5"/>
        <v>1.0895208926919209</v>
      </c>
      <c r="AJ145" s="13">
        <v>795</v>
      </c>
    </row>
    <row r="146" spans="1:36" ht="9.9499999999999993" customHeight="1" x14ac:dyDescent="0.2">
      <c r="A146" s="60">
        <f t="shared" si="4"/>
        <v>1.0543674577651174</v>
      </c>
      <c r="B146" s="60">
        <v>1.0543674577651174</v>
      </c>
      <c r="C146" s="60">
        <v>1.0543902159163097</v>
      </c>
      <c r="D146" s="60">
        <v>1.0544281377354163</v>
      </c>
      <c r="E146" s="60">
        <v>1.0544736300013653</v>
      </c>
      <c r="F146" s="60">
        <v>1.0545039497423649</v>
      </c>
      <c r="G146" s="60">
        <v>1.0546554471695802</v>
      </c>
      <c r="H146" s="60">
        <v>1.0548067756981103</v>
      </c>
      <c r="I146" s="60">
        <v>1.0549579351896401</v>
      </c>
      <c r="J146" s="60">
        <v>1.0550334515037492</v>
      </c>
      <c r="K146" s="60">
        <v>1.0551089255074728</v>
      </c>
      <c r="L146" s="60">
        <v>1.0558613348199233</v>
      </c>
      <c r="M146" s="60">
        <v>1.0573533914129332</v>
      </c>
      <c r="N146" s="60">
        <v>1.0602860636036033</v>
      </c>
      <c r="O146" s="60">
        <v>1.0659433211189389</v>
      </c>
      <c r="P146" s="60">
        <v>1.0686671218417105</v>
      </c>
      <c r="Q146" s="60">
        <v>1.0700027569351247</v>
      </c>
      <c r="R146" s="60">
        <v>1.0713208959746494</v>
      </c>
      <c r="S146" s="60">
        <v>1.0726215656146396</v>
      </c>
      <c r="T146" s="60">
        <v>1.0739048048099169</v>
      </c>
      <c r="U146" s="60">
        <v>1.0751706643437473</v>
      </c>
      <c r="V146" s="60">
        <v>1.0764192063455906</v>
      </c>
      <c r="W146" s="60">
        <v>1.0776505038009911</v>
      </c>
      <c r="X146" s="60">
        <v>1.0788646400558577</v>
      </c>
      <c r="Y146" s="60">
        <v>1.0800617083172834</v>
      </c>
      <c r="Z146" s="60">
        <v>1.0812418111529214</v>
      </c>
      <c r="AA146" s="60">
        <v>1.0824050599908248</v>
      </c>
      <c r="AB146" s="60">
        <v>1.0835515746215172</v>
      </c>
      <c r="AC146" s="60">
        <v>1.0846814827039437</v>
      </c>
      <c r="AD146" s="60">
        <v>1.0857949192768153</v>
      </c>
      <c r="AE146" s="60">
        <v>1.0868920262767319</v>
      </c>
      <c r="AF146" s="60">
        <v>1.0879729520643469</v>
      </c>
      <c r="AG146" s="60">
        <v>1.0890378509597021</v>
      </c>
      <c r="AH146" s="60">
        <v>1.090086882787747</v>
      </c>
      <c r="AI146" s="60">
        <f t="shared" si="5"/>
        <v>1.090086882787747</v>
      </c>
      <c r="AJ146" s="13">
        <v>800</v>
      </c>
    </row>
    <row r="147" spans="1:36" ht="9.9499999999999993" customHeight="1" x14ac:dyDescent="0.2">
      <c r="A147" s="60">
        <f t="shared" si="4"/>
        <v>1.0554321678003282</v>
      </c>
      <c r="B147" s="60">
        <v>1.0554321678003282</v>
      </c>
      <c r="C147" s="60">
        <v>1.0554545886685751</v>
      </c>
      <c r="D147" s="60">
        <v>1.0554919485023928</v>
      </c>
      <c r="E147" s="60">
        <v>1.0555367666384872</v>
      </c>
      <c r="F147" s="60">
        <v>1.0555666371126873</v>
      </c>
      <c r="G147" s="60">
        <v>1.0557158900449992</v>
      </c>
      <c r="H147" s="60">
        <v>1.0558649771482995</v>
      </c>
      <c r="I147" s="60">
        <v>1.0560138982903922</v>
      </c>
      <c r="J147" s="60">
        <v>1.0560882965851033</v>
      </c>
      <c r="K147" s="60">
        <v>1.056162653340651</v>
      </c>
      <c r="L147" s="60">
        <v>1.0569039327523586</v>
      </c>
      <c r="M147" s="60">
        <v>1.0583739640389751</v>
      </c>
      <c r="N147" s="60">
        <v>1.0612635422934231</v>
      </c>
      <c r="O147" s="60">
        <v>1.0668385629287791</v>
      </c>
      <c r="P147" s="60">
        <v>1.0695232745365533</v>
      </c>
      <c r="Q147" s="60">
        <v>1.0708398805023223</v>
      </c>
      <c r="R147" s="60">
        <v>1.0721393359188156</v>
      </c>
      <c r="S147" s="60">
        <v>1.0734216683157072</v>
      </c>
      <c r="T147" s="60">
        <v>1.0746869171079538</v>
      </c>
      <c r="U147" s="60">
        <v>1.0759351331377003</v>
      </c>
      <c r="V147" s="60">
        <v>1.077166378206756</v>
      </c>
      <c r="W147" s="60">
        <v>1.0783807246018786</v>
      </c>
      <c r="X147" s="60">
        <v>1.0795782546150032</v>
      </c>
      <c r="Y147" s="60">
        <v>1.0807590600604398</v>
      </c>
      <c r="Z147" s="60">
        <v>1.0819232417909519</v>
      </c>
      <c r="AA147" s="60">
        <v>1.0830709092145203</v>
      </c>
      <c r="AB147" s="60">
        <v>1.0842021798134587</v>
      </c>
      <c r="AC147" s="60">
        <v>1.0853171786674412</v>
      </c>
      <c r="AD147" s="60">
        <v>1.0864160379818728</v>
      </c>
      <c r="AE147" s="60">
        <v>1.0874988966229118</v>
      </c>
      <c r="AF147" s="60">
        <v>1.0885658996603331</v>
      </c>
      <c r="AG147" s="60">
        <v>1.0896171979193021</v>
      </c>
      <c r="AH147" s="60">
        <v>1.0906529475420188</v>
      </c>
      <c r="AI147" s="60">
        <f t="shared" si="5"/>
        <v>1.0906529475420188</v>
      </c>
      <c r="AJ147" s="13">
        <v>805</v>
      </c>
    </row>
    <row r="148" spans="1:36" ht="9.9499999999999993" customHeight="1" x14ac:dyDescent="0.2">
      <c r="A148" s="60">
        <f t="shared" si="4"/>
        <v>1.0564867693591313</v>
      </c>
      <c r="B148" s="60">
        <v>1.0564867693591313</v>
      </c>
      <c r="C148" s="60">
        <v>1.0565088599079067</v>
      </c>
      <c r="D148" s="60">
        <v>1.0565456693592881</v>
      </c>
      <c r="E148" s="60">
        <v>1.0565898272840972</v>
      </c>
      <c r="F148" s="60">
        <v>1.0566192577675977</v>
      </c>
      <c r="G148" s="60">
        <v>1.0567663125500639</v>
      </c>
      <c r="H148" s="60">
        <v>1.0569132045138845</v>
      </c>
      <c r="I148" s="60">
        <v>1.0570599335326627</v>
      </c>
      <c r="J148" s="60">
        <v>1.05713323689858</v>
      </c>
      <c r="K148" s="60">
        <v>1.0572064994815293</v>
      </c>
      <c r="L148" s="60">
        <v>1.0579368789133305</v>
      </c>
      <c r="M148" s="60">
        <v>1.0593853400628499</v>
      </c>
      <c r="N148" s="60">
        <v>1.0622327150198509</v>
      </c>
      <c r="O148" s="60">
        <v>1.0677271941593847</v>
      </c>
      <c r="P148" s="60">
        <v>1.0703736180366361</v>
      </c>
      <c r="Q148" s="60">
        <v>1.0716715834069281</v>
      </c>
      <c r="R148" s="60">
        <v>1.0729527354543591</v>
      </c>
      <c r="S148" s="60">
        <v>1.0742171024783636</v>
      </c>
      <c r="T148" s="60">
        <v>1.0754647242663995</v>
      </c>
      <c r="U148" s="60">
        <v>1.0766956516492776</v>
      </c>
      <c r="V148" s="60">
        <v>1.0779099460478041</v>
      </c>
      <c r="W148" s="60">
        <v>1.0791076790128578</v>
      </c>
      <c r="X148" s="60">
        <v>1.0802889317609214</v>
      </c>
      <c r="Y148" s="60">
        <v>1.0814537947069816</v>
      </c>
      <c r="Z148" s="60">
        <v>1.0826023669966145</v>
      </c>
      <c r="AA148" s="60">
        <v>1.0837347560389468</v>
      </c>
      <c r="AB148" s="60">
        <v>1.0848510770420858</v>
      </c>
      <c r="AC148" s="60">
        <v>1.0859514525524825</v>
      </c>
      <c r="AD148" s="60">
        <v>1.087036011999581</v>
      </c>
      <c r="AE148" s="60">
        <v>1.0881048912469951</v>
      </c>
      <c r="AF148" s="60">
        <v>1.0891582321513327</v>
      </c>
      <c r="AG148" s="60">
        <v>1.0901961821296811</v>
      </c>
      <c r="AH148" s="60">
        <v>1.0912188937366558</v>
      </c>
      <c r="AI148" s="60">
        <f t="shared" si="5"/>
        <v>1.0912188937366558</v>
      </c>
      <c r="AJ148" s="13">
        <v>810</v>
      </c>
    </row>
    <row r="149" spans="1:36" ht="9.9499999999999993" customHeight="1" x14ac:dyDescent="0.2">
      <c r="A149" s="60">
        <f t="shared" si="4"/>
        <v>1.0575313436614844</v>
      </c>
      <c r="B149" s="60">
        <v>1.0575313436614844</v>
      </c>
      <c r="C149" s="60">
        <v>1.0575531106701563</v>
      </c>
      <c r="D149" s="60">
        <v>1.0575893810351569</v>
      </c>
      <c r="E149" s="60">
        <v>1.057632892299174</v>
      </c>
      <c r="F149" s="60">
        <v>1.0576618918227407</v>
      </c>
      <c r="G149" s="60">
        <v>1.0578067935743349</v>
      </c>
      <c r="H149" s="60">
        <v>1.0579515354593367</v>
      </c>
      <c r="I149" s="60">
        <v>1.0580961173568517</v>
      </c>
      <c r="J149" s="60">
        <v>1.0581683482729267</v>
      </c>
      <c r="K149" s="60">
        <v>1.0582405391474656</v>
      </c>
      <c r="L149" s="60">
        <v>1.0589602424210587</v>
      </c>
      <c r="M149" s="60">
        <v>1.0603875764915802</v>
      </c>
      <c r="N149" s="60">
        <v>1.0631936149721675</v>
      </c>
      <c r="O149" s="60">
        <v>1.0686092023895679</v>
      </c>
      <c r="P149" s="60">
        <v>1.0712181183280609</v>
      </c>
      <c r="Q149" s="60">
        <v>1.0724978211782916</v>
      </c>
      <c r="R149" s="60">
        <v>1.0737610398916906</v>
      </c>
      <c r="S149" s="60">
        <v>1.0750078034393038</v>
      </c>
      <c r="T149" s="60">
        <v>1.076238151899968</v>
      </c>
      <c r="U149" s="60">
        <v>1.0774521360285767</v>
      </c>
      <c r="V149" s="60">
        <v>1.0786498168163587</v>
      </c>
      <c r="W149" s="60">
        <v>1.0798312650451674</v>
      </c>
      <c r="X149" s="60">
        <v>1.080996560837703</v>
      </c>
      <c r="Y149" s="60">
        <v>1.0821457932054754</v>
      </c>
      <c r="Z149" s="60">
        <v>1.0832790595962229</v>
      </c>
      <c r="AA149" s="60">
        <v>1.0843964654423932</v>
      </c>
      <c r="AB149" s="60">
        <v>1.0854981237121895</v>
      </c>
      <c r="AC149" s="60">
        <v>1.0865841544645594</v>
      </c>
      <c r="AD149" s="60">
        <v>1.0876546844094226</v>
      </c>
      <c r="AE149" s="60">
        <v>1.0887098464742933</v>
      </c>
      <c r="AF149" s="60">
        <v>1.0897497793783646</v>
      </c>
      <c r="AG149" s="60">
        <v>1.0907746272150125</v>
      </c>
      <c r="AH149" s="60">
        <v>1.0917845390435712</v>
      </c>
      <c r="AI149" s="60">
        <f t="shared" si="5"/>
        <v>1.0917845390435712</v>
      </c>
      <c r="AJ149" s="13">
        <v>815</v>
      </c>
    </row>
    <row r="150" spans="1:36" ht="9.9499999999999993" customHeight="1" x14ac:dyDescent="0.2">
      <c r="A150" s="60">
        <f t="shared" si="4"/>
        <v>1.0585659736264659</v>
      </c>
      <c r="B150" s="60">
        <v>1.0585659736264659</v>
      </c>
      <c r="C150" s="60">
        <v>1.0585874236962263</v>
      </c>
      <c r="D150" s="60">
        <v>1.0586231659739924</v>
      </c>
      <c r="E150" s="60">
        <v>1.0586660437715001</v>
      </c>
      <c r="F150" s="60">
        <v>1.0586946211284731</v>
      </c>
      <c r="G150" s="60">
        <v>1.0588374137816345</v>
      </c>
      <c r="H150" s="60">
        <v>1.0589800494629462</v>
      </c>
      <c r="I150" s="60">
        <v>1.0591225280567294</v>
      </c>
      <c r="J150" s="60">
        <v>1.0591937084100416</v>
      </c>
      <c r="K150" s="60">
        <v>1.0592648494487444</v>
      </c>
      <c r="L150" s="60">
        <v>1.0599740944844405</v>
      </c>
      <c r="M150" s="60">
        <v>1.0613807328178495</v>
      </c>
      <c r="N150" s="60">
        <v>1.0641462786099332</v>
      </c>
      <c r="O150" s="60">
        <v>1.0694845799922468</v>
      </c>
      <c r="P150" s="60">
        <v>1.0720567469181368</v>
      </c>
      <c r="Q150" s="60">
        <v>1.0733185552195532</v>
      </c>
      <c r="R150" s="60">
        <v>1.0745642007595553</v>
      </c>
      <c r="S150" s="60">
        <v>1.0757937130895789</v>
      </c>
      <c r="T150" s="60">
        <v>1.0770071325047958</v>
      </c>
      <c r="U150" s="60">
        <v>1.0782045096248492</v>
      </c>
      <c r="V150" s="60">
        <v>1.0793859049672543</v>
      </c>
      <c r="W150" s="60">
        <v>1.0805513885153544</v>
      </c>
      <c r="X150" s="60">
        <v>1.0817010392826452</v>
      </c>
      <c r="Y150" s="60">
        <v>1.0828349448751884</v>
      </c>
      <c r="Z150" s="60">
        <v>1.0839532010537318</v>
      </c>
      <c r="AA150" s="60">
        <v>1.0850559112970597</v>
      </c>
      <c r="AB150" s="60">
        <v>1.0861431863679865</v>
      </c>
      <c r="AC150" s="60">
        <v>1.0872151438833131</v>
      </c>
      <c r="AD150" s="60">
        <v>1.0882719078889529</v>
      </c>
      <c r="AE150" s="60">
        <v>1.0893136084413331</v>
      </c>
      <c r="AF150" s="60">
        <v>1.0903403811960746</v>
      </c>
      <c r="AG150" s="60">
        <v>1.0913523670048608</v>
      </c>
      <c r="AH150" s="60">
        <v>1.0923497115212881</v>
      </c>
      <c r="AI150" s="60">
        <f t="shared" si="5"/>
        <v>1.0923497115212881</v>
      </c>
      <c r="AJ150" s="13">
        <v>820</v>
      </c>
    </row>
    <row r="151" spans="1:36" ht="9.9499999999999993" customHeight="1" x14ac:dyDescent="0.2">
      <c r="A151" s="60">
        <f t="shared" si="4"/>
        <v>1.0595907437377177</v>
      </c>
      <c r="B151" s="60">
        <v>1.0595907437377177</v>
      </c>
      <c r="C151" s="60">
        <v>1.0596118832972907</v>
      </c>
      <c r="D151" s="60">
        <v>1.0596471081995698</v>
      </c>
      <c r="E151" s="60">
        <v>1.0596893653800525</v>
      </c>
      <c r="F151" s="60">
        <v>1.059717529133956</v>
      </c>
      <c r="G151" s="60">
        <v>1.0598582554726359</v>
      </c>
      <c r="H151" s="60">
        <v>1.0599988276778964</v>
      </c>
      <c r="I151" s="60">
        <v>1.0601392456390062</v>
      </c>
      <c r="J151" s="60">
        <v>1.0602093967437833</v>
      </c>
      <c r="K151" s="60">
        <v>1.0602795092466322</v>
      </c>
      <c r="L151" s="60">
        <v>1.0609785082535195</v>
      </c>
      <c r="M151" s="60">
        <v>1.0623648708551818</v>
      </c>
      <c r="N151" s="60">
        <v>1.0650907454673491</v>
      </c>
      <c r="O151" s="60">
        <v>1.0703533238776581</v>
      </c>
      <c r="P151" s="60">
        <v>1.0728894805490365</v>
      </c>
      <c r="Q151" s="60">
        <v>1.0741337525069223</v>
      </c>
      <c r="R151" s="60">
        <v>1.0753621754902463</v>
      </c>
      <c r="S151" s="60">
        <v>1.0765747795460934</v>
      </c>
      <c r="T151" s="60">
        <v>1.0777716051165989</v>
      </c>
      <c r="U151" s="60">
        <v>1.0789527026317136</v>
      </c>
      <c r="V151" s="60">
        <v>1.0801181320952358</v>
      </c>
      <c r="W151" s="60">
        <v>1.0812679626659034</v>
      </c>
      <c r="X151" s="60">
        <v>1.0824022722352686</v>
      </c>
      <c r="Y151" s="60">
        <v>1.0835211470039758</v>
      </c>
      <c r="Z151" s="60">
        <v>1.0846246810579807</v>
      </c>
      <c r="AA151" s="60">
        <v>1.0857129759461486</v>
      </c>
      <c r="AB151" s="60">
        <v>1.0867861402605723</v>
      </c>
      <c r="AC151" s="60">
        <v>1.0878442892208533</v>
      </c>
      <c r="AD151" s="60">
        <v>1.0888875442634938</v>
      </c>
      <c r="AE151" s="60">
        <v>1.089916032637438</v>
      </c>
      <c r="AF151" s="60">
        <v>1.0909298870067206</v>
      </c>
      <c r="AG151" s="60">
        <v>1.0919292450610711</v>
      </c>
      <c r="AH151" s="60">
        <v>1.0929142491352379</v>
      </c>
      <c r="AI151" s="60">
        <f t="shared" si="5"/>
        <v>1.0929142491352379</v>
      </c>
      <c r="AJ151" s="13">
        <v>825</v>
      </c>
    </row>
    <row r="152" spans="1:36" ht="9.9499999999999993" customHeight="1" x14ac:dyDescent="0.2">
      <c r="A152" s="60">
        <f t="shared" si="4"/>
        <v>1.0606057399153028</v>
      </c>
      <c r="B152" s="60">
        <v>1.0606057399153028</v>
      </c>
      <c r="C152" s="60">
        <v>1.0606265752264341</v>
      </c>
      <c r="D152" s="60">
        <v>1.0606612931867268</v>
      </c>
      <c r="E152" s="60">
        <v>1.0607029422658518</v>
      </c>
      <c r="F152" s="60">
        <v>1.0607307007577143</v>
      </c>
      <c r="G152" s="60">
        <v>1.0608694024539804</v>
      </c>
      <c r="H152" s="60">
        <v>1.0610079527999439</v>
      </c>
      <c r="I152" s="60">
        <v>1.0611463516895665</v>
      </c>
      <c r="J152" s="60">
        <v>1.061215494305485</v>
      </c>
      <c r="K152" s="60">
        <v>1.0612845990181692</v>
      </c>
      <c r="L152" s="60">
        <v>1.0619735586770249</v>
      </c>
      <c r="M152" s="60">
        <v>1.0633400545808851</v>
      </c>
      <c r="N152" s="60">
        <v>1.0660270579667868</v>
      </c>
      <c r="O152" s="60">
        <v>1.0712154352486187</v>
      </c>
      <c r="P152" s="60">
        <v>1.0737163009249107</v>
      </c>
      <c r="Q152" s="60">
        <v>1.0749433853031021</v>
      </c>
      <c r="R152" s="60">
        <v>1.0761549271196444</v>
      </c>
      <c r="S152" s="60">
        <v>1.0773509568385851</v>
      </c>
      <c r="T152" s="60">
        <v>1.0785315149849521</v>
      </c>
      <c r="U152" s="60">
        <v>1.0796966517491207</v>
      </c>
      <c r="V152" s="60">
        <v>1.0808464265850044</v>
      </c>
      <c r="W152" s="60">
        <v>1.0819809078037885</v>
      </c>
      <c r="X152" s="60">
        <v>1.0831001721648144</v>
      </c>
      <c r="Y152" s="60">
        <v>1.0842043044651712</v>
      </c>
      <c r="Z152" s="60">
        <v>1.0852933971294376</v>
      </c>
      <c r="AA152" s="60">
        <v>1.0863675498009393</v>
      </c>
      <c r="AB152" s="60">
        <v>1.087426868935794</v>
      </c>
      <c r="AC152" s="60">
        <v>1.0884714674009139</v>
      </c>
      <c r="AD152" s="60">
        <v>1.0895014640770553</v>
      </c>
      <c r="AE152" s="60">
        <v>1.0905169834679005</v>
      </c>
      <c r="AF152" s="60">
        <v>1.0915181553160713</v>
      </c>
      <c r="AG152" s="60">
        <v>1.0925051142268838</v>
      </c>
      <c r="AH152" s="60">
        <v>1.0934779993005577</v>
      </c>
      <c r="AI152" s="60">
        <f t="shared" si="5"/>
        <v>1.0934779993005577</v>
      </c>
      <c r="AJ152" s="13">
        <v>830</v>
      </c>
    </row>
    <row r="153" spans="1:36" ht="9.9499999999999993" customHeight="1" x14ac:dyDescent="0.2">
      <c r="A153" s="60">
        <f t="shared" si="4"/>
        <v>1.0616110493936883</v>
      </c>
      <c r="B153" s="60">
        <v>1.0616110493936883</v>
      </c>
      <c r="C153" s="60">
        <v>1.0616315865564321</v>
      </c>
      <c r="D153" s="60">
        <v>1.0616658077387975</v>
      </c>
      <c r="E153" s="60">
        <v>1.0617068609089861</v>
      </c>
      <c r="F153" s="60">
        <v>1.0617342222643871</v>
      </c>
      <c r="G153" s="60">
        <v>1.0618709399136514</v>
      </c>
      <c r="H153" s="60">
        <v>1.0620075089414118</v>
      </c>
      <c r="I153" s="60">
        <v>1.0621439292460824</v>
      </c>
      <c r="J153" s="60">
        <v>1.0622120835958748</v>
      </c>
      <c r="K153" s="60">
        <v>1.062280200727399</v>
      </c>
      <c r="L153" s="60">
        <v>1.0629593223666731</v>
      </c>
      <c r="M153" s="60">
        <v>1.0643063499864012</v>
      </c>
      <c r="N153" s="60">
        <v>1.066955261241064</v>
      </c>
      <c r="O153" s="60">
        <v>1.072070919367248</v>
      </c>
      <c r="P153" s="60">
        <v>1.074537194451805</v>
      </c>
      <c r="Q153" s="60">
        <v>1.0757474308841719</v>
      </c>
      <c r="R153" s="60">
        <v>1.0769424240013501</v>
      </c>
      <c r="S153" s="60">
        <v>1.0781222046113255</v>
      </c>
      <c r="T153" s="60">
        <v>1.0792868132628961</v>
      </c>
      <c r="U153" s="60">
        <v>1.0804362998612238</v>
      </c>
      <c r="V153" s="60">
        <v>1.0815707232777438</v>
      </c>
      <c r="W153" s="60">
        <v>1.0826901509560491</v>
      </c>
      <c r="X153" s="60">
        <v>1.083794658515284</v>
      </c>
      <c r="Y153" s="60">
        <v>1.0848843293525168</v>
      </c>
      <c r="Z153" s="60">
        <v>1.0859592542454575</v>
      </c>
      <c r="AA153" s="60">
        <v>1.0870195309568169</v>
      </c>
      <c r="AB153" s="60">
        <v>1.0880652638415058</v>
      </c>
      <c r="AC153" s="60">
        <v>1.0890965634577856</v>
      </c>
      <c r="AD153" s="60">
        <v>1.0901135461834046</v>
      </c>
      <c r="AE153" s="60">
        <v>1.0911163338376406</v>
      </c>
      <c r="AF153" s="60">
        <v>1.0921050533101169</v>
      </c>
      <c r="AG153" s="60">
        <v>1.0930798361971386</v>
      </c>
      <c r="AH153" s="60">
        <v>1.0940408184462465</v>
      </c>
      <c r="AI153" s="60">
        <f t="shared" si="5"/>
        <v>1.0940408184462465</v>
      </c>
      <c r="AJ153" s="13">
        <v>835</v>
      </c>
    </row>
    <row r="154" spans="1:36" ht="9.9499999999999993" customHeight="1" x14ac:dyDescent="0.2">
      <c r="A154" s="60">
        <f t="shared" si="4"/>
        <v>1.0626067606056149</v>
      </c>
      <c r="B154" s="60">
        <v>1.0626067606056149</v>
      </c>
      <c r="C154" s="60">
        <v>1.0626270055634177</v>
      </c>
      <c r="D154" s="60">
        <v>1.0626607398709558</v>
      </c>
      <c r="E154" s="60">
        <v>1.0627012090115553</v>
      </c>
      <c r="F154" s="60">
        <v>1.0627281811474074</v>
      </c>
      <c r="G154" s="60">
        <v>1.0628629543023382</v>
      </c>
      <c r="H154" s="60">
        <v>1.0629975815112358</v>
      </c>
      <c r="I154" s="60">
        <v>1.0631320626767395</v>
      </c>
      <c r="J154" s="60">
        <v>1.0631992484631447</v>
      </c>
      <c r="K154" s="60">
        <v>1.0632663977027739</v>
      </c>
      <c r="L154" s="60">
        <v>1.0639358774679444</v>
      </c>
      <c r="M154" s="60">
        <v>1.0652638249347512</v>
      </c>
      <c r="N154" s="60">
        <v>1.0678754029640838</v>
      </c>
      <c r="O154" s="60">
        <v>1.0729197853326304</v>
      </c>
      <c r="P154" s="60">
        <v>1.0753521519897733</v>
      </c>
      <c r="Q154" s="60">
        <v>1.076545871279281</v>
      </c>
      <c r="R154" s="60">
        <v>1.0777246395342313</v>
      </c>
      <c r="S154" s="60">
        <v>1.0788884878388227</v>
      </c>
      <c r="T154" s="60">
        <v>1.0800374567111184</v>
      </c>
      <c r="U154" s="60">
        <v>1.0811715957293899</v>
      </c>
      <c r="V154" s="60">
        <v>1.0822909631533146</v>
      </c>
      <c r="W154" s="60">
        <v>1.0833956255415502</v>
      </c>
      <c r="X154" s="60">
        <v>1.0844856573671571</v>
      </c>
      <c r="Y154" s="60">
        <v>1.0855611406322443</v>
      </c>
      <c r="Z154" s="60">
        <v>1.0866221644831418</v>
      </c>
      <c r="AA154" s="60">
        <v>1.0876688248273287</v>
      </c>
      <c r="AB154" s="60">
        <v>1.088701223953245</v>
      </c>
      <c r="AC154" s="60">
        <v>1.0897194701540478</v>
      </c>
      <c r="AD154" s="60">
        <v>1.0907236773562803</v>
      </c>
      <c r="AE154" s="60">
        <v>1.0917139647543395</v>
      </c>
      <c r="AF154" s="60">
        <v>1.0926904564515438</v>
      </c>
      <c r="AG154" s="60">
        <v>1.0936532811085309</v>
      </c>
      <c r="AH154" s="60">
        <v>1.0946025715996177</v>
      </c>
      <c r="AI154" s="60">
        <f t="shared" si="5"/>
        <v>1.0946025715996177</v>
      </c>
      <c r="AJ154" s="13">
        <v>840</v>
      </c>
    </row>
    <row r="155" spans="1:36" ht="9.9499999999999993" customHeight="1" x14ac:dyDescent="0.2">
      <c r="A155" s="60">
        <f t="shared" si="4"/>
        <v>1.0635929630715786</v>
      </c>
      <c r="B155" s="60">
        <v>1.0635929630715786</v>
      </c>
      <c r="C155" s="60">
        <v>1.0636129216161816</v>
      </c>
      <c r="D155" s="60">
        <v>1.0636461786991944</v>
      </c>
      <c r="E155" s="60">
        <v>1.063686075386276</v>
      </c>
      <c r="F155" s="60">
        <v>1.0637126660173564</v>
      </c>
      <c r="G155" s="60">
        <v>1.0638455332205277</v>
      </c>
      <c r="H155" s="60">
        <v>1.0639782571007936</v>
      </c>
      <c r="I155" s="60">
        <v>1.0641108375648036</v>
      </c>
      <c r="J155" s="60">
        <v>1.0641770739868823</v>
      </c>
      <c r="K155" s="60">
        <v>1.0642432745204569</v>
      </c>
      <c r="L155" s="60">
        <v>1.0649033035370477</v>
      </c>
      <c r="M155" s="60">
        <v>1.0662125490247569</v>
      </c>
      <c r="N155" s="60">
        <v>1.068787533189449</v>
      </c>
      <c r="O155" s="60">
        <v>1.0737620458688906</v>
      </c>
      <c r="P155" s="60">
        <v>1.0761611686166006</v>
      </c>
      <c r="Q155" s="60">
        <v>1.0773386930225346</v>
      </c>
      <c r="R155" s="60">
        <v>1.0785015519027374</v>
      </c>
      <c r="S155" s="60">
        <v>1.0796497765548472</v>
      </c>
      <c r="T155" s="60">
        <v>1.0807834074160005</v>
      </c>
      <c r="U155" s="60">
        <v>1.0819024936995907</v>
      </c>
      <c r="V155" s="60">
        <v>1.083007093027337</v>
      </c>
      <c r="W155" s="60">
        <v>1.084097271058118</v>
      </c>
      <c r="X155" s="60">
        <v>1.0851731011149539</v>
      </c>
      <c r="Y155" s="60">
        <v>1.0862346638114446</v>
      </c>
      <c r="Z155" s="60">
        <v>1.0872820466789055</v>
      </c>
      <c r="AA155" s="60">
        <v>1.0883153437953499</v>
      </c>
      <c r="AB155" s="60">
        <v>1.0893346554174035</v>
      </c>
      <c r="AC155" s="60">
        <v>1.0903400876161444</v>
      </c>
      <c r="AD155" s="60">
        <v>1.0913317519177879</v>
      </c>
      <c r="AE155" s="60">
        <v>1.0923097649500559</v>
      </c>
      <c r="AF155" s="60">
        <v>1.093274248094992</v>
      </c>
      <c r="AG155" s="60">
        <v>1.0942253271488998</v>
      </c>
      <c r="AH155" s="60">
        <v>1.0951631319900295</v>
      </c>
      <c r="AI155" s="60">
        <f t="shared" si="5"/>
        <v>1.0951631319900295</v>
      </c>
      <c r="AJ155" s="13">
        <v>845</v>
      </c>
    </row>
    <row r="156" spans="1:36" ht="9.9499999999999993" customHeight="1" x14ac:dyDescent="0.2">
      <c r="A156" s="60">
        <f t="shared" si="4"/>
        <v>1.0645697472947031</v>
      </c>
      <c r="B156" s="60">
        <v>1.0645697472947031</v>
      </c>
      <c r="C156" s="60">
        <v>1.0645894250708576</v>
      </c>
      <c r="D156" s="60">
        <v>1.0646222143347137</v>
      </c>
      <c r="E156" s="60">
        <v>1.0646615498505068</v>
      </c>
      <c r="F156" s="60">
        <v>1.0646877664957459</v>
      </c>
      <c r="G156" s="60">
        <v>1.0648187653110828</v>
      </c>
      <c r="H156" s="60">
        <v>1.0649496233752769</v>
      </c>
      <c r="I156" s="60">
        <v>1.0650803405987834</v>
      </c>
      <c r="J156" s="60">
        <v>1.065145646367629</v>
      </c>
      <c r="K156" s="60">
        <v>1.0652109168932744</v>
      </c>
      <c r="L156" s="60">
        <v>1.0658616814238082</v>
      </c>
      <c r="M156" s="60">
        <v>1.0671525934617418</v>
      </c>
      <c r="N156" s="60">
        <v>1.0696917041966982</v>
      </c>
      <c r="O156" s="60">
        <v>1.0745977171231929</v>
      </c>
      <c r="P156" s="60">
        <v>1.076964243402581</v>
      </c>
      <c r="Q156" s="60">
        <v>1.0781258869164867</v>
      </c>
      <c r="R156" s="60">
        <v>1.0792731438293564</v>
      </c>
      <c r="S156" s="60">
        <v>1.0804060455941289</v>
      </c>
      <c r="T156" s="60">
        <v>1.0815246325208487</v>
      </c>
      <c r="U156" s="60">
        <v>1.0826289534234772</v>
      </c>
      <c r="V156" s="60">
        <v>1.0837190652624413</v>
      </c>
      <c r="W156" s="60">
        <v>1.0847950327843037</v>
      </c>
      <c r="X156" s="60">
        <v>1.0858569281598631</v>
      </c>
      <c r="Y156" s="60">
        <v>1.0869048306219284</v>
      </c>
      <c r="Z156" s="60">
        <v>1.0879388261039384</v>
      </c>
      <c r="AA156" s="60">
        <v>1.0889590068805228</v>
      </c>
      <c r="AB156" s="60">
        <v>1.0899654712110247</v>
      </c>
      <c r="AC156" s="60">
        <v>1.0909583229869297</v>
      </c>
      <c r="AD156" s="60">
        <v>1.0919376713840749</v>
      </c>
      <c r="AE156" s="60">
        <v>1.0929036305204261</v>
      </c>
      <c r="AF156" s="60">
        <v>1.0938563191201491</v>
      </c>
      <c r="AG156" s="60">
        <v>1.0947958601846173</v>
      </c>
      <c r="AH156" s="60">
        <v>1.0957223806709371</v>
      </c>
      <c r="AI156" s="60">
        <f t="shared" si="5"/>
        <v>1.0957223806709371</v>
      </c>
      <c r="AJ156" s="13">
        <v>850</v>
      </c>
    </row>
    <row r="157" spans="1:36" ht="9.9499999999999993" customHeight="1" x14ac:dyDescent="0.2">
      <c r="A157" s="60">
        <f t="shared" si="4"/>
        <v>1.0655372046607534</v>
      </c>
      <c r="B157" s="60">
        <v>1.0655372046607534</v>
      </c>
      <c r="C157" s="60">
        <v>1.0655566071707663</v>
      </c>
      <c r="D157" s="60">
        <v>1.0655889377834744</v>
      </c>
      <c r="E157" s="60">
        <v>1.0656277231254558</v>
      </c>
      <c r="F157" s="60">
        <v>1.0656535731139969</v>
      </c>
      <c r="G157" s="60">
        <v>1.0657827401570641</v>
      </c>
      <c r="H157" s="60">
        <v>1.0659117689703546</v>
      </c>
      <c r="I157" s="60">
        <v>1.0660406594679386</v>
      </c>
      <c r="J157" s="60">
        <v>1.0661050528218103</v>
      </c>
      <c r="K157" s="60">
        <v>1.0661694115650671</v>
      </c>
      <c r="L157" s="60">
        <v>1.0668110931602151</v>
      </c>
      <c r="M157" s="60">
        <v>1.0680840309344199</v>
      </c>
      <c r="N157" s="60">
        <v>1.0705879703448096</v>
      </c>
      <c r="O157" s="60">
        <v>1.0754268184732048</v>
      </c>
      <c r="P157" s="60">
        <v>1.0777613791958254</v>
      </c>
      <c r="Q157" s="60">
        <v>1.0789074478066836</v>
      </c>
      <c r="R157" s="60">
        <v>1.0800394023386368</v>
      </c>
      <c r="S157" s="60">
        <v>1.0811572743461155</v>
      </c>
      <c r="T157" s="60">
        <v>1.0822611039696675</v>
      </c>
      <c r="U157" s="60">
        <v>1.0833509395924701</v>
      </c>
      <c r="V157" s="60">
        <v>1.0844268374929815</v>
      </c>
      <c r="W157" s="60">
        <v>1.0854888614950462</v>
      </c>
      <c r="X157" s="60">
        <v>1.0865370826166914</v>
      </c>
      <c r="Y157" s="60">
        <v>1.0875715787188003</v>
      </c>
      <c r="Z157" s="60">
        <v>1.088592434154763</v>
      </c>
      <c r="AA157" s="60">
        <v>1.0895997394221555</v>
      </c>
      <c r="AB157" s="60">
        <v>1.0905935908174038</v>
      </c>
      <c r="AC157" s="60">
        <v>1.0915740900943329</v>
      </c>
      <c r="AD157" s="60">
        <v>1.0925413441274288</v>
      </c>
      <c r="AE157" s="60">
        <v>1.0934954645805541</v>
      </c>
      <c r="AF157" s="60">
        <v>1.0944365675818135</v>
      </c>
      <c r="AG157" s="60">
        <v>1.0953647734051692</v>
      </c>
      <c r="AH157" s="60">
        <v>1.0962802061593611</v>
      </c>
      <c r="AI157" s="60">
        <f t="shared" si="5"/>
        <v>1.0962802061593611</v>
      </c>
      <c r="AJ157" s="13">
        <v>855</v>
      </c>
    </row>
    <row r="158" spans="1:36" ht="9.9499999999999993" customHeight="1" x14ac:dyDescent="0.2">
      <c r="A158" s="60">
        <f t="shared" si="4"/>
        <v>1.0664954273430702</v>
      </c>
      <c r="B158" s="60">
        <v>1.0664954273430702</v>
      </c>
      <c r="C158" s="60">
        <v>1.0665145599511836</v>
      </c>
      <c r="D158" s="60">
        <v>1.0665464408506913</v>
      </c>
      <c r="E158" s="60">
        <v>1.0665846867403421</v>
      </c>
      <c r="F158" s="60">
        <v>1.0666101772173793</v>
      </c>
      <c r="G158" s="60">
        <v>1.0667375481845636</v>
      </c>
      <c r="H158" s="60">
        <v>1.0668647833939033</v>
      </c>
      <c r="I158" s="60">
        <v>1.0669918827628986</v>
      </c>
      <c r="J158" s="60">
        <v>1.0670553814818005</v>
      </c>
      <c r="K158" s="60">
        <v>1.0671188462101999</v>
      </c>
      <c r="L158" s="60">
        <v>1.0677516218543766</v>
      </c>
      <c r="M158" s="60">
        <v>1.0690069354976974</v>
      </c>
      <c r="N158" s="60">
        <v>1.0714763879326465</v>
      </c>
      <c r="O158" s="60">
        <v>1.0762493723435671</v>
      </c>
      <c r="P158" s="60">
        <v>1.0785525824175919</v>
      </c>
      <c r="Q158" s="60">
        <v>1.079683374366726</v>
      </c>
      <c r="R158" s="60">
        <v>1.0808003185322077</v>
      </c>
      <c r="S158" s="60">
        <v>1.0819034465202033</v>
      </c>
      <c r="T158" s="60">
        <v>1.0829927982628684</v>
      </c>
      <c r="U158" s="60">
        <v>1.0840684216842249</v>
      </c>
      <c r="V158" s="60">
        <v>1.0851303723625547</v>
      </c>
      <c r="W158" s="60">
        <v>1.0861787131905543</v>
      </c>
      <c r="X158" s="60">
        <v>1.0872135140344279</v>
      </c>
      <c r="Y158" s="60">
        <v>1.0882348513930349</v>
      </c>
      <c r="Z158" s="60">
        <v>1.0892428080581502</v>
      </c>
      <c r="AA158" s="60">
        <v>1.0902374727768169</v>
      </c>
      <c r="AB158" s="60">
        <v>1.0912189399167072</v>
      </c>
      <c r="AC158" s="60">
        <v>1.0921873091353484</v>
      </c>
      <c r="AD158" s="60">
        <v>1.0931426850539827</v>
      </c>
      <c r="AE158" s="60">
        <v>1.0940851769367839</v>
      </c>
      <c r="AF158" s="60">
        <v>1.0950148983760684</v>
      </c>
      <c r="AG158" s="60">
        <v>1.0959319669840872</v>
      </c>
      <c r="AH158" s="60">
        <v>1.0968365040919106</v>
      </c>
      <c r="AI158" s="60">
        <f t="shared" si="5"/>
        <v>1.0968365040919106</v>
      </c>
      <c r="AJ158" s="13">
        <v>860</v>
      </c>
    </row>
    <row r="159" spans="1:36" ht="9.9499999999999993" customHeight="1" x14ac:dyDescent="0.2">
      <c r="A159" s="60">
        <f t="shared" si="4"/>
        <v>1.0674445082122135</v>
      </c>
      <c r="B159" s="60">
        <v>1.0674445082122135</v>
      </c>
      <c r="C159" s="60">
        <v>1.0674633761488248</v>
      </c>
      <c r="D159" s="60">
        <v>1.0674948160500517</v>
      </c>
      <c r="E159" s="60">
        <v>1.067532532941297</v>
      </c>
      <c r="F159" s="60">
        <v>1.0675576708737</v>
      </c>
      <c r="G159" s="60">
        <v>1.0676832805703365</v>
      </c>
      <c r="H159" s="60">
        <v>1.0678087569325745</v>
      </c>
      <c r="I159" s="60">
        <v>1.0679340998811728</v>
      </c>
      <c r="J159" s="60">
        <v>1.0679967213009001</v>
      </c>
      <c r="K159" s="60">
        <v>1.0680593093380091</v>
      </c>
      <c r="L159" s="60">
        <v>1.0686833515896468</v>
      </c>
      <c r="M159" s="60">
        <v>1.0699213824611236</v>
      </c>
      <c r="N159" s="60">
        <v>1.0723570150660291</v>
      </c>
      <c r="O159" s="60">
        <v>1.0770654040309593</v>
      </c>
      <c r="P159" s="60">
        <v>1.0793378628671682</v>
      </c>
      <c r="Q159" s="60">
        <v>1.0804536688933493</v>
      </c>
      <c r="R159" s="60">
        <v>1.0815558873742779</v>
      </c>
      <c r="S159" s="60">
        <v>1.082644549921892</v>
      </c>
      <c r="T159" s="60">
        <v>1.0837196962243354</v>
      </c>
      <c r="U159" s="60">
        <v>1.084781373720878</v>
      </c>
      <c r="V159" s="60">
        <v>1.0858296372737093</v>
      </c>
      <c r="W159" s="60">
        <v>1.0868645488377708</v>
      </c>
      <c r="X159" s="60">
        <v>1.0878861771297605</v>
      </c>
      <c r="Y159" s="60">
        <v>1.0888945972973596</v>
      </c>
      <c r="Z159" s="60">
        <v>1.0898898905896874</v>
      </c>
      <c r="AA159" s="60">
        <v>1.0908721440299094</v>
      </c>
      <c r="AB159" s="60">
        <v>1.0918414500908775</v>
      </c>
      <c r="AC159" s="60">
        <v>1.0927979063745961</v>
      </c>
      <c r="AD159" s="60">
        <v>1.0937416152962645</v>
      </c>
      <c r="AE159" s="60">
        <v>1.0946726837735623</v>
      </c>
      <c r="AF159" s="60">
        <v>1.0955912229217906</v>
      </c>
      <c r="AG159" s="60">
        <v>1.0964973477554225</v>
      </c>
      <c r="AH159" s="60">
        <v>1.0973911768965487</v>
      </c>
      <c r="AI159" s="60">
        <f t="shared" si="5"/>
        <v>1.0973911768965487</v>
      </c>
      <c r="AJ159" s="13">
        <v>865</v>
      </c>
    </row>
    <row r="160" spans="1:36" ht="9.9499999999999993" customHeight="1" x14ac:dyDescent="0.2">
      <c r="A160" s="60">
        <f t="shared" si="4"/>
        <v>1.0683845407500954</v>
      </c>
      <c r="B160" s="60">
        <v>1.0683845407500954</v>
      </c>
      <c r="C160" s="60">
        <v>1.0684031491158257</v>
      </c>
      <c r="D160" s="60">
        <v>1.068434156517444</v>
      </c>
      <c r="E160" s="60">
        <v>1.0684713546047875</v>
      </c>
      <c r="F160" s="60">
        <v>1.068496146786525</v>
      </c>
      <c r="G160" s="60">
        <v>1.0686200291540036</v>
      </c>
      <c r="H160" s="60">
        <v>1.0687437805629854</v>
      </c>
      <c r="I160" s="60">
        <v>1.0688674009373229</v>
      </c>
      <c r="J160" s="60">
        <v>1.0689291619630017</v>
      </c>
      <c r="K160" s="60">
        <v>1.0689908902019583</v>
      </c>
      <c r="L160" s="60">
        <v>1.0696063673286886</v>
      </c>
      <c r="M160" s="60">
        <v>1.070827448282734</v>
      </c>
      <c r="N160" s="60">
        <v>1.0732299115311199</v>
      </c>
      <c r="O160" s="60">
        <v>1.077874941537345</v>
      </c>
      <c r="P160" s="60">
        <v>1.0801172335358464</v>
      </c>
      <c r="Q160" s="60">
        <v>1.0812183371110384</v>
      </c>
      <c r="R160" s="60">
        <v>1.0823061074871041</v>
      </c>
      <c r="S160" s="60">
        <v>1.083380576239332</v>
      </c>
      <c r="T160" s="60">
        <v>1.0844417827792916</v>
      </c>
      <c r="U160" s="60">
        <v>1.085489774038493</v>
      </c>
      <c r="V160" s="60">
        <v>1.0865246041492378</v>
      </c>
      <c r="W160" s="60">
        <v>1.0875463341237881</v>
      </c>
      <c r="X160" s="60">
        <v>1.0885550315329087</v>
      </c>
      <c r="Y160" s="60">
        <v>1.0895507701847942</v>
      </c>
      <c r="Z160" s="60">
        <v>1.0905336298053243</v>
      </c>
      <c r="AA160" s="60">
        <v>1.0915036957205322</v>
      </c>
      <c r="AB160" s="60">
        <v>1.0924610585421135</v>
      </c>
      <c r="AC160" s="60">
        <v>1.0934058138567377</v>
      </c>
      <c r="AD160" s="60">
        <v>1.0943380619198557</v>
      </c>
      <c r="AE160" s="60">
        <v>1.0952579073546544</v>
      </c>
      <c r="AF160" s="60">
        <v>1.0961654588567307</v>
      </c>
      <c r="AG160" s="60">
        <v>1.0970608289050026</v>
      </c>
      <c r="AH160" s="60">
        <v>1.0979441334793292</v>
      </c>
      <c r="AI160" s="60">
        <f t="shared" si="5"/>
        <v>1.0979441334793292</v>
      </c>
      <c r="AJ160" s="13">
        <v>870</v>
      </c>
    </row>
    <row r="161" spans="1:36" ht="9.9499999999999993" customHeight="1" x14ac:dyDescent="0.2">
      <c r="A161" s="60">
        <f t="shared" si="4"/>
        <v>1.0693156189684145</v>
      </c>
      <c r="B161" s="60">
        <v>1.0693156189684145</v>
      </c>
      <c r="C161" s="60">
        <v>1.0693339727380315</v>
      </c>
      <c r="D161" s="60">
        <v>1.0693645559290021</v>
      </c>
      <c r="E161" s="60">
        <v>1.0694012451553712</v>
      </c>
      <c r="F161" s="60">
        <v>1.0694256982127397</v>
      </c>
      <c r="G161" s="60">
        <v>1.0695478863546422</v>
      </c>
      <c r="H161" s="60">
        <v>1.069669945867332</v>
      </c>
      <c r="I161" s="60">
        <v>1.0697918766776016</v>
      </c>
      <c r="J161" s="60">
        <v>1.0698527937967413</v>
      </c>
      <c r="K161" s="60">
        <v>1.0699136787133037</v>
      </c>
      <c r="L161" s="60">
        <v>1.0705207548222555</v>
      </c>
      <c r="M161" s="60">
        <v>1.0717252104680428</v>
      </c>
      <c r="N161" s="60">
        <v>1.0740951386738478</v>
      </c>
      <c r="O161" s="60">
        <v>1.0786780154110231</v>
      </c>
      <c r="P161" s="60">
        <v>1.0808907104295615</v>
      </c>
      <c r="Q161" s="60">
        <v>1.0819773879857304</v>
      </c>
      <c r="R161" s="60">
        <v>1.0830509809559554</v>
      </c>
      <c r="S161" s="60">
        <v>1.0841115208397696</v>
      </c>
      <c r="T161" s="60">
        <v>1.0851590467424623</v>
      </c>
      <c r="U161" s="60">
        <v>1.0861936050671757</v>
      </c>
      <c r="V161" s="60">
        <v>1.0872152492045037</v>
      </c>
      <c r="W161" s="60">
        <v>1.0882240392206535</v>
      </c>
      <c r="X161" s="60">
        <v>1.0892200415451772</v>
      </c>
      <c r="Y161" s="60">
        <v>1.0902033286592347</v>
      </c>
      <c r="Z161" s="60">
        <v>1.0911739787852739</v>
      </c>
      <c r="AA161" s="60">
        <v>1.0921320755789816</v>
      </c>
      <c r="AB161" s="60">
        <v>1.0930777078242768</v>
      </c>
      <c r="AC161" s="60">
        <v>1.0940109691320734</v>
      </c>
      <c r="AD161" s="60">
        <v>1.0949319576434755</v>
      </c>
      <c r="AE161" s="60">
        <v>1.0958407757380126</v>
      </c>
      <c r="AF161" s="60">
        <v>1.0967375297474617</v>
      </c>
      <c r="AG161" s="60">
        <v>1.0976223296757501</v>
      </c>
      <c r="AH161" s="60">
        <v>1.0984952889253758</v>
      </c>
      <c r="AI161" s="60">
        <f t="shared" si="5"/>
        <v>1.0984952889253758</v>
      </c>
      <c r="AJ161" s="13">
        <v>875</v>
      </c>
    </row>
    <row r="162" spans="1:36" ht="9.9499999999999993" customHeight="1" x14ac:dyDescent="0.2">
      <c r="A162" s="60">
        <f t="shared" si="4"/>
        <v>1.0702378373311889</v>
      </c>
      <c r="B162" s="60">
        <v>1.0702378373311889</v>
      </c>
      <c r="C162" s="60">
        <v>1.0702559413573882</v>
      </c>
      <c r="D162" s="60">
        <v>1.070286108423266</v>
      </c>
      <c r="E162" s="60">
        <v>1.0703222984875729</v>
      </c>
      <c r="F162" s="60">
        <v>1.0703464188842393</v>
      </c>
      <c r="G162" s="60">
        <v>1.0704669450915416</v>
      </c>
      <c r="H162" s="60">
        <v>1.0705873449532157</v>
      </c>
      <c r="I162" s="60">
        <v>1.070707618398846</v>
      </c>
      <c r="J162" s="60">
        <v>1.0707677076939226</v>
      </c>
      <c r="K162" s="60">
        <v>1.0708277653590506</v>
      </c>
      <c r="L162" s="60">
        <v>1.0714266005224737</v>
      </c>
      <c r="M162" s="60">
        <v>1.072614747473952</v>
      </c>
      <c r="N162" s="60">
        <v>1.0749527592850787</v>
      </c>
      <c r="O162" s="60">
        <v>1.0794746585951083</v>
      </c>
      <c r="P162" s="60">
        <v>1.0816583123997814</v>
      </c>
      <c r="Q162" s="60">
        <v>1.0827308335471617</v>
      </c>
      <c r="R162" s="60">
        <v>1.0837905131431143</v>
      </c>
      <c r="S162" s="60">
        <v>1.0848373825754101</v>
      </c>
      <c r="T162" s="60">
        <v>1.0858714806160141</v>
      </c>
      <c r="U162" s="60">
        <v>1.0868928531213342</v>
      </c>
      <c r="V162" s="60">
        <v>1.0879015527302596</v>
      </c>
      <c r="W162" s="60">
        <v>1.0888976385609972</v>
      </c>
      <c r="X162" s="60">
        <v>1.0898811759076545</v>
      </c>
      <c r="Y162" s="60">
        <v>1.0908522359374873</v>
      </c>
      <c r="Z162" s="60">
        <v>1.0918108953896544</v>
      </c>
      <c r="AA162" s="60">
        <v>1.0927572362762816</v>
      </c>
      <c r="AB162" s="60">
        <v>1.0936913455865753</v>
      </c>
      <c r="AC162" s="60">
        <v>1.094613314994668</v>
      </c>
      <c r="AD162" s="60">
        <v>1.0955232405718323</v>
      </c>
      <c r="AE162" s="60">
        <v>1.0964212225036281</v>
      </c>
      <c r="AF162" s="60">
        <v>1.0973073648125125</v>
      </c>
      <c r="AG162" s="60">
        <v>1.0981817750863745</v>
      </c>
      <c r="AH162" s="60">
        <v>1.0990445642134086</v>
      </c>
      <c r="AI162" s="60">
        <f t="shared" si="5"/>
        <v>1.0990445642134086</v>
      </c>
      <c r="AJ162" s="13">
        <v>880</v>
      </c>
    </row>
    <row r="163" spans="1:36" ht="9.9499999999999993" customHeight="1" x14ac:dyDescent="0.2">
      <c r="A163" s="60">
        <f t="shared" si="4"/>
        <v>1.0711512906812046</v>
      </c>
      <c r="B163" s="60">
        <v>1.0711512906812046</v>
      </c>
      <c r="C163" s="60">
        <v>1.0711691496982598</v>
      </c>
      <c r="D163" s="60">
        <v>1.0711989085272728</v>
      </c>
      <c r="E163" s="60">
        <v>1.0712346088917142</v>
      </c>
      <c r="F163" s="60">
        <v>1.071258402933577</v>
      </c>
      <c r="G163" s="60">
        <v>1.0713772987089587</v>
      </c>
      <c r="H163" s="60">
        <v>1.0714960703775007</v>
      </c>
      <c r="I163" s="60">
        <v>1.0716147178714408</v>
      </c>
      <c r="J163" s="60">
        <v>1.0716739950320344</v>
      </c>
      <c r="K163" s="60">
        <v>1.0717332411240232</v>
      </c>
      <c r="L163" s="60">
        <v>1.0723239915004246</v>
      </c>
      <c r="M163" s="60">
        <v>1.0734961386173505</v>
      </c>
      <c r="N163" s="60">
        <v>1.0758028374912783</v>
      </c>
      <c r="O163" s="60">
        <v>1.0802649062830978</v>
      </c>
      <c r="P163" s="60">
        <v>1.0824200609822539</v>
      </c>
      <c r="Q163" s="60">
        <v>1.0834786887194572</v>
      </c>
      <c r="R163" s="60">
        <v>1.0845247125104887</v>
      </c>
      <c r="S163" s="60">
        <v>1.0855581635982516</v>
      </c>
      <c r="T163" s="60">
        <v>1.086579080396826</v>
      </c>
      <c r="U163" s="60">
        <v>1.0875875081996</v>
      </c>
      <c r="V163" s="60">
        <v>1.0885834988854559</v>
      </c>
      <c r="W163" s="60">
        <v>1.0895671106239688</v>
      </c>
      <c r="X163" s="60">
        <v>1.0905384075805225</v>
      </c>
      <c r="Y163" s="60">
        <v>1.0914974596222082</v>
      </c>
      <c r="Z163" s="60">
        <v>1.0924443420253134</v>
      </c>
      <c r="AA163" s="60">
        <v>1.0933791351851516</v>
      </c>
      <c r="AB163" s="60">
        <v>1.0943019243289467</v>
      </c>
      <c r="AC163" s="60">
        <v>1.0952127992324112</v>
      </c>
      <c r="AD163" s="60">
        <v>1.0961118539406227</v>
      </c>
      <c r="AE163" s="60">
        <v>1.0969991864937392</v>
      </c>
      <c r="AF163" s="60">
        <v>1.0978748986580489</v>
      </c>
      <c r="AG163" s="60">
        <v>1.0987390956627932</v>
      </c>
      <c r="AH163" s="60">
        <v>1.0995918859431626</v>
      </c>
      <c r="AI163" s="60">
        <f t="shared" si="5"/>
        <v>1.0995918859431626</v>
      </c>
      <c r="AJ163" s="13">
        <v>885</v>
      </c>
    </row>
    <row r="164" spans="1:36" ht="9.9499999999999993" customHeight="1" x14ac:dyDescent="0.2">
      <c r="A164" s="60">
        <f t="shared" si="4"/>
        <v>1.0720560741702123</v>
      </c>
      <c r="B164" s="60">
        <v>1.0720560741702123</v>
      </c>
      <c r="C164" s="60">
        <v>1.072073692797495</v>
      </c>
      <c r="D164" s="60">
        <v>1.072103051086412</v>
      </c>
      <c r="E164" s="60">
        <v>1.072138270983503</v>
      </c>
      <c r="F164" s="60">
        <v>1.0721617448233864</v>
      </c>
      <c r="G164" s="60">
        <v>1.0722790409046821</v>
      </c>
      <c r="H164" s="60">
        <v>1.0723962150740223</v>
      </c>
      <c r="I164" s="60">
        <v>1.0725132672661655</v>
      </c>
      <c r="J164" s="60">
        <v>1.0725717476006689</v>
      </c>
      <c r="K164" s="60">
        <v>1.0726301974168522</v>
      </c>
      <c r="L164" s="60">
        <v>1.0732130153678385</v>
      </c>
      <c r="M164" s="60">
        <v>1.0743694639881978</v>
      </c>
      <c r="N164" s="60">
        <v>1.0766454386504138</v>
      </c>
      <c r="O164" s="60">
        <v>1.0810487957811938</v>
      </c>
      <c r="P164" s="60">
        <v>1.0831759802432526</v>
      </c>
      <c r="Q164" s="60">
        <v>1.0842209711595692</v>
      </c>
      <c r="R164" s="60">
        <v>1.0852535904504252</v>
      </c>
      <c r="S164" s="60">
        <v>1.086273869183461</v>
      </c>
      <c r="T164" s="60">
        <v>1.0872818453926296</v>
      </c>
      <c r="U164" s="60">
        <v>1.0882775637939499</v>
      </c>
      <c r="V164" s="60">
        <v>1.0892610754995611</v>
      </c>
      <c r="W164" s="60">
        <v>1.0902324377309847</v>
      </c>
      <c r="X164" s="60">
        <v>1.091191713532468</v>
      </c>
      <c r="Y164" s="60">
        <v>1.0921389714852172</v>
      </c>
      <c r="Z164" s="60">
        <v>1.0930742854232902</v>
      </c>
      <c r="AA164" s="60">
        <v>1.093997734151867</v>
      </c>
      <c r="AB164" s="60">
        <v>1.0949094011685672</v>
      </c>
      <c r="AC164" s="60">
        <v>1.095809374388425</v>
      </c>
      <c r="AD164" s="60">
        <v>1.0966977458730958</v>
      </c>
      <c r="AE164" s="60">
        <v>1.097574611564804</v>
      </c>
      <c r="AF164" s="60">
        <v>1.0984400710255036</v>
      </c>
      <c r="AG164" s="60">
        <v>1.0992942271816675</v>
      </c>
      <c r="AH164" s="60">
        <v>1.1001371860750817</v>
      </c>
      <c r="AI164" s="60">
        <f t="shared" si="5"/>
        <v>1.1001371860750817</v>
      </c>
      <c r="AJ164" s="13">
        <v>890</v>
      </c>
    </row>
    <row r="165" spans="1:36" ht="9.9499999999999993" customHeight="1" x14ac:dyDescent="0.2">
      <c r="A165" s="60">
        <f t="shared" si="4"/>
        <v>1.0729522831926812</v>
      </c>
      <c r="B165" s="60">
        <v>1.0729522831926812</v>
      </c>
      <c r="C165" s="60">
        <v>1.072969665938057</v>
      </c>
      <c r="D165" s="60">
        <v>1.0729986311978468</v>
      </c>
      <c r="E165" s="60">
        <v>1.0730333796372171</v>
      </c>
      <c r="F165" s="60">
        <v>1.0730565392793967</v>
      </c>
      <c r="G165" s="60">
        <v>1.0731722656622242</v>
      </c>
      <c r="H165" s="60">
        <v>1.0732878722849539</v>
      </c>
      <c r="I165" s="60">
        <v>1.0734033590847414</v>
      </c>
      <c r="J165" s="60">
        <v>1.0734610575316539</v>
      </c>
      <c r="K165" s="60">
        <v>1.0735187259996979</v>
      </c>
      <c r="L165" s="60">
        <v>1.0740937602026916</v>
      </c>
      <c r="M165" s="60">
        <v>1.0752348043668694</v>
      </c>
      <c r="N165" s="60">
        <v>1.0774806292528412</v>
      </c>
      <c r="O165" s="60">
        <v>1.081826366377056</v>
      </c>
      <c r="P165" s="60">
        <v>1.0839260966329434</v>
      </c>
      <c r="Q165" s="60">
        <v>1.0849577011031826</v>
      </c>
      <c r="R165" s="60">
        <v>1.0859771611243239</v>
      </c>
      <c r="S165" s="60">
        <v>1.0869845075608791</v>
      </c>
      <c r="T165" s="60">
        <v>1.0879797780465965</v>
      </c>
      <c r="U165" s="60">
        <v>1.0889630167075768</v>
      </c>
      <c r="V165" s="60">
        <v>1.0899342738839262</v>
      </c>
      <c r="W165" s="60">
        <v>1.0908936058508047</v>
      </c>
      <c r="X165" s="60">
        <v>1.0918410745396971</v>
      </c>
      <c r="Y165" s="60">
        <v>1.0927767472606771</v>
      </c>
      <c r="Z165" s="60">
        <v>1.093700696426396</v>
      </c>
      <c r="AA165" s="60">
        <v>1.0946129992784761</v>
      </c>
      <c r="AB165" s="60">
        <v>1.0955137376169402</v>
      </c>
      <c r="AC165" s="60">
        <v>1.0964029975332688</v>
      </c>
      <c r="AD165" s="60">
        <v>1.097280869147611</v>
      </c>
      <c r="AE165" s="60">
        <v>1.0981474463506515</v>
      </c>
      <c r="AF165" s="60">
        <v>1.0990028265505649</v>
      </c>
      <c r="AG165" s="60">
        <v>1.0998471104254632</v>
      </c>
      <c r="AH165" s="60">
        <v>1.1006804016816842</v>
      </c>
      <c r="AI165" s="60">
        <f t="shared" si="5"/>
        <v>1.1006804016816842</v>
      </c>
      <c r="AJ165" s="13">
        <v>895</v>
      </c>
    </row>
    <row r="166" spans="1:36" ht="9.9499999999999993" customHeight="1" x14ac:dyDescent="0.2">
      <c r="A166" s="60">
        <f t="shared" si="4"/>
        <v>1.0738400133229709</v>
      </c>
      <c r="B166" s="60">
        <v>1.0738400133229709</v>
      </c>
      <c r="C166" s="60">
        <v>1.0738571645860786</v>
      </c>
      <c r="D166" s="60">
        <v>1.0738857441473748</v>
      </c>
      <c r="E166" s="60">
        <v>1.0739200299223204</v>
      </c>
      <c r="F166" s="60">
        <v>1.073942881226893</v>
      </c>
      <c r="G166" s="60">
        <v>1.0740570671864926</v>
      </c>
      <c r="H166" s="60">
        <v>1.0741711354956907</v>
      </c>
      <c r="I166" s="60">
        <v>1.074285086093921</v>
      </c>
      <c r="J166" s="60">
        <v>1.0743420172327514</v>
      </c>
      <c r="K166" s="60">
        <v>1.0743989189215499</v>
      </c>
      <c r="L166" s="60">
        <v>1.074966314478554</v>
      </c>
      <c r="M166" s="60">
        <v>1.0760922411455889</v>
      </c>
      <c r="N166" s="60">
        <v>1.0783084768269668</v>
      </c>
      <c r="O166" s="60">
        <v>1.0825976592146889</v>
      </c>
      <c r="P166" s="60">
        <v>1.0846704388455617</v>
      </c>
      <c r="Q166" s="60">
        <v>1.0856889012177542</v>
      </c>
      <c r="R166" s="60">
        <v>1.0866954413086962</v>
      </c>
      <c r="S166" s="60">
        <v>1.0876900897542778</v>
      </c>
      <c r="T166" s="60">
        <v>1.0886728837699782</v>
      </c>
      <c r="U166" s="60">
        <v>1.089643866881103</v>
      </c>
      <c r="V166" s="60">
        <v>1.0906030886517779</v>
      </c>
      <c r="W166" s="60">
        <v>1.0915506044135106</v>
      </c>
      <c r="X166" s="60">
        <v>1.092486474994109</v>
      </c>
      <c r="Y166" s="60">
        <v>1.0934107664476851</v>
      </c>
      <c r="Z166" s="60">
        <v>1.0943235497864419</v>
      </c>
      <c r="AA166" s="60">
        <v>1.0952249007148878</v>
      </c>
      <c r="AB166" s="60">
        <v>1.0961148993670771</v>
      </c>
      <c r="AC166" s="60">
        <v>1.0969936300474357</v>
      </c>
      <c r="AD166" s="60">
        <v>1.0978611809756815</v>
      </c>
      <c r="AE166" s="60">
        <v>1.0987176440362991</v>
      </c>
      <c r="AF166" s="60">
        <v>1.0995631145329923</v>
      </c>
      <c r="AG166" s="60">
        <v>1.1003976909484938</v>
      </c>
      <c r="AH166" s="60">
        <v>1.1012214747100579</v>
      </c>
      <c r="AI166" s="60">
        <f t="shared" si="5"/>
        <v>1.1012214747100579</v>
      </c>
      <c r="AJ166" s="13">
        <v>900</v>
      </c>
    </row>
    <row r="167" spans="1:36" ht="9.9499999999999993" customHeight="1" x14ac:dyDescent="0.2">
      <c r="A167" s="60">
        <f t="shared" si="4"/>
        <v>1.0747193602557468</v>
      </c>
      <c r="B167" s="60">
        <v>1.0747193602557468</v>
      </c>
      <c r="C167" s="60">
        <v>1.0747362843311625</v>
      </c>
      <c r="D167" s="60">
        <v>1.0747644853495371</v>
      </c>
      <c r="E167" s="60">
        <v>1.0747983170433499</v>
      </c>
      <c r="F167" s="60">
        <v>1.0748208657304512</v>
      </c>
      <c r="G167" s="60">
        <v>1.0749335398427666</v>
      </c>
      <c r="H167" s="60">
        <v>1.0750460983730667</v>
      </c>
      <c r="I167" s="60">
        <v>1.0751585412629516</v>
      </c>
      <c r="J167" s="60">
        <v>1.0752147193247374</v>
      </c>
      <c r="K167" s="60">
        <v>1.0752708684549313</v>
      </c>
      <c r="L167" s="60">
        <v>1.0758307669974958</v>
      </c>
      <c r="M167" s="60">
        <v>1.0769418562537469</v>
      </c>
      <c r="N167" s="60">
        <v>1.0791290498494452</v>
      </c>
      <c r="O167" s="60">
        <v>1.0833627171751812</v>
      </c>
      <c r="P167" s="60">
        <v>1.0854090376860608</v>
      </c>
      <c r="Q167" s="60">
        <v>1.0864145964623284</v>
      </c>
      <c r="R167" s="60">
        <v>1.0874084502483095</v>
      </c>
      <c r="S167" s="60">
        <v>1.0883906294279946</v>
      </c>
      <c r="T167" s="60">
        <v>1.0893611707824076</v>
      </c>
      <c r="U167" s="60">
        <v>1.0903201172267358</v>
      </c>
      <c r="V167" s="60">
        <v>1.0912675175464139</v>
      </c>
      <c r="W167" s="60">
        <v>1.0922034261329421</v>
      </c>
      <c r="X167" s="60">
        <v>1.0931279027201783</v>
      </c>
      <c r="Y167" s="60">
        <v>1.0940410121218067</v>
      </c>
      <c r="Z167" s="60">
        <v>1.0949428239706376</v>
      </c>
      <c r="AA167" s="60">
        <v>1.0958334124603526</v>
      </c>
      <c r="AB167" s="60">
        <v>1.096712856090267</v>
      </c>
      <c r="AC167" s="60">
        <v>1.0975812374136353</v>
      </c>
      <c r="AD167" s="60">
        <v>1.0984386427899833</v>
      </c>
      <c r="AE167" s="60">
        <v>1.099285162141906</v>
      </c>
      <c r="AF167" s="60">
        <v>1.1001208887167324</v>
      </c>
      <c r="AG167" s="60">
        <v>1.100945918853413</v>
      </c>
      <c r="AH167" s="60">
        <v>1.1017603517549415</v>
      </c>
      <c r="AI167" s="60">
        <f t="shared" si="5"/>
        <v>1.1017603517549415</v>
      </c>
      <c r="AJ167" s="13">
        <v>905</v>
      </c>
    </row>
    <row r="168" spans="1:36" ht="9.9499999999999993" customHeight="1" x14ac:dyDescent="0.2">
      <c r="A168" s="60">
        <f t="shared" si="4"/>
        <v>1.0755904197494959</v>
      </c>
      <c r="B168" s="60">
        <v>1.0755904197494959</v>
      </c>
      <c r="C168" s="60">
        <v>1.0756071208297902</v>
      </c>
      <c r="D168" s="60">
        <v>1.0756349502908449</v>
      </c>
      <c r="E168" s="60">
        <v>1.0756683362829209</v>
      </c>
      <c r="F168" s="60">
        <v>1.0756905879367988</v>
      </c>
      <c r="G168" s="60">
        <v>1.0758017780988296</v>
      </c>
      <c r="H168" s="60">
        <v>1.07591285470676</v>
      </c>
      <c r="I168" s="60">
        <v>1.0760238177042496</v>
      </c>
      <c r="J168" s="60">
        <v>1.0760792565817152</v>
      </c>
      <c r="K168" s="60">
        <v>1.0761346670358451</v>
      </c>
      <c r="L168" s="60">
        <v>1.0766872068263986</v>
      </c>
      <c r="M168" s="60">
        <v>1.0777837320869275</v>
      </c>
      <c r="N168" s="60">
        <v>1.0799424176597123</v>
      </c>
      <c r="O168" s="60">
        <v>1.0841215847630106</v>
      </c>
      <c r="P168" s="60">
        <v>1.0861419259429348</v>
      </c>
      <c r="Q168" s="60">
        <v>1.0871348139538197</v>
      </c>
      <c r="R168" s="60">
        <v>1.0881162095160799</v>
      </c>
      <c r="S168" s="60">
        <v>1.0890861427405945</v>
      </c>
      <c r="T168" s="60">
        <v>1.0900446499594991</v>
      </c>
      <c r="U168" s="60">
        <v>1.0909917734699806</v>
      </c>
      <c r="V168" s="60">
        <v>1.0919275612772164</v>
      </c>
      <c r="W168" s="60">
        <v>1.092852066837197</v>
      </c>
      <c r="X168" s="60">
        <v>1.0937653488001362</v>
      </c>
      <c r="Y168" s="60">
        <v>1.094667470755136</v>
      </c>
      <c r="Z168" s="60">
        <v>1.095558500976729</v>
      </c>
      <c r="AA168" s="60">
        <v>1.0964385121738791</v>
      </c>
      <c r="AB168" s="60">
        <v>1.0973075812419872</v>
      </c>
      <c r="AC168" s="60">
        <v>1.0981657890183965</v>
      </c>
      <c r="AD168" s="60">
        <v>1.0990132200418612</v>
      </c>
      <c r="AE168" s="60">
        <v>1.0998499623163898</v>
      </c>
      <c r="AF168" s="60">
        <v>1.1006761070798492</v>
      </c>
      <c r="AG168" s="60">
        <v>1.1014917485776601</v>
      </c>
      <c r="AH168" s="60">
        <v>1.1022969838418881</v>
      </c>
      <c r="AI168" s="60">
        <f t="shared" si="5"/>
        <v>1.1022969838418881</v>
      </c>
      <c r="AJ168" s="13">
        <v>910</v>
      </c>
    </row>
    <row r="169" spans="1:36" ht="9.9499999999999993" customHeight="1" x14ac:dyDescent="0.2">
      <c r="A169" s="60">
        <f t="shared" si="4"/>
        <v>1.0764532875730024</v>
      </c>
      <c r="B169" s="60">
        <v>1.0764532875730024</v>
      </c>
      <c r="C169" s="60">
        <v>1.076469769751689</v>
      </c>
      <c r="D169" s="60">
        <v>1.0764972344759736</v>
      </c>
      <c r="E169" s="60">
        <v>1.0765301829477147</v>
      </c>
      <c r="F169" s="60">
        <v>1.0765521430206604</v>
      </c>
      <c r="G169" s="60">
        <v>1.0766618764701197</v>
      </c>
      <c r="H169" s="60">
        <v>1.076771498353744</v>
      </c>
      <c r="I169" s="60">
        <v>1.0768810086171527</v>
      </c>
      <c r="J169" s="60">
        <v>1.0769357218745186</v>
      </c>
      <c r="K169" s="60">
        <v>1.0769904072068295</v>
      </c>
      <c r="L169" s="60">
        <v>1.0775357232365081</v>
      </c>
      <c r="M169" s="60">
        <v>1.0786179514394747</v>
      </c>
      <c r="N169" s="60">
        <v>1.0807486503786521</v>
      </c>
      <c r="O169" s="60">
        <v>1.0848743079976664</v>
      </c>
      <c r="P169" s="60">
        <v>1.0868691382669267</v>
      </c>
      <c r="Q169" s="60">
        <v>1.0878495828394603</v>
      </c>
      <c r="R169" s="60">
        <v>1.0888187428793985</v>
      </c>
      <c r="S169" s="60">
        <v>1.0897766482052325</v>
      </c>
      <c r="T169" s="60">
        <v>1.0907233346874066</v>
      </c>
      <c r="U169" s="60">
        <v>1.0916588439985646</v>
      </c>
      <c r="V169" s="60">
        <v>1.0925832233631132</v>
      </c>
      <c r="W169" s="60">
        <v>1.0934965253068119</v>
      </c>
      <c r="X169" s="60">
        <v>1.0943988074070541</v>
      </c>
      <c r="Y169" s="60">
        <v>1.0952901320444719</v>
      </c>
      <c r="Z169" s="60">
        <v>1.096170566156462</v>
      </c>
      <c r="AA169" s="60">
        <v>1.0970401809931796</v>
      </c>
      <c r="AB169" s="60">
        <v>1.0978990518765188</v>
      </c>
      <c r="AC169" s="60">
        <v>1.0987472579625561</v>
      </c>
      <c r="AD169" s="60">
        <v>1.099584882007884</v>
      </c>
      <c r="AE169" s="60">
        <v>1.1004120101402428</v>
      </c>
      <c r="AF169" s="60">
        <v>1.1012287316337981</v>
      </c>
      <c r="AG169" s="60">
        <v>1.1020351386893912</v>
      </c>
      <c r="AH169" s="60">
        <v>1.1028313262200444</v>
      </c>
      <c r="AI169" s="60">
        <f t="shared" si="5"/>
        <v>1.1028313262200444</v>
      </c>
      <c r="AJ169" s="13">
        <v>915</v>
      </c>
    </row>
    <row r="170" spans="1:36" ht="9.9499999999999993" customHeight="1" x14ac:dyDescent="0.2">
      <c r="A170" s="60">
        <f t="shared" si="4"/>
        <v>1.0773080594546398</v>
      </c>
      <c r="B170" s="60">
        <v>1.0773080594546398</v>
      </c>
      <c r="C170" s="60">
        <v>1.0773243267290278</v>
      </c>
      <c r="D170" s="60">
        <v>1.07735143337679</v>
      </c>
      <c r="E170" s="60">
        <v>1.0773839523173012</v>
      </c>
      <c r="F170" s="60">
        <v>1.0774056261334484</v>
      </c>
      <c r="G170" s="60">
        <v>1.0775139294677449</v>
      </c>
      <c r="H170" s="60">
        <v>1.0776221231856329</v>
      </c>
      <c r="I170" s="60">
        <v>1.077730207234596</v>
      </c>
      <c r="J170" s="60">
        <v>1.0777842081170494</v>
      </c>
      <c r="K170" s="60">
        <v>1.0778381815629601</v>
      </c>
      <c r="L170" s="60">
        <v>1.0783764056460854</v>
      </c>
      <c r="M170" s="60">
        <v>1.0794445974404354</v>
      </c>
      <c r="N170" s="60">
        <v>1.0815478188312029</v>
      </c>
      <c r="O170" s="60">
        <v>1.0856209343103329</v>
      </c>
      <c r="P170" s="60">
        <v>1.0875907110553407</v>
      </c>
      <c r="Q170" s="60">
        <v>1.0885589341751127</v>
      </c>
      <c r="R170" s="60">
        <v>1.0895160761725873</v>
      </c>
      <c r="S170" s="60">
        <v>1.0904621665563961</v>
      </c>
      <c r="T170" s="60">
        <v>1.0913972407240091</v>
      </c>
      <c r="U170" s="60">
        <v>1.0923213397182232</v>
      </c>
      <c r="V170" s="60">
        <v>1.0932345099831333</v>
      </c>
      <c r="W170" s="60">
        <v>1.094136803120259</v>
      </c>
      <c r="X170" s="60">
        <v>1.0950282756454575</v>
      </c>
      <c r="Y170" s="60">
        <v>1.0959089887472284</v>
      </c>
      <c r="Z170" s="60">
        <v>1.0967790080469717</v>
      </c>
      <c r="AA170" s="60">
        <v>1.0976384033617215</v>
      </c>
      <c r="AB170" s="60">
        <v>1.0984872484698522</v>
      </c>
      <c r="AC170" s="60">
        <v>1.0993256208801991</v>
      </c>
      <c r="AD170" s="60">
        <v>1.1001536016050117</v>
      </c>
      <c r="AE170" s="60">
        <v>1.1009712749371128</v>
      </c>
      <c r="AF170" s="60">
        <v>1.1017787282316078</v>
      </c>
      <c r="AG170" s="60">
        <v>1.102576051692441</v>
      </c>
      <c r="AH170" s="60">
        <v>1.1033633381640771</v>
      </c>
      <c r="AI170" s="60">
        <f t="shared" si="5"/>
        <v>1.1033633381640771</v>
      </c>
      <c r="AJ170" s="13">
        <v>920</v>
      </c>
    </row>
    <row r="171" spans="1:36" ht="9.9499999999999993" customHeight="1" x14ac:dyDescent="0.2">
      <c r="A171" s="60">
        <f t="shared" si="4"/>
        <v>1.0781548310343518</v>
      </c>
      <c r="B171" s="60">
        <v>1.0781548310343518</v>
      </c>
      <c r="C171" s="60">
        <v>1.0781708873082982</v>
      </c>
      <c r="D171" s="60">
        <v>1.0781976423840731</v>
      </c>
      <c r="E171" s="60">
        <v>1.0782297395956679</v>
      </c>
      <c r="F171" s="60">
        <v>1.0782511323546631</v>
      </c>
      <c r="G171" s="60">
        <v>1.0783580315492409</v>
      </c>
      <c r="H171" s="60">
        <v>1.0784648230387941</v>
      </c>
      <c r="I171" s="60">
        <v>1.0785715067725785</v>
      </c>
      <c r="J171" s="60">
        <v>1.0786248082154248</v>
      </c>
      <c r="K171" s="60">
        <v>1.078678082700673</v>
      </c>
      <c r="L171" s="60">
        <v>1.0792093435660048</v>
      </c>
      <c r="M171" s="60">
        <v>1.0802637534927193</v>
      </c>
      <c r="N171" s="60">
        <v>1.0823399944727212</v>
      </c>
      <c r="O171" s="60">
        <v>1.0863615124454034</v>
      </c>
      <c r="P171" s="60">
        <v>1.0883066823417018</v>
      </c>
      <c r="Q171" s="60">
        <v>1.0892629008091848</v>
      </c>
      <c r="R171" s="60">
        <v>1.0902082371751973</v>
      </c>
      <c r="S171" s="60">
        <v>1.0911427206227289</v>
      </c>
      <c r="T171" s="60">
        <v>1.0920663860664053</v>
      </c>
      <c r="U171" s="60">
        <v>1.092979273915023</v>
      </c>
      <c r="V171" s="60">
        <v>1.0938814298337185</v>
      </c>
      <c r="W171" s="60">
        <v>1.0947729045064087</v>
      </c>
      <c r="X171" s="60">
        <v>1.0956537533991109</v>
      </c>
      <c r="Y171" s="60">
        <v>1.0965240365247131</v>
      </c>
      <c r="Z171" s="60">
        <v>1.0973838182097251</v>
      </c>
      <c r="AA171" s="60">
        <v>1.0982331668635146</v>
      </c>
      <c r="AB171" s="60">
        <v>1.0990721547504911</v>
      </c>
      <c r="AC171" s="60">
        <v>1.099900857765665</v>
      </c>
      <c r="AD171" s="60">
        <v>1.1007193552139742</v>
      </c>
      <c r="AE171" s="60">
        <v>1.1015277295937353</v>
      </c>
      <c r="AF171" s="60">
        <v>1.1023260663845409</v>
      </c>
      <c r="AG171" s="60">
        <v>1.1031144538398925</v>
      </c>
      <c r="AH171" s="60">
        <v>1.1038929827848247</v>
      </c>
      <c r="AI171" s="60">
        <f t="shared" si="5"/>
        <v>1.1038929827848247</v>
      </c>
      <c r="AJ171" s="13">
        <v>925</v>
      </c>
    </row>
    <row r="172" spans="1:36" ht="9.9499999999999993" customHeight="1" x14ac:dyDescent="0.2">
      <c r="A172" s="60">
        <f t="shared" si="4"/>
        <v>1.0789936978181984</v>
      </c>
      <c r="B172" s="60">
        <v>1.0789936978181984</v>
      </c>
      <c r="C172" s="60">
        <v>1.0790095469047698</v>
      </c>
      <c r="D172" s="60">
        <v>1.079035956761812</v>
      </c>
      <c r="E172" s="60">
        <v>1.0790676398653334</v>
      </c>
      <c r="F172" s="60">
        <v>1.0790887566458802</v>
      </c>
      <c r="G172" s="60">
        <v>1.0791942770719403</v>
      </c>
      <c r="H172" s="60">
        <v>1.0792996916670974</v>
      </c>
      <c r="I172" s="60">
        <v>1.0794050003822937</v>
      </c>
      <c r="J172" s="60">
        <v>1.0794576150197963</v>
      </c>
      <c r="K172" s="60">
        <v>1.0795102031692765</v>
      </c>
      <c r="L172" s="60">
        <v>1.0800346265481682</v>
      </c>
      <c r="M172" s="60">
        <v>1.0810755032153267</v>
      </c>
      <c r="N172" s="60">
        <v>1.0831252493189321</v>
      </c>
      <c r="O172" s="60">
        <v>1.0870960923665958</v>
      </c>
      <c r="P172" s="60">
        <v>1.0890170916905089</v>
      </c>
      <c r="Q172" s="60">
        <v>1.0899615172718748</v>
      </c>
      <c r="R172" s="60">
        <v>1.0908952554958771</v>
      </c>
      <c r="S172" s="60">
        <v>1.0918183352056536</v>
      </c>
      <c r="T172" s="60">
        <v>1.0927307908244339</v>
      </c>
      <c r="U172" s="60">
        <v>1.0936326621239267</v>
      </c>
      <c r="V172" s="60">
        <v>1.0945239939924822</v>
      </c>
      <c r="W172" s="60">
        <v>1.095404836203641</v>
      </c>
      <c r="X172" s="60">
        <v>1.0962752431856402</v>
      </c>
      <c r="Y172" s="60">
        <v>1.0971352737924243</v>
      </c>
      <c r="Z172" s="60">
        <v>1.0979849910766639</v>
      </c>
      <c r="AA172" s="60">
        <v>1.0988244620652623</v>
      </c>
      <c r="AB172" s="60">
        <v>1.0996537575377852</v>
      </c>
      <c r="AC172" s="60">
        <v>1.1004729518082259</v>
      </c>
      <c r="AD172" s="60">
        <v>1.1012821225104734</v>
      </c>
      <c r="AE172" s="60">
        <v>1.1020813503878246</v>
      </c>
      <c r="AF172" s="60">
        <v>1.1028707190868452</v>
      </c>
      <c r="AG172" s="60">
        <v>1.1036503149558528</v>
      </c>
      <c r="AH172" s="60">
        <v>1.1044202268482659</v>
      </c>
      <c r="AI172" s="60">
        <f t="shared" si="5"/>
        <v>1.1044202268482659</v>
      </c>
      <c r="AJ172" s="13">
        <v>930</v>
      </c>
    </row>
    <row r="173" spans="1:36" ht="9.9499999999999993" customHeight="1" x14ac:dyDescent="0.2">
      <c r="A173" s="60">
        <f t="shared" si="4"/>
        <v>1.0798247551353408</v>
      </c>
      <c r="B173" s="60">
        <v>1.0798247551353408</v>
      </c>
      <c r="C173" s="60">
        <v>1.0798404007593845</v>
      </c>
      <c r="D173" s="60">
        <v>1.0798664716039548</v>
      </c>
      <c r="E173" s="60">
        <v>1.0798977480439151</v>
      </c>
      <c r="F173" s="60">
        <v>1.0799185938072025</v>
      </c>
      <c r="G173" s="60">
        <v>1.0800227602488266</v>
      </c>
      <c r="H173" s="60">
        <v>1.0801268226971741</v>
      </c>
      <c r="I173" s="60">
        <v>1.0802307811047935</v>
      </c>
      <c r="J173" s="60">
        <v>1.0802827212787163</v>
      </c>
      <c r="K173" s="60">
        <v>1.0803346354250185</v>
      </c>
      <c r="L173" s="60">
        <v>1.0808523441365994</v>
      </c>
      <c r="M173" s="60">
        <v>1.0818799303885065</v>
      </c>
      <c r="N173" s="60">
        <v>1.0839036558792943</v>
      </c>
      <c r="O173" s="60">
        <v>1.0878247251674589</v>
      </c>
      <c r="P173" s="60">
        <v>1.089721980096847</v>
      </c>
      <c r="Q173" s="60">
        <v>1.0906548196695021</v>
      </c>
      <c r="R173" s="60">
        <v>1.0915771624615422</v>
      </c>
      <c r="S173" s="60">
        <v>1.0924890369635152</v>
      </c>
      <c r="T173" s="60">
        <v>1.0933904770999252</v>
      </c>
      <c r="U173" s="60">
        <v>1.0942815220032893</v>
      </c>
      <c r="V173" s="60">
        <v>1.0951622157881009</v>
      </c>
      <c r="W173" s="60">
        <v>1.0960326073252817</v>
      </c>
      <c r="X173" s="60">
        <v>1.0968927500176664</v>
      </c>
      <c r="Y173" s="60">
        <v>1.0977427015770391</v>
      </c>
      <c r="Z173" s="60">
        <v>1.0985825238032032</v>
      </c>
      <c r="AA173" s="60">
        <v>1.0994122823655337</v>
      </c>
      <c r="AB173" s="60">
        <v>1.1002320465874353</v>
      </c>
      <c r="AC173" s="60">
        <v>1.101041889234089</v>
      </c>
      <c r="AD173" s="60">
        <v>1.1018418863038391</v>
      </c>
      <c r="AE173" s="60">
        <v>1.1026321168235493</v>
      </c>
      <c r="AF173" s="60">
        <v>1.1034126626482075</v>
      </c>
      <c r="AG173" s="60">
        <v>1.1041836082650462</v>
      </c>
      <c r="AH173" s="60">
        <v>1.1049450406024079</v>
      </c>
      <c r="AI173" s="60">
        <f t="shared" si="5"/>
        <v>1.1049450406024079</v>
      </c>
      <c r="AJ173" s="13">
        <v>935</v>
      </c>
    </row>
    <row r="174" spans="1:36" ht="9.9499999999999993" customHeight="1" x14ac:dyDescent="0.2">
      <c r="A174" s="60">
        <f t="shared" si="4"/>
        <v>1.0806480980973581</v>
      </c>
      <c r="B174" s="60">
        <v>1.0806480980973581</v>
      </c>
      <c r="C174" s="60">
        <v>1.0806635438979872</v>
      </c>
      <c r="D174" s="60">
        <v>1.0806892817934948</v>
      </c>
      <c r="E174" s="60">
        <v>1.0807201588430455</v>
      </c>
      <c r="F174" s="60">
        <v>1.0807407384360581</v>
      </c>
      <c r="G174" s="60">
        <v>1.0808435751067624</v>
      </c>
      <c r="H174" s="60">
        <v>1.0809463095860747</v>
      </c>
      <c r="I174" s="60">
        <v>1.0810489418280727</v>
      </c>
      <c r="J174" s="60">
        <v>1.0811002195959374</v>
      </c>
      <c r="K174" s="60">
        <v>1.0811514717875992</v>
      </c>
      <c r="L174" s="60">
        <v>1.0816625858210966</v>
      </c>
      <c r="M174" s="60">
        <v>1.0826771189016979</v>
      </c>
      <c r="N174" s="60">
        <v>1.0846752870936247</v>
      </c>
      <c r="O174" s="60">
        <v>1.088547462986059</v>
      </c>
      <c r="P174" s="60">
        <v>1.0904213898906276</v>
      </c>
      <c r="Q174" s="60">
        <v>1.0913428455836878</v>
      </c>
      <c r="R174" s="60">
        <v>1.0922539910116134</v>
      </c>
      <c r="S174" s="60">
        <v>1.0931548543009941</v>
      </c>
      <c r="T174" s="60">
        <v>1.0940454688714196</v>
      </c>
      <c r="U174" s="60">
        <v>1.0949258732150229</v>
      </c>
      <c r="V174" s="60">
        <v>1.095796110676061</v>
      </c>
      <c r="W174" s="60">
        <v>1.0966562292310742</v>
      </c>
      <c r="X174" s="60">
        <v>1.0975062812701499</v>
      </c>
      <c r="Y174" s="60">
        <v>1.0983463233797797</v>
      </c>
      <c r="Z174" s="60">
        <v>1.0991764161277688</v>
      </c>
      <c r="AA174" s="60">
        <v>1.0999966238506262</v>
      </c>
      <c r="AB174" s="60">
        <v>1.1008070144438356</v>
      </c>
      <c r="AC174" s="60">
        <v>1.1016076591553705</v>
      </c>
      <c r="AD174" s="60">
        <v>1.1023986323827939</v>
      </c>
      <c r="AE174" s="60">
        <v>1.1031800114742383</v>
      </c>
      <c r="AF174" s="60">
        <v>1.1039518765335545</v>
      </c>
      <c r="AG174" s="60">
        <v>1.1047143102298638</v>
      </c>
      <c r="AH174" s="60">
        <v>1.1054673976117353</v>
      </c>
      <c r="AI174" s="60">
        <f t="shared" si="5"/>
        <v>1.1054673976117353</v>
      </c>
      <c r="AJ174" s="13">
        <v>940</v>
      </c>
    </row>
    <row r="175" spans="1:36" ht="9.9499999999999993" customHeight="1" x14ac:dyDescent="0.2">
      <c r="A175" s="60">
        <f t="shared" si="4"/>
        <v>1.0814638215597796</v>
      </c>
      <c r="B175" s="60">
        <v>1.0814638215597796</v>
      </c>
      <c r="C175" s="60">
        <v>1.0814790710927775</v>
      </c>
      <c r="D175" s="60">
        <v>1.0815044819637833</v>
      </c>
      <c r="E175" s="60">
        <v>1.0815349667295191</v>
      </c>
      <c r="F175" s="60">
        <v>1.0815552848882417</v>
      </c>
      <c r="G175" s="60">
        <v>1.0816568154469786</v>
      </c>
      <c r="H175" s="60">
        <v>1.0817582455812056</v>
      </c>
      <c r="I175" s="60">
        <v>1.0818595752464562</v>
      </c>
      <c r="J175" s="60">
        <v>1.0819102023895237</v>
      </c>
      <c r="K175" s="60">
        <v>1.0819608043990105</v>
      </c>
      <c r="L175" s="60">
        <v>1.0824654409933225</v>
      </c>
      <c r="M175" s="60">
        <v>1.0834671527041413</v>
      </c>
      <c r="N175" s="60">
        <v>1.0854402162718322</v>
      </c>
      <c r="O175" s="60">
        <v>1.0892643589236632</v>
      </c>
      <c r="P175" s="60">
        <v>1.0911153646452476</v>
      </c>
      <c r="Q175" s="60">
        <v>1.0920256339751564</v>
      </c>
      <c r="R175" s="60">
        <v>1.0929257755970725</v>
      </c>
      <c r="S175" s="60">
        <v>1.0938158172635415</v>
      </c>
      <c r="T175" s="60">
        <v>1.0946957918841045</v>
      </c>
      <c r="U175" s="60">
        <v>1.0955657373101613</v>
      </c>
      <c r="V175" s="60">
        <v>1.0964256961199845</v>
      </c>
      <c r="W175" s="60">
        <v>1.0972757154044044</v>
      </c>
      <c r="X175" s="60">
        <v>1.0981158465536556</v>
      </c>
      <c r="Y175" s="60">
        <v>1.0989461450458591</v>
      </c>
      <c r="Z175" s="60">
        <v>1.0997666702375717</v>
      </c>
      <c r="AA175" s="60">
        <v>1.1005774851568109</v>
      </c>
      <c r="AB175" s="60">
        <v>1.1013786562989361</v>
      </c>
      <c r="AC175" s="60">
        <v>1.1021702534257278</v>
      </c>
      <c r="AD175" s="60">
        <v>1.1029523493679942</v>
      </c>
      <c r="AE175" s="60">
        <v>1.1037250198319819</v>
      </c>
      <c r="AF175" s="60">
        <v>1.1044883432098624</v>
      </c>
      <c r="AG175" s="60">
        <v>1.1052424003945225</v>
      </c>
      <c r="AH175" s="60">
        <v>1.1059872745988648</v>
      </c>
      <c r="AI175" s="60">
        <f t="shared" si="5"/>
        <v>1.1059872745988648</v>
      </c>
      <c r="AJ175" s="13">
        <v>945</v>
      </c>
    </row>
    <row r="176" spans="1:36" ht="9.9499999999999993" customHeight="1" x14ac:dyDescent="0.2">
      <c r="A176" s="60">
        <f t="shared" si="4"/>
        <v>1.0822720200857356</v>
      </c>
      <c r="B176" s="60">
        <v>1.0822720200857356</v>
      </c>
      <c r="C176" s="60">
        <v>1.0822870768258785</v>
      </c>
      <c r="D176" s="60">
        <v>1.0823121664619686</v>
      </c>
      <c r="E176" s="60">
        <v>1.0823422658885733</v>
      </c>
      <c r="F176" s="60">
        <v>1.0823623272410856</v>
      </c>
      <c r="G176" s="60">
        <v>1.0824625748077177</v>
      </c>
      <c r="H176" s="60">
        <v>1.0825627236824451</v>
      </c>
      <c r="I176" s="60">
        <v>1.0826627738221863</v>
      </c>
      <c r="J176" s="60">
        <v>1.0827127618531742</v>
      </c>
      <c r="K176" s="60">
        <v>1.082762725184591</v>
      </c>
      <c r="L176" s="60">
        <v>1.0832609989052184</v>
      </c>
      <c r="M176" s="60">
        <v>1.0842501157580164</v>
      </c>
      <c r="N176" s="60">
        <v>1.0861985170366144</v>
      </c>
      <c r="O176" s="60">
        <v>1.0899754669672248</v>
      </c>
      <c r="P176" s="60">
        <v>1.0918039490904605</v>
      </c>
      <c r="Q176" s="60">
        <v>1.0927032250919468</v>
      </c>
      <c r="R176" s="60">
        <v>1.0935925520841234</v>
      </c>
      <c r="S176" s="60">
        <v>1.0944719574366004</v>
      </c>
      <c r="T176" s="60">
        <v>1.095341473544718</v>
      </c>
      <c r="U176" s="60">
        <v>1.0962011376195688</v>
      </c>
      <c r="V176" s="60">
        <v>1.0970509914782747</v>
      </c>
      <c r="W176" s="60">
        <v>1.0978910813350109</v>
      </c>
      <c r="X176" s="60">
        <v>1.0987214575932593</v>
      </c>
      <c r="Y176" s="60">
        <v>1.0995421746397223</v>
      </c>
      <c r="Z176" s="60">
        <v>1.1003532906403204</v>
      </c>
      <c r="AA176" s="60">
        <v>1.1011548673386589</v>
      </c>
      <c r="AB176" s="60">
        <v>1.1019469698573221</v>
      </c>
      <c r="AC176" s="60">
        <v>1.1027296665023267</v>
      </c>
      <c r="AD176" s="60">
        <v>1.1035030285710359</v>
      </c>
      <c r="AE176" s="60">
        <v>1.1042671301638107</v>
      </c>
      <c r="AF176" s="60">
        <v>1.1050220479996444</v>
      </c>
      <c r="AG176" s="60">
        <v>1.1057678612360042</v>
      </c>
      <c r="AH176" s="60">
        <v>1.1065046512930712</v>
      </c>
      <c r="AI176" s="60">
        <f t="shared" si="5"/>
        <v>1.1065046512930712</v>
      </c>
      <c r="AJ176" s="13">
        <v>950</v>
      </c>
    </row>
    <row r="177" spans="1:36" ht="9.9499999999999993" customHeight="1" x14ac:dyDescent="0.2">
      <c r="A177" s="60">
        <f t="shared" si="4"/>
        <v>1.083072787911616</v>
      </c>
      <c r="B177" s="60">
        <v>1.083072787911616</v>
      </c>
      <c r="C177" s="60">
        <v>1.0830876552549211</v>
      </c>
      <c r="D177" s="60">
        <v>1.083112429314451</v>
      </c>
      <c r="E177" s="60">
        <v>1.0831421501891905</v>
      </c>
      <c r="F177" s="60">
        <v>1.0831619592586619</v>
      </c>
      <c r="G177" s="60">
        <v>1.0832609464289267</v>
      </c>
      <c r="H177" s="60">
        <v>1.0833598366063255</v>
      </c>
      <c r="I177" s="60">
        <v>1.0834586297490971</v>
      </c>
      <c r="J177" s="60">
        <v>1.0835079899196423</v>
      </c>
      <c r="K177" s="60">
        <v>1.0835573258161935</v>
      </c>
      <c r="L177" s="60">
        <v>1.0840493486296296</v>
      </c>
      <c r="M177" s="60">
        <v>1.0850260919940036</v>
      </c>
      <c r="N177" s="60">
        <v>1.0869502632689783</v>
      </c>
      <c r="O177" s="60">
        <v>1.0906808419154981</v>
      </c>
      <c r="P177" s="60">
        <v>1.0924871890292573</v>
      </c>
      <c r="Q177" s="60">
        <v>1.0933756603818237</v>
      </c>
      <c r="R177" s="60">
        <v>1.0942543576622383</v>
      </c>
      <c r="S177" s="60">
        <v>1.0951233078493943</v>
      </c>
      <c r="T177" s="60">
        <v>1.0959825428211927</v>
      </c>
      <c r="U177" s="60">
        <v>1.0968320991495615</v>
      </c>
      <c r="V177" s="60">
        <v>1.097672017895829</v>
      </c>
      <c r="W177" s="60">
        <v>1.0985023444069215</v>
      </c>
      <c r="X177" s="60">
        <v>1.0993231281128375</v>
      </c>
      <c r="Y177" s="60">
        <v>1.1001344223258169</v>
      </c>
      <c r="Z177" s="60">
        <v>1.1009362840416039</v>
      </c>
      <c r="AA177" s="60">
        <v>1.1017287737431665</v>
      </c>
      <c r="AB177" s="60">
        <v>1.1025119552072191</v>
      </c>
      <c r="AC177" s="60">
        <v>1.1032858953138611</v>
      </c>
      <c r="AD177" s="60">
        <v>1.1040506638596166</v>
      </c>
      <c r="AE177" s="60">
        <v>1.1048063333741378</v>
      </c>
      <c r="AF177" s="60">
        <v>1.1055529789408098</v>
      </c>
      <c r="AG177" s="60">
        <v>1.1062906780214612</v>
      </c>
      <c r="AH177" s="60">
        <v>1.1070195102853682</v>
      </c>
      <c r="AI177" s="60">
        <f t="shared" si="5"/>
        <v>1.1070195102853682</v>
      </c>
      <c r="AJ177" s="13">
        <v>955</v>
      </c>
    </row>
    <row r="178" spans="1:36" ht="9.9499999999999993" customHeight="1" x14ac:dyDescent="0.2">
      <c r="A178" s="60">
        <f t="shared" si="4"/>
        <v>1.0838662189146564</v>
      </c>
      <c r="B178" s="60">
        <v>1.0838662189146564</v>
      </c>
      <c r="C178" s="60">
        <v>1.0838809001805547</v>
      </c>
      <c r="D178" s="60">
        <v>1.0839053641942726</v>
      </c>
      <c r="E178" s="60">
        <v>1.0839347131513404</v>
      </c>
      <c r="F178" s="60">
        <v>1.0839542743589272</v>
      </c>
      <c r="G178" s="60">
        <v>1.0840520232189119</v>
      </c>
      <c r="H178" s="60">
        <v>1.0841496767522008</v>
      </c>
      <c r="I178" s="60">
        <v>1.0842472349182897</v>
      </c>
      <c r="J178" s="60">
        <v>1.084295978226167</v>
      </c>
      <c r="K178" s="60">
        <v>1.0843446976773712</v>
      </c>
      <c r="L178" s="60">
        <v>1.0848305790230475</v>
      </c>
      <c r="M178" s="60">
        <v>1.0857951652691509</v>
      </c>
      <c r="N178" s="60">
        <v>1.0876955290564594</v>
      </c>
      <c r="O178" s="60">
        <v>1.0913805393086184</v>
      </c>
      <c r="P178" s="60">
        <v>1.0931651312585886</v>
      </c>
      <c r="Q178" s="60">
        <v>1.0940429824087052</v>
      </c>
      <c r="R178" s="60">
        <v>1.0949112307563895</v>
      </c>
      <c r="S178" s="60">
        <v>1.0957699028830745</v>
      </c>
      <c r="T178" s="60">
        <v>1.0966190301468264</v>
      </c>
      <c r="U178" s="60">
        <v>1.0974586484822109</v>
      </c>
      <c r="V178" s="60">
        <v>1.098288798200602</v>
      </c>
      <c r="W178" s="60">
        <v>1.0991095237913868</v>
      </c>
      <c r="X178" s="60">
        <v>1.099920873724493</v>
      </c>
      <c r="Y178" s="60">
        <v>1.1007229002546393</v>
      </c>
      <c r="Z178" s="60">
        <v>1.1015156592276834</v>
      </c>
      <c r="AA178" s="60">
        <v>1.1022992098894207</v>
      </c>
      <c r="AB178" s="60">
        <v>1.1030736146971556</v>
      </c>
      <c r="AC178" s="60">
        <v>1.1038389391343444</v>
      </c>
      <c r="AD178" s="60">
        <v>1.1045952515285842</v>
      </c>
      <c r="AE178" s="60">
        <v>1.1053426228731928</v>
      </c>
      <c r="AF178" s="60">
        <v>1.1060811266526072</v>
      </c>
      <c r="AG178" s="60">
        <v>1.1068108386717939</v>
      </c>
      <c r="AH178" s="60">
        <v>1.1075318368898506</v>
      </c>
      <c r="AI178" s="60">
        <f t="shared" si="5"/>
        <v>1.1075318368898506</v>
      </c>
      <c r="AJ178" s="13">
        <v>960</v>
      </c>
    </row>
    <row r="179" spans="1:36" ht="9.9499999999999993" customHeight="1" x14ac:dyDescent="0.2">
      <c r="A179" s="60">
        <f t="shared" si="4"/>
        <v>1.0846524065823429</v>
      </c>
      <c r="B179" s="60">
        <v>1.0846524065823429</v>
      </c>
      <c r="C179" s="60">
        <v>1.0846669050157842</v>
      </c>
      <c r="D179" s="60">
        <v>1.0846910643903351</v>
      </c>
      <c r="E179" s="60">
        <v>1.0847200479150569</v>
      </c>
      <c r="F179" s="60">
        <v>1.0847393655827042</v>
      </c>
      <c r="G179" s="60">
        <v>1.0848358977228496</v>
      </c>
      <c r="H179" s="60">
        <v>1.0849323361702838</v>
      </c>
      <c r="I179" s="60">
        <v>1.085028680885701</v>
      </c>
      <c r="J179" s="60">
        <v>1.0850768180818058</v>
      </c>
      <c r="K179" s="60">
        <v>1.0851249318304754</v>
      </c>
      <c r="L179" s="60">
        <v>1.0856047786903542</v>
      </c>
      <c r="M179" s="60">
        <v>1.0865574193269327</v>
      </c>
      <c r="N179" s="60">
        <v>1.0884343886439085</v>
      </c>
      <c r="O179" s="60">
        <v>1.0920746153609795</v>
      </c>
      <c r="P179" s="60">
        <v>1.0938378234937289</v>
      </c>
      <c r="Q179" s="60">
        <v>1.0947052347729085</v>
      </c>
      <c r="R179" s="60">
        <v>1.0955632109432718</v>
      </c>
      <c r="S179" s="60">
        <v>1.0964117781830145</v>
      </c>
      <c r="T179" s="60">
        <v>1.0972509673287569</v>
      </c>
      <c r="U179" s="60">
        <v>1.0980808136801101</v>
      </c>
      <c r="V179" s="60">
        <v>1.0989013568047683</v>
      </c>
      <c r="W179" s="60">
        <v>1.0997126403445621</v>
      </c>
      <c r="X179" s="60">
        <v>1.1005147118228735</v>
      </c>
      <c r="Y179" s="60">
        <v>1.1013076224538028</v>
      </c>
      <c r="Z179" s="60">
        <v>1.102091426953433</v>
      </c>
      <c r="AA179" s="60">
        <v>1.1028661833535349</v>
      </c>
      <c r="AB179" s="60">
        <v>1.1036319528180172</v>
      </c>
      <c r="AC179" s="60">
        <v>1.1043887994624013</v>
      </c>
      <c r="AD179" s="60">
        <v>1.1051367901765901</v>
      </c>
      <c r="AE179" s="60">
        <v>1.1058759944511554</v>
      </c>
      <c r="AF179" s="60">
        <v>1.1066064842073617</v>
      </c>
      <c r="AG179" s="60">
        <v>1.107328333631115</v>
      </c>
      <c r="AH179" s="60">
        <v>1.1080416190109981</v>
      </c>
      <c r="AI179" s="60">
        <f t="shared" si="5"/>
        <v>1.1080416190109981</v>
      </c>
      <c r="AJ179" s="13">
        <v>965</v>
      </c>
    </row>
    <row r="180" spans="1:36" ht="9.9499999999999993" customHeight="1" x14ac:dyDescent="0.2">
      <c r="A180" s="60">
        <f t="shared" si="4"/>
        <v>1.0854314439835688</v>
      </c>
      <c r="B180" s="60">
        <v>1.0854314439835688</v>
      </c>
      <c r="C180" s="60">
        <v>1.0854457627570555</v>
      </c>
      <c r="D180" s="60">
        <v>1.0854696227783722</v>
      </c>
      <c r="E180" s="60">
        <v>1.0854982472112751</v>
      </c>
      <c r="F180" s="60">
        <v>1.0855173255644286</v>
      </c>
      <c r="G180" s="60">
        <v>1.0856126620930788</v>
      </c>
      <c r="H180" s="60">
        <v>1.0857079065314876</v>
      </c>
      <c r="I180" s="60">
        <v>1.0858030588414906</v>
      </c>
      <c r="J180" s="60">
        <v>1.0858506004365958</v>
      </c>
      <c r="K180" s="60">
        <v>1.0858981189855892</v>
      </c>
      <c r="L180" s="60">
        <v>1.0863720359514957</v>
      </c>
      <c r="M180" s="60">
        <v>1.0873129377594128</v>
      </c>
      <c r="N180" s="60">
        <v>1.0891669163867317</v>
      </c>
      <c r="O180" s="60">
        <v>1.0927631268972684</v>
      </c>
      <c r="P180" s="60">
        <v>1.0945053142961392</v>
      </c>
      <c r="Q180" s="60">
        <v>1.0953624620350511</v>
      </c>
      <c r="R180" s="60">
        <v>1.0962103388713378</v>
      </c>
      <c r="S180" s="60">
        <v>1.0970489705750786</v>
      </c>
      <c r="T180" s="60">
        <v>1.0978783874605622</v>
      </c>
      <c r="U180" s="60">
        <v>1.0986986241954102</v>
      </c>
      <c r="V180" s="60">
        <v>1.0995097196103052</v>
      </c>
      <c r="W180" s="60">
        <v>1.1003117165097402</v>
      </c>
      <c r="X180" s="60">
        <v>1.1011046614841673</v>
      </c>
      <c r="Y180" s="60">
        <v>1.1018886047239151</v>
      </c>
      <c r="Z180" s="60">
        <v>1.102663599835211</v>
      </c>
      <c r="AA180" s="60">
        <v>1.1034297036586294</v>
      </c>
      <c r="AB180" s="60">
        <v>1.1041869760902525</v>
      </c>
      <c r="AC180" s="60">
        <v>1.104935479905818</v>
      </c>
      <c r="AD180" s="60">
        <v>1.1056752805880996</v>
      </c>
      <c r="AE180" s="60">
        <v>1.1064064461577432</v>
      </c>
      <c r="AF180" s="60">
        <v>1.1071290470077559</v>
      </c>
      <c r="AG180" s="60">
        <v>1.1078431557418351</v>
      </c>
      <c r="AH180" s="60">
        <v>1.1085488470166858</v>
      </c>
      <c r="AI180" s="60">
        <f t="shared" si="5"/>
        <v>1.1085488470166858</v>
      </c>
      <c r="AJ180" s="13">
        <v>970</v>
      </c>
    </row>
    <row r="181" spans="1:36" ht="9.9499999999999993" customHeight="1" x14ac:dyDescent="0.2">
      <c r="A181" s="60">
        <f t="shared" si="4"/>
        <v>1.0862034237414429</v>
      </c>
      <c r="B181" s="60">
        <v>1.0862034237414429</v>
      </c>
      <c r="C181" s="60">
        <v>1.0862175659569999</v>
      </c>
      <c r="D181" s="60">
        <v>1.0862411317935863</v>
      </c>
      <c r="E181" s="60">
        <v>1.0862694033343354</v>
      </c>
      <c r="F181" s="60">
        <v>1.0862882465045656</v>
      </c>
      <c r="G181" s="60">
        <v>1.0863824080610816</v>
      </c>
      <c r="H181" s="60">
        <v>1.0864764790989683</v>
      </c>
      <c r="I181" s="60">
        <v>1.0865704595811485</v>
      </c>
      <c r="J181" s="60">
        <v>1.0866174158524404</v>
      </c>
      <c r="K181" s="60">
        <v>1.0866643494711972</v>
      </c>
      <c r="L181" s="60">
        <v>1.0871324388099717</v>
      </c>
      <c r="M181" s="60">
        <v>1.0880618039713958</v>
      </c>
      <c r="N181" s="60">
        <v>1.0898931867064667</v>
      </c>
      <c r="O181" s="60">
        <v>1.0934461312915009</v>
      </c>
      <c r="P181" s="60">
        <v>1.095167653004647</v>
      </c>
      <c r="Q181" s="60">
        <v>1.0960147096434292</v>
      </c>
      <c r="R181" s="60">
        <v>1.0968526561844625</v>
      </c>
      <c r="S181" s="60">
        <v>1.0976815179856656</v>
      </c>
      <c r="T181" s="60">
        <v>1.09850132483878</v>
      </c>
      <c r="U181" s="60">
        <v>1.0993121107829138</v>
      </c>
      <c r="V181" s="60">
        <v>1.1001139139187635</v>
      </c>
      <c r="W181" s="60">
        <v>1.1009067762239109</v>
      </c>
      <c r="X181" s="60">
        <v>1.1016907433695551</v>
      </c>
      <c r="Y181" s="60">
        <v>1.1024658645390284</v>
      </c>
      <c r="Z181" s="60">
        <v>1.1032321922484221</v>
      </c>
      <c r="AA181" s="60">
        <v>1.1039897821696141</v>
      </c>
      <c r="AB181" s="60">
        <v>1.1047386929559895</v>
      </c>
      <c r="AC181" s="60">
        <v>1.1054789860711012</v>
      </c>
      <c r="AD181" s="60">
        <v>1.1062107256205067</v>
      </c>
      <c r="AE181" s="60">
        <v>1.106933978186994</v>
      </c>
      <c r="AF181" s="60">
        <v>1.1076488126693902</v>
      </c>
      <c r="AG181" s="60">
        <v>1.1083553001251132</v>
      </c>
      <c r="AH181" s="60">
        <v>1.1090535136166264</v>
      </c>
      <c r="AI181" s="60">
        <f t="shared" si="5"/>
        <v>1.1090535136166264</v>
      </c>
      <c r="AJ181" s="13">
        <v>975</v>
      </c>
    </row>
    <row r="182" spans="1:36" ht="9.9499999999999993" customHeight="1" x14ac:dyDescent="0.2">
      <c r="A182" s="60">
        <f t="shared" si="4"/>
        <v>1.0869684380076801</v>
      </c>
      <c r="B182" s="60">
        <v>1.0869684380076801</v>
      </c>
      <c r="C182" s="60">
        <v>1.0869824066987617</v>
      </c>
      <c r="D182" s="60">
        <v>1.0870056834048689</v>
      </c>
      <c r="E182" s="60">
        <v>1.0870336081160787</v>
      </c>
      <c r="F182" s="60">
        <v>1.0870522201436208</v>
      </c>
      <c r="G182" s="60">
        <v>1.087145226911074</v>
      </c>
      <c r="H182" s="60">
        <v>1.0872381447012942</v>
      </c>
      <c r="I182" s="60">
        <v>1.087330973478243</v>
      </c>
      <c r="J182" s="60">
        <v>1.0873773544756524</v>
      </c>
      <c r="K182" s="60">
        <v>1.0874237132065174</v>
      </c>
      <c r="L182" s="60">
        <v>1.0878860749230708</v>
      </c>
      <c r="M182" s="60">
        <v>1.0888041011464866</v>
      </c>
      <c r="N182" s="60">
        <v>1.0906132740485901</v>
      </c>
      <c r="O182" s="60">
        <v>1.0941236864089254</v>
      </c>
      <c r="P182" s="60">
        <v>1.095824889669804</v>
      </c>
      <c r="Q182" s="60">
        <v>1.0966620238647224</v>
      </c>
      <c r="R182" s="60">
        <v>1.0974902054490765</v>
      </c>
      <c r="S182" s="60">
        <v>1.0983094593653608</v>
      </c>
      <c r="T182" s="60">
        <v>1.0991198148831747</v>
      </c>
      <c r="U182" s="60">
        <v>1.0999213054170549</v>
      </c>
      <c r="V182" s="60">
        <v>1.1007139683450562</v>
      </c>
      <c r="W182" s="60">
        <v>1.101497844828454</v>
      </c>
      <c r="X182" s="60">
        <v>1.1022729796329147</v>
      </c>
      <c r="Y182" s="60">
        <v>1.1030394209514636</v>
      </c>
      <c r="Z182" s="60">
        <v>1.103797220229559</v>
      </c>
      <c r="AA182" s="60">
        <v>1.1045464319925584</v>
      </c>
      <c r="AB182" s="60">
        <v>1.1052871136758395</v>
      </c>
      <c r="AC182" s="60">
        <v>1.1060193254578252</v>
      </c>
      <c r="AD182" s="60">
        <v>1.1067431300961268</v>
      </c>
      <c r="AE182" s="60">
        <v>1.1074585927670137</v>
      </c>
      <c r="AF182" s="60">
        <v>1.1081657809083882</v>
      </c>
      <c r="AG182" s="60">
        <v>1.1088647640664233</v>
      </c>
      <c r="AH182" s="60">
        <v>1.1095556137460092</v>
      </c>
      <c r="AI182" s="60">
        <f t="shared" si="5"/>
        <v>1.1095556137460092</v>
      </c>
      <c r="AJ182" s="13">
        <v>980</v>
      </c>
    </row>
    <row r="183" spans="1:36" ht="9.9499999999999993" customHeight="1" x14ac:dyDescent="0.2">
      <c r="A183" s="60">
        <f t="shared" si="4"/>
        <v>1.0877265784384997</v>
      </c>
      <c r="B183" s="60">
        <v>1.0877265784384997</v>
      </c>
      <c r="C183" s="60">
        <v>1.0877403765718356</v>
      </c>
      <c r="D183" s="60">
        <v>1.0877633690905371</v>
      </c>
      <c r="E183" s="60">
        <v>1.0877909529014615</v>
      </c>
      <c r="F183" s="60">
        <v>1.0878093377376754</v>
      </c>
      <c r="G183" s="60">
        <v>1.087901209455135</v>
      </c>
      <c r="H183" s="60">
        <v>1.0879929937071744</v>
      </c>
      <c r="I183" s="60">
        <v>1.088084690458744</v>
      </c>
      <c r="J183" s="60">
        <v>1.0881305060110698</v>
      </c>
      <c r="K183" s="60">
        <v>1.0881762996754163</v>
      </c>
      <c r="L183" s="60">
        <v>1.0886330315737669</v>
      </c>
      <c r="M183" s="60">
        <v>1.0895399122149667</v>
      </c>
      <c r="N183" s="60">
        <v>1.0913272528424505</v>
      </c>
      <c r="O183" s="60">
        <v>1.0947958505506681</v>
      </c>
      <c r="P183" s="60">
        <v>1.0964770749912756</v>
      </c>
      <c r="Q183" s="60">
        <v>1.0973044517178681</v>
      </c>
      <c r="R183" s="60">
        <v>1.0981230300846139</v>
      </c>
      <c r="S183" s="60">
        <v>1.0989328346160423</v>
      </c>
      <c r="T183" s="60">
        <v>1.099733894060587</v>
      </c>
      <c r="U183" s="60">
        <v>1.1005262412125829</v>
      </c>
      <c r="V183" s="60">
        <v>1.1013099127350741</v>
      </c>
      <c r="W183" s="60">
        <v>1.1020849489837861</v>
      </c>
      <c r="X183" s="60">
        <v>1.102851393832595</v>
      </c>
      <c r="Y183" s="60">
        <v>1.1036092945008051</v>
      </c>
      <c r="Z183" s="60">
        <v>1.1043587013825296</v>
      </c>
      <c r="AA183" s="60">
        <v>1.1050996678784473</v>
      </c>
      <c r="AB183" s="60">
        <v>1.1058322502301829</v>
      </c>
      <c r="AC183" s="60">
        <v>1.1065565073575485</v>
      </c>
      <c r="AD183" s="60">
        <v>1.1072725006988513</v>
      </c>
      <c r="AE183" s="60">
        <v>1.1079802940544639</v>
      </c>
      <c r="AF183" s="60">
        <v>1.1086799534338245</v>
      </c>
      <c r="AG183" s="60">
        <v>1.1093715469060226</v>
      </c>
      <c r="AH183" s="60">
        <v>1.1100551444541029</v>
      </c>
      <c r="AI183" s="60">
        <f t="shared" si="5"/>
        <v>1.1100551444541029</v>
      </c>
      <c r="AJ183" s="13">
        <v>985</v>
      </c>
    </row>
    <row r="184" spans="1:36" ht="9.9499999999999993" customHeight="1" x14ac:dyDescent="0.2">
      <c r="A184" s="60">
        <f t="shared" si="4"/>
        <v>1.0884779361719552</v>
      </c>
      <c r="B184" s="60">
        <v>1.0884779361719552</v>
      </c>
      <c r="C184" s="60">
        <v>1.0884915666493369</v>
      </c>
      <c r="D184" s="60">
        <v>1.0885142798155072</v>
      </c>
      <c r="E184" s="60">
        <v>1.0885415285256124</v>
      </c>
      <c r="F184" s="60">
        <v>1.0885596900353633</v>
      </c>
      <c r="G184" s="60">
        <v>1.0886504460097948</v>
      </c>
      <c r="H184" s="60">
        <v>1.088741116001652</v>
      </c>
      <c r="I184" s="60">
        <v>1.0888316999768293</v>
      </c>
      <c r="J184" s="60">
        <v>1.0888769596976704</v>
      </c>
      <c r="K184" s="60">
        <v>1.0889221979018278</v>
      </c>
      <c r="L184" s="60">
        <v>1.0893733956441933</v>
      </c>
      <c r="M184" s="60">
        <v>1.0902693198233979</v>
      </c>
      <c r="N184" s="60">
        <v>1.0920351974632327</v>
      </c>
      <c r="O184" s="60">
        <v>1.0954626824009863</v>
      </c>
      <c r="P184" s="60">
        <v>1.0971242602581177</v>
      </c>
      <c r="Q184" s="60">
        <v>1.0979420409109626</v>
      </c>
      <c r="R184" s="60">
        <v>1.0987511742971148</v>
      </c>
      <c r="S184" s="60">
        <v>1.0995516845212663</v>
      </c>
      <c r="T184" s="60">
        <v>1.1003435998121904</v>
      </c>
      <c r="U184" s="60">
        <v>1.1011269523487794</v>
      </c>
      <c r="V184" s="60">
        <v>1.1019017780869531</v>
      </c>
      <c r="W184" s="60">
        <v>1.1026681165877703</v>
      </c>
      <c r="X184" s="60">
        <v>1.1034260108470615</v>
      </c>
      <c r="Y184" s="60">
        <v>1.1041755071268828</v>
      </c>
      <c r="Z184" s="60">
        <v>1.1049166547890636</v>
      </c>
      <c r="AA184" s="60">
        <v>1.1056495061311133</v>
      </c>
      <c r="AB184" s="60">
        <v>1.1063741162247249</v>
      </c>
      <c r="AC184" s="60">
        <v>1.1070905427570916</v>
      </c>
      <c r="AD184" s="60">
        <v>1.1077988458752419</v>
      </c>
      <c r="AE184" s="60">
        <v>1.1084990880335741</v>
      </c>
      <c r="AF184" s="60">
        <v>1.109191333844747</v>
      </c>
      <c r="AG184" s="60">
        <v>1.1098756499340812</v>
      </c>
      <c r="AH184" s="60">
        <v>1.1105521047975888</v>
      </c>
      <c r="AI184" s="60">
        <f t="shared" si="5"/>
        <v>1.1105521047975888</v>
      </c>
      <c r="AJ184" s="13">
        <v>990</v>
      </c>
    </row>
    <row r="185" spans="1:36" ht="9.9499999999999993" customHeight="1" x14ac:dyDescent="0.2">
      <c r="A185" s="60">
        <f t="shared" si="4"/>
        <v>1.0892226018066293</v>
      </c>
      <c r="B185" s="60">
        <v>1.0892226018066293</v>
      </c>
      <c r="C185" s="60">
        <v>1.0892360674666417</v>
      </c>
      <c r="D185" s="60">
        <v>1.0892585060098419</v>
      </c>
      <c r="E185" s="60">
        <v>1.089285425292265</v>
      </c>
      <c r="F185" s="60">
        <v>1.0893033672562293</v>
      </c>
      <c r="G185" s="60">
        <v>1.0893930263740172</v>
      </c>
      <c r="H185" s="60">
        <v>1.0894826009637144</v>
      </c>
      <c r="I185" s="60">
        <v>1.0895720909921152</v>
      </c>
      <c r="J185" s="60">
        <v>1.0896168042856154</v>
      </c>
      <c r="K185" s="60">
        <v>1.0896614964266087</v>
      </c>
      <c r="L185" s="60">
        <v>1.0901072535906271</v>
      </c>
      <c r="M185" s="60">
        <v>1.0909924063058785</v>
      </c>
      <c r="N185" s="60">
        <v>1.0927371821958565</v>
      </c>
      <c r="O185" s="60">
        <v>1.0961242409770173</v>
      </c>
      <c r="P185" s="60">
        <v>1.097766497291818</v>
      </c>
      <c r="Q185" s="60">
        <v>1.0985748397810553</v>
      </c>
      <c r="R185" s="60">
        <v>1.0993746830158464</v>
      </c>
      <c r="S185" s="60">
        <v>1.1001660506797981</v>
      </c>
      <c r="T185" s="60">
        <v>1.1009489704840139</v>
      </c>
      <c r="U185" s="60">
        <v>1.1017234739970565</v>
      </c>
      <c r="V185" s="60">
        <v>1.1024895964758341</v>
      </c>
      <c r="W185" s="60">
        <v>1.1032473766977251</v>
      </c>
      <c r="X185" s="60">
        <v>1.1039968567942484</v>
      </c>
      <c r="Y185" s="60">
        <v>1.1047380820865567</v>
      </c>
      <c r="Z185" s="60">
        <v>1.1054711009230236</v>
      </c>
      <c r="AA185" s="60">
        <v>1.1061959645191668</v>
      </c>
      <c r="AB185" s="60">
        <v>1.1069127268001377</v>
      </c>
      <c r="AC185" s="60">
        <v>1.1076214442459837</v>
      </c>
      <c r="AD185" s="60">
        <v>1.1083221757398771</v>
      </c>
      <c r="AE185" s="60">
        <v>1.1090149824194799</v>
      </c>
      <c r="AF185" s="60">
        <v>1.1096999275316008</v>
      </c>
      <c r="AG185" s="60">
        <v>1.1103770762902805</v>
      </c>
      <c r="AH185" s="60">
        <v>1.111046495738427</v>
      </c>
      <c r="AI185" s="60">
        <f t="shared" si="5"/>
        <v>1.111046495738427</v>
      </c>
      <c r="AJ185" s="13">
        <v>995</v>
      </c>
    </row>
    <row r="186" spans="1:36" ht="9.9499999999999993" customHeight="1" x14ac:dyDescent="0.2">
      <c r="A186" s="60">
        <f t="shared" si="4"/>
        <v>1.0899606653816312</v>
      </c>
      <c r="B186" s="60">
        <v>1.0899606653816312</v>
      </c>
      <c r="C186" s="60">
        <v>1.0899739690013284</v>
      </c>
      <c r="D186" s="60">
        <v>1.0899961375485971</v>
      </c>
      <c r="E186" s="60">
        <v>1.0900227329534993</v>
      </c>
      <c r="F186" s="60">
        <v>1.0900404590703983</v>
      </c>
      <c r="G186" s="60">
        <v>1.0901290398085051</v>
      </c>
      <c r="H186" s="60">
        <v>1.0902175374452356</v>
      </c>
      <c r="I186" s="60">
        <v>1.0903059519482425</v>
      </c>
      <c r="J186" s="60">
        <v>1.0903501280146506</v>
      </c>
      <c r="K186" s="60">
        <v>1.0903942832857614</v>
      </c>
      <c r="L186" s="60">
        <v>1.0908346914199036</v>
      </c>
      <c r="M186" s="60">
        <v>1.0917092536568698</v>
      </c>
      <c r="N186" s="60">
        <v>1.0934332812007181</v>
      </c>
      <c r="O186" s="60">
        <v>1.0967805855809056</v>
      </c>
      <c r="P186" s="60">
        <v>1.0984038383919672</v>
      </c>
      <c r="Q186" s="60">
        <v>1.0992028972366961</v>
      </c>
      <c r="R186" s="60">
        <v>1.0999936018328029</v>
      </c>
      <c r="S186" s="60">
        <v>1.1007759754421376</v>
      </c>
      <c r="T186" s="60">
        <v>1.1015500452605718</v>
      </c>
      <c r="U186" s="60">
        <v>1.1023158422517731</v>
      </c>
      <c r="V186" s="60">
        <v>1.1030734009819501</v>
      </c>
      <c r="W186" s="60">
        <v>1.1038227594558707</v>
      </c>
      <c r="X186" s="60">
        <v>1.1045639589544445</v>
      </c>
      <c r="Y186" s="60">
        <v>1.1052970438741312</v>
      </c>
      <c r="Z186" s="60">
        <v>1.1060220615684393</v>
      </c>
      <c r="AA186" s="60">
        <v>1.1067390621917366</v>
      </c>
      <c r="AB186" s="60">
        <v>1.1074480985455986</v>
      </c>
      <c r="AC186" s="60">
        <v>1.1081492259278884</v>
      </c>
      <c r="AD186" s="60">
        <v>1.1088425019847512</v>
      </c>
      <c r="AE186" s="60">
        <v>1.1095279865656869</v>
      </c>
      <c r="AF186" s="60">
        <v>1.110205741581844</v>
      </c>
      <c r="AG186" s="60">
        <v>1.1108758308676723</v>
      </c>
      <c r="AH186" s="60">
        <v>1.11153832004604</v>
      </c>
      <c r="AI186" s="60">
        <f t="shared" si="5"/>
        <v>1.11153832004604</v>
      </c>
      <c r="AJ186" s="13">
        <v>1000</v>
      </c>
    </row>
    <row r="187" spans="1:36" ht="9.9499999999999993" customHeight="1" x14ac:dyDescent="0.2">
      <c r="A187" s="60">
        <f t="shared" si="4"/>
        <v>1.090692216357833</v>
      </c>
      <c r="B187" s="60">
        <v>1.090692216357833</v>
      </c>
      <c r="C187" s="60">
        <v>1.0907053606543629</v>
      </c>
      <c r="D187" s="60">
        <v>1.0907272637329237</v>
      </c>
      <c r="E187" s="60">
        <v>1.0907535406907358</v>
      </c>
      <c r="F187" s="60">
        <v>1.0907710545794993</v>
      </c>
      <c r="G187" s="60">
        <v>1.0908585750162785</v>
      </c>
      <c r="H187" s="60">
        <v>1.090946013751205</v>
      </c>
      <c r="I187" s="60">
        <v>1.0910333707527522</v>
      </c>
      <c r="J187" s="60">
        <v>1.0910770185938115</v>
      </c>
      <c r="K187" s="60">
        <v>1.0911206459899616</v>
      </c>
      <c r="L187" s="60">
        <v>1.0915557946672099</v>
      </c>
      <c r="M187" s="60">
        <v>1.0924199435055273</v>
      </c>
      <c r="N187" s="60">
        <v>1.094123568481203</v>
      </c>
      <c r="O187" s="60">
        <v>1.0974317757542074</v>
      </c>
      <c r="P187" s="60">
        <v>1.0990363362844562</v>
      </c>
      <c r="Q187" s="60">
        <v>1.099826262703127</v>
      </c>
      <c r="R187" s="60">
        <v>1.1006079769449604</v>
      </c>
      <c r="S187" s="60">
        <v>1.1013815018499133</v>
      </c>
      <c r="T187" s="60">
        <v>1.1021468641014742</v>
      </c>
      <c r="U187" s="60">
        <v>1.102904094064139</v>
      </c>
      <c r="V187" s="60">
        <v>1.1036532256219036</v>
      </c>
      <c r="W187" s="60">
        <v>1.1043942960180591</v>
      </c>
      <c r="X187" s="60">
        <v>1.1051273456965629</v>
      </c>
      <c r="Y187" s="60">
        <v>1.1058524181452491</v>
      </c>
      <c r="Z187" s="60">
        <v>1.1065695597411069</v>
      </c>
      <c r="AA187" s="60">
        <v>1.1072788195978622</v>
      </c>
      <c r="AB187" s="60">
        <v>1.1079802494160595</v>
      </c>
      <c r="AC187" s="60">
        <v>1.1086739033358357</v>
      </c>
      <c r="AD187" s="60">
        <v>1.1093598377925593</v>
      </c>
      <c r="AE187" s="60">
        <v>1.110038111375488</v>
      </c>
      <c r="AF187" s="60">
        <v>1.1107087846895847</v>
      </c>
      <c r="AG187" s="60">
        <v>1.1113719202206167</v>
      </c>
      <c r="AH187" s="60">
        <v>1.1120275822036407</v>
      </c>
      <c r="AI187" s="60">
        <f t="shared" si="5"/>
        <v>1.1120275822036407</v>
      </c>
      <c r="AJ187" s="13">
        <v>1005</v>
      </c>
    </row>
    <row r="188" spans="1:36" ht="9.9499999999999993" customHeight="1" x14ac:dyDescent="0.2">
      <c r="A188" s="60">
        <f t="shared" si="4"/>
        <v>1.0914173436002832</v>
      </c>
      <c r="B188" s="60">
        <v>1.0914173436002832</v>
      </c>
      <c r="C188" s="60">
        <v>1.0914303312324614</v>
      </c>
      <c r="D188" s="60">
        <v>1.091451973272346</v>
      </c>
      <c r="E188" s="60">
        <v>1.0914779370969132</v>
      </c>
      <c r="F188" s="60">
        <v>1.0914952422987763</v>
      </c>
      <c r="G188" s="60">
        <v>1.0915817201244451</v>
      </c>
      <c r="H188" s="60">
        <v>1.0916681176211633</v>
      </c>
      <c r="I188" s="60">
        <v>1.0917544347581862</v>
      </c>
      <c r="J188" s="60">
        <v>1.0917975631823567</v>
      </c>
      <c r="K188" s="60">
        <v>1.0918406715053266</v>
      </c>
      <c r="L188" s="60">
        <v>1.0922706483751725</v>
      </c>
      <c r="M188" s="60">
        <v>1.0931245570914589</v>
      </c>
      <c r="N188" s="60">
        <v>1.0948081178528701</v>
      </c>
      <c r="O188" s="60">
        <v>1.0980778712344574</v>
      </c>
      <c r="P188" s="60">
        <v>1.0996640440720664</v>
      </c>
      <c r="Q188" s="60">
        <v>1.1004449860699814</v>
      </c>
      <c r="R188" s="60">
        <v>1.1012178550991545</v>
      </c>
      <c r="S188" s="60">
        <v>1.1019826735780072</v>
      </c>
      <c r="T188" s="60">
        <v>1.1027394676808693</v>
      </c>
      <c r="U188" s="60">
        <v>1.1034882671790529</v>
      </c>
      <c r="V188" s="60">
        <v>1.104229105282978</v>
      </c>
      <c r="W188" s="60">
        <v>1.1049620184856352</v>
      </c>
      <c r="X188" s="60">
        <v>1.1056870464076349</v>
      </c>
      <c r="Y188" s="60">
        <v>1.1064042316440934</v>
      </c>
      <c r="Z188" s="60">
        <v>1.1071136196135836</v>
      </c>
      <c r="AA188" s="60">
        <v>1.1078152584093626</v>
      </c>
      <c r="AB188" s="60">
        <v>1.108509198653072</v>
      </c>
      <c r="AC188" s="60">
        <v>1.1091954933510848</v>
      </c>
      <c r="AD188" s="60">
        <v>1.1098741977536759</v>
      </c>
      <c r="AE188" s="60">
        <v>1.1105453692171459</v>
      </c>
      <c r="AF188" s="60">
        <v>1.111209067069046</v>
      </c>
      <c r="AG188" s="60">
        <v>1.1118653524766098</v>
      </c>
      <c r="AH188" s="60">
        <v>1.1125142883184995</v>
      </c>
      <c r="AI188" s="60">
        <f t="shared" si="5"/>
        <v>1.1125142883184995</v>
      </c>
      <c r="AJ188" s="13">
        <v>1010</v>
      </c>
    </row>
    <row r="189" spans="1:36" ht="9.9499999999999993" customHeight="1" x14ac:dyDescent="0.2">
      <c r="A189" s="60">
        <f t="shared" si="4"/>
        <v>1.0921361353617502</v>
      </c>
      <c r="B189" s="60">
        <v>1.0921361353617502</v>
      </c>
      <c r="C189" s="60">
        <v>1.0921489689315842</v>
      </c>
      <c r="D189" s="60">
        <v>1.0921703542681713</v>
      </c>
      <c r="E189" s="60">
        <v>1.0921960101598027</v>
      </c>
      <c r="F189" s="60">
        <v>1.0922131101403361</v>
      </c>
      <c r="G189" s="60">
        <v>1.0922985626671278</v>
      </c>
      <c r="H189" s="60">
        <v>1.0923839362118037</v>
      </c>
      <c r="I189" s="60">
        <v>1.0924692307443669</v>
      </c>
      <c r="J189" s="60">
        <v>1.092511848371881</v>
      </c>
      <c r="K189" s="60">
        <v>1.0925544462353658</v>
      </c>
      <c r="L189" s="60">
        <v>1.0929793370741951</v>
      </c>
      <c r="M189" s="60">
        <v>1.0938231752418477</v>
      </c>
      <c r="N189" s="60">
        <v>1.0954870029142467</v>
      </c>
      <c r="O189" s="60">
        <v>1.0987189319138169</v>
      </c>
      <c r="P189" s="60">
        <v>1.1002870151873638</v>
      </c>
      <c r="Q189" s="60">
        <v>1.101059117641394</v>
      </c>
      <c r="R189" s="60">
        <v>1.1018232835394699</v>
      </c>
      <c r="S189" s="60">
        <v>1.1025795348792944</v>
      </c>
      <c r="T189" s="60">
        <v>1.1033278973296079</v>
      </c>
      <c r="U189" s="60">
        <v>1.1040684000747574</v>
      </c>
      <c r="V189" s="60">
        <v>1.104801075660357</v>
      </c>
      <c r="W189" s="60">
        <v>1.105525959840302</v>
      </c>
      <c r="X189" s="60">
        <v>1.106243091425388</v>
      </c>
      <c r="Y189" s="60">
        <v>1.1069525121337636</v>
      </c>
      <c r="Z189" s="60">
        <v>1.107654266443437</v>
      </c>
      <c r="AA189" s="60">
        <v>1.1083484014470371</v>
      </c>
      <c r="AB189" s="60">
        <v>1.1090349667090167</v>
      </c>
      <c r="AC189" s="60">
        <v>1.1097140141254642</v>
      </c>
      <c r="AD189" s="60">
        <v>1.110385597786685</v>
      </c>
      <c r="AE189" s="60">
        <v>1.1110497738426874</v>
      </c>
      <c r="AF189" s="60">
        <v>1.1117066003717018</v>
      </c>
      <c r="AG189" s="60">
        <v>1.1123561372518407</v>
      </c>
      <c r="AH189" s="60">
        <v>1.1129984460359985</v>
      </c>
      <c r="AI189" s="60">
        <f t="shared" si="5"/>
        <v>1.1129984460359985</v>
      </c>
      <c r="AJ189" s="13">
        <v>1015</v>
      </c>
    </row>
    <row r="190" spans="1:36" ht="9.9499999999999993" customHeight="1" x14ac:dyDescent="0.2">
      <c r="A190" s="60">
        <f t="shared" si="4"/>
        <v>1.0928486792673304</v>
      </c>
      <c r="B190" s="60">
        <v>1.0928486792673304</v>
      </c>
      <c r="C190" s="60">
        <v>1.0928613613214981</v>
      </c>
      <c r="D190" s="60">
        <v>1.0928824941979778</v>
      </c>
      <c r="E190" s="60">
        <v>1.0929078472463991</v>
      </c>
      <c r="F190" s="60">
        <v>1.0929247453974806</v>
      </c>
      <c r="G190" s="60">
        <v>1.0930091895694798</v>
      </c>
      <c r="H190" s="60">
        <v>1.093093556080676</v>
      </c>
      <c r="I190" s="60">
        <v>1.0931778449017859</v>
      </c>
      <c r="J190" s="60">
        <v>1.0932199601695531</v>
      </c>
      <c r="K190" s="60">
        <v>1.0932620560040602</v>
      </c>
      <c r="L190" s="60">
        <v>1.0936819447639816</v>
      </c>
      <c r="M190" s="60">
        <v>1.0945158783498796</v>
      </c>
      <c r="N190" s="60">
        <v>1.0961602970191531</v>
      </c>
      <c r="O190" s="60">
        <v>1.0993550177996938</v>
      </c>
      <c r="P190" s="60">
        <v>1.1009053033477838</v>
      </c>
      <c r="Q190" s="60">
        <v>1.1016687080884051</v>
      </c>
      <c r="R190" s="60">
        <v>1.1024243099570303</v>
      </c>
      <c r="S190" s="60">
        <v>1.1031721305318816</v>
      </c>
      <c r="T190" s="60">
        <v>1.1039121949799928</v>
      </c>
      <c r="U190" s="60">
        <v>1.1046445319051788</v>
      </c>
      <c r="V190" s="60">
        <v>1.1053691731971225</v>
      </c>
      <c r="W190" s="60">
        <v>1.1060861538818429</v>
      </c>
      <c r="X190" s="60">
        <v>1.1067955119737749</v>
      </c>
      <c r="Y190" s="60">
        <v>1.1074972883296799</v>
      </c>
      <c r="Z190" s="60">
        <v>1.1081915265046005</v>
      </c>
      <c r="AA190" s="60">
        <v>1.1088782726100463</v>
      </c>
      <c r="AB190" s="60">
        <v>1.1095575751745896</v>
      </c>
      <c r="AC190" s="60">
        <v>1.1102294850070318</v>
      </c>
      <c r="AD190" s="60">
        <v>1.110894055062291</v>
      </c>
      <c r="AE190" s="60">
        <v>1.1115513403101405</v>
      </c>
      <c r="AF190" s="60">
        <v>1.1122013976069174</v>
      </c>
      <c r="AG190" s="60">
        <v>1.112844285570306</v>
      </c>
      <c r="AH190" s="60">
        <v>1.113480064457294</v>
      </c>
      <c r="AI190" s="60">
        <f t="shared" si="5"/>
        <v>1.113480064457294</v>
      </c>
      <c r="AJ190" s="13">
        <v>1020</v>
      </c>
    </row>
    <row r="191" spans="1:36" ht="9.9499999999999993" customHeight="1" x14ac:dyDescent="0.2">
      <c r="A191" s="60">
        <f t="shared" si="4"/>
        <v>1.0935550623000787</v>
      </c>
      <c r="B191" s="60">
        <v>1.0935550623000787</v>
      </c>
      <c r="C191" s="60">
        <v>1.0935675953313606</v>
      </c>
      <c r="D191" s="60">
        <v>1.0935884799011204</v>
      </c>
      <c r="E191" s="60">
        <v>1.0936135350883391</v>
      </c>
      <c r="F191" s="60">
        <v>1.093630234730059</v>
      </c>
      <c r="G191" s="60">
        <v>1.0937136871327395</v>
      </c>
      <c r="H191" s="60">
        <v>1.0937970631709395</v>
      </c>
      <c r="I191" s="60">
        <v>1.0938803628160574</v>
      </c>
      <c r="J191" s="60">
        <v>1.0939219839824155</v>
      </c>
      <c r="K191" s="60">
        <v>1.0939635860400148</v>
      </c>
      <c r="L191" s="60">
        <v>1.094378554896182</v>
      </c>
      <c r="M191" s="60">
        <v>1.095202746354403</v>
      </c>
      <c r="N191" s="60">
        <v>1.096828073250486</v>
      </c>
      <c r="O191" s="60">
        <v>1.099986188977256</v>
      </c>
      <c r="P191" s="60">
        <v>1.1015189625128063</v>
      </c>
      <c r="Q191" s="60">
        <v>1.1022738084035564</v>
      </c>
      <c r="R191" s="60">
        <v>1.1030209824420734</v>
      </c>
      <c r="S191" s="60">
        <v>1.103760505788725</v>
      </c>
      <c r="T191" s="60">
        <v>1.1044924031130106</v>
      </c>
      <c r="U191" s="60">
        <v>1.1052167024448287</v>
      </c>
      <c r="V191" s="60">
        <v>1.1059334350268994</v>
      </c>
      <c r="W191" s="60">
        <v>1.1066426351685827</v>
      </c>
      <c r="X191" s="60">
        <v>1.1073443401013157</v>
      </c>
      <c r="Y191" s="60">
        <v>1.1080385898358791</v>
      </c>
      <c r="Z191" s="60">
        <v>1.108725427021696</v>
      </c>
      <c r="AA191" s="60">
        <v>1.1094048968083332</v>
      </c>
      <c r="AB191" s="60">
        <v>1.1100770467093888</v>
      </c>
      <c r="AC191" s="60">
        <v>1.1107419264689067</v>
      </c>
      <c r="AD191" s="60">
        <v>1.1113995879304661</v>
      </c>
      <c r="AE191" s="60">
        <v>1.1120500849090689</v>
      </c>
      <c r="AF191" s="60">
        <v>1.1126934730659379</v>
      </c>
      <c r="AG191" s="60">
        <v>1.1133298097863278</v>
      </c>
      <c r="AH191" s="60">
        <v>1.1139591540604301</v>
      </c>
      <c r="AI191" s="60">
        <f t="shared" si="5"/>
        <v>1.1139591540604301</v>
      </c>
      <c r="AJ191" s="13">
        <v>1025</v>
      </c>
    </row>
    <row r="192" spans="1:36" ht="9.9499999999999993" customHeight="1" x14ac:dyDescent="0.2">
      <c r="A192" s="60">
        <f t="shared" si="4"/>
        <v>1.094255370787611</v>
      </c>
      <c r="B192" s="60">
        <v>1.094255370787611</v>
      </c>
      <c r="C192" s="60">
        <v>1.0942677572362798</v>
      </c>
      <c r="D192" s="60">
        <v>1.0942883975652196</v>
      </c>
      <c r="E192" s="60">
        <v>1.0943131597683009</v>
      </c>
      <c r="F192" s="60">
        <v>1.0943296641508142</v>
      </c>
      <c r="G192" s="60">
        <v>1.0944121410202825</v>
      </c>
      <c r="H192" s="60">
        <v>1.0944945427971238</v>
      </c>
      <c r="I192" s="60">
        <v>1.0945768694533877</v>
      </c>
      <c r="J192" s="60">
        <v>1.0946180046027087</v>
      </c>
      <c r="K192" s="60">
        <v>1.0946591209616368</v>
      </c>
      <c r="L192" s="60">
        <v>1.0950692503581252</v>
      </c>
      <c r="M192" s="60">
        <v>1.0958838587207838</v>
      </c>
      <c r="N192" s="60">
        <v>1.0974904043954032</v>
      </c>
      <c r="O192" s="60">
        <v>1.100612505573753</v>
      </c>
      <c r="P192" s="60">
        <v>1.1021280468431431</v>
      </c>
      <c r="Q192" s="60">
        <v>1.1028744698575919</v>
      </c>
      <c r="R192" s="60">
        <v>1.1036133494382239</v>
      </c>
      <c r="S192" s="60">
        <v>1.1043447063295395</v>
      </c>
      <c r="T192" s="60">
        <v>1.1050685647079326</v>
      </c>
      <c r="U192" s="60">
        <v>1.1057849520361691</v>
      </c>
      <c r="V192" s="60">
        <v>1.1064938989190474</v>
      </c>
      <c r="W192" s="60">
        <v>1.1071954389604695</v>
      </c>
      <c r="X192" s="60">
        <v>1.1078896086221397</v>
      </c>
      <c r="Y192" s="60">
        <v>1.1085764470840869</v>
      </c>
      <c r="Z192" s="60">
        <v>1.1092559961072008</v>
      </c>
      <c r="AA192" s="60">
        <v>1.1099282998979574</v>
      </c>
      <c r="AB192" s="60">
        <v>1.110593404975488</v>
      </c>
      <c r="AC192" s="60">
        <v>1.1112513600411467</v>
      </c>
      <c r="AD192" s="60">
        <v>1.1119022158506986</v>
      </c>
      <c r="AE192" s="60">
        <v>1.1125460250892614</v>
      </c>
      <c r="AF192" s="60">
        <v>1.1131828422490939</v>
      </c>
      <c r="AG192" s="60">
        <v>1.1138127235103343</v>
      </c>
      <c r="AH192" s="60">
        <v>1.1144357266247691</v>
      </c>
      <c r="AI192" s="60">
        <f t="shared" si="5"/>
        <v>1.1144357266247691</v>
      </c>
      <c r="AJ192" s="13">
        <v>1030</v>
      </c>
    </row>
    <row r="193" spans="1:36" ht="9.9499999999999993" customHeight="1" x14ac:dyDescent="0.2">
      <c r="A193" s="60">
        <f t="shared" si="4"/>
        <v>1.0949496903896354</v>
      </c>
      <c r="B193" s="60">
        <v>1.0949496903896354</v>
      </c>
      <c r="C193" s="60">
        <v>1.0949619326448015</v>
      </c>
      <c r="D193" s="60">
        <v>1.0949823327135775</v>
      </c>
      <c r="E193" s="60">
        <v>1.0950068067073353</v>
      </c>
      <c r="F193" s="60">
        <v>1.0950231190126551</v>
      </c>
      <c r="G193" s="60">
        <v>1.0951046362446157</v>
      </c>
      <c r="H193" s="60">
        <v>1.0951860796318424</v>
      </c>
      <c r="I193" s="60">
        <v>1.095267449147008</v>
      </c>
      <c r="J193" s="60">
        <v>1.0953081061941659</v>
      </c>
      <c r="K193" s="60">
        <v>1.0953487447632886</v>
      </c>
      <c r="L193" s="60">
        <v>1.0957541134575732</v>
      </c>
      <c r="M193" s="60">
        <v>1.0965592944228799</v>
      </c>
      <c r="N193" s="60">
        <v>1.0981473629218343</v>
      </c>
      <c r="O193" s="60">
        <v>1.1012340277245625</v>
      </c>
      <c r="P193" s="60">
        <v>1.1027326106618316</v>
      </c>
      <c r="Q193" s="60">
        <v>1.1034707439581573</v>
      </c>
      <c r="R193" s="60">
        <v>1.104201459698857</v>
      </c>
      <c r="S193" s="60">
        <v>1.1049247782148792</v>
      </c>
      <c r="T193" s="60">
        <v>1.1056407231941792</v>
      </c>
      <c r="U193" s="60">
        <v>1.1063493215393179</v>
      </c>
      <c r="V193" s="60">
        <v>1.1070506032262695</v>
      </c>
      <c r="W193" s="60">
        <v>1.1077446011646548</v>
      </c>
      <c r="X193" s="60">
        <v>1.1084313510596022</v>
      </c>
      <c r="Y193" s="60">
        <v>1.1091108912754308</v>
      </c>
      <c r="Z193" s="60">
        <v>1.1097832627013307</v>
      </c>
      <c r="AA193" s="60">
        <v>1.1104485086192077</v>
      </c>
      <c r="AB193" s="60">
        <v>1.1111066745738452</v>
      </c>
      <c r="AC193" s="60">
        <v>1.1117578082455197</v>
      </c>
      <c r="AD193" s="60">
        <v>1.1124019593252004</v>
      </c>
      <c r="AE193" s="60">
        <v>1.1130391793924392</v>
      </c>
      <c r="AF193" s="60">
        <v>1.1136695217960642</v>
      </c>
      <c r="AG193" s="60">
        <v>1.1142930415377543</v>
      </c>
      <c r="AH193" s="60">
        <v>1.1149097951585734</v>
      </c>
      <c r="AI193" s="60">
        <f t="shared" si="5"/>
        <v>1.1149097951585734</v>
      </c>
      <c r="AJ193" s="13">
        <v>1035</v>
      </c>
    </row>
    <row r="194" spans="1:36" ht="9.9499999999999993" customHeight="1" x14ac:dyDescent="0.2">
      <c r="A194" s="60">
        <f t="shared" ref="A194:A226" si="6">B194</f>
        <v>1.0956381060863567</v>
      </c>
      <c r="B194" s="60">
        <v>1.0956381060863567</v>
      </c>
      <c r="C194" s="60">
        <v>1.0956502064872762</v>
      </c>
      <c r="D194" s="60">
        <v>1.0956703701934767</v>
      </c>
      <c r="E194" s="60">
        <v>1.0956945606530855</v>
      </c>
      <c r="F194" s="60">
        <v>1.0957106839968238</v>
      </c>
      <c r="G194" s="60">
        <v>1.0957912571552699</v>
      </c>
      <c r="H194" s="60">
        <v>1.0958717576934147</v>
      </c>
      <c r="I194" s="60">
        <v>1.0959521855845276</v>
      </c>
      <c r="J194" s="60">
        <v>1.0959923722792282</v>
      </c>
      <c r="K194" s="60">
        <v>1.0960325408023697</v>
      </c>
      <c r="L194" s="60">
        <v>1.0964332259084548</v>
      </c>
      <c r="M194" s="60">
        <v>1.0972291319260996</v>
      </c>
      <c r="N194" s="60">
        <v>1.0987990209562679</v>
      </c>
      <c r="O194" s="60">
        <v>1.1018508155408835</v>
      </c>
      <c r="P194" s="60">
        <v>1.10333270841716</v>
      </c>
      <c r="Q194" s="60">
        <v>1.1040626824104172</v>
      </c>
      <c r="R194" s="60">
        <v>1.1047853622454606</v>
      </c>
      <c r="S194" s="60">
        <v>1.1055007678423061</v>
      </c>
      <c r="T194" s="60">
        <v>1.1062089224053488</v>
      </c>
      <c r="U194" s="60">
        <v>1.1069098522839984</v>
      </c>
      <c r="V194" s="60">
        <v>1.1076035868345457</v>
      </c>
      <c r="W194" s="60">
        <v>1.1082901582834686</v>
      </c>
      <c r="X194" s="60">
        <v>1.1089696015923616</v>
      </c>
      <c r="Y194" s="60">
        <v>1.1096419543246892</v>
      </c>
      <c r="Z194" s="60">
        <v>1.1103072565145156</v>
      </c>
      <c r="AA194" s="60">
        <v>1.1109655505373759</v>
      </c>
      <c r="AB194" s="60">
        <v>1.1116168809834361</v>
      </c>
      <c r="AC194" s="60">
        <v>1.1122612945330645</v>
      </c>
      <c r="AD194" s="60">
        <v>1.1128988398349469</v>
      </c>
      <c r="AE194" s="60">
        <v>1.1135295673868419</v>
      </c>
      <c r="AF194" s="60">
        <v>1.1141535294190812</v>
      </c>
      <c r="AG194" s="60">
        <v>1.1147707797808915</v>
      </c>
      <c r="AH194" s="60">
        <v>1.1153813738296188</v>
      </c>
      <c r="AI194" s="60">
        <f t="shared" ref="AI194:AI226" si="7">AH194</f>
        <v>1.1153813738296188</v>
      </c>
      <c r="AJ194" s="13">
        <v>1040</v>
      </c>
    </row>
    <row r="195" spans="1:36" ht="9.9499999999999993" customHeight="1" x14ac:dyDescent="0.2">
      <c r="A195" s="60">
        <f t="shared" si="6"/>
        <v>1.0963207021677301</v>
      </c>
      <c r="B195" s="60">
        <v>1.0963207021677301</v>
      </c>
      <c r="C195" s="60">
        <v>1.0963326630050698</v>
      </c>
      <c r="D195" s="60">
        <v>1.0963525941653272</v>
      </c>
      <c r="E195" s="60">
        <v>1.0963765056688539</v>
      </c>
      <c r="F195" s="60">
        <v>1.0963924431019074</v>
      </c>
      <c r="G195" s="60">
        <v>1.0964720874275531</v>
      </c>
      <c r="H195" s="60">
        <v>1.0965516603343588</v>
      </c>
      <c r="I195" s="60">
        <v>1.0966311617961626</v>
      </c>
      <c r="J195" s="60">
        <v>1.0966708857271457</v>
      </c>
      <c r="K195" s="60">
        <v>1.0967105917872861</v>
      </c>
      <c r="L195" s="60">
        <v>1.0971066688175328</v>
      </c>
      <c r="M195" s="60">
        <v>1.0978934491714811</v>
      </c>
      <c r="N195" s="60">
        <v>1.0994454502627489</v>
      </c>
      <c r="O195" s="60">
        <v>1.1024629290790089</v>
      </c>
      <c r="P195" s="60">
        <v>1.1039283946473417</v>
      </c>
      <c r="Q195" s="60">
        <v>1.1046503370795064</v>
      </c>
      <c r="R195" s="60">
        <v>1.1053651063279173</v>
      </c>
      <c r="S195" s="60">
        <v>1.106072721904553</v>
      </c>
      <c r="T195" s="60">
        <v>1.1067732065353191</v>
      </c>
      <c r="U195" s="60">
        <v>1.1074665860236368</v>
      </c>
      <c r="V195" s="60">
        <v>1.1081528891152843</v>
      </c>
      <c r="W195" s="60">
        <v>1.1088321473646829</v>
      </c>
      <c r="X195" s="60">
        <v>1.1095043950028178</v>
      </c>
      <c r="Y195" s="60">
        <v>1.1101696688069613</v>
      </c>
      <c r="Z195" s="60">
        <v>1.1108280079723669</v>
      </c>
      <c r="AA195" s="60">
        <v>1.1114794539860779</v>
      </c>
      <c r="AB195" s="60">
        <v>1.1121240505029917</v>
      </c>
      <c r="AC195" s="60">
        <v>1.1127618432243012</v>
      </c>
      <c r="AD195" s="60">
        <v>1.1133928797784336</v>
      </c>
      <c r="AE195" s="60">
        <v>1.1140172096045853</v>
      </c>
      <c r="AF195" s="60">
        <v>1.1146348838389404</v>
      </c>
      <c r="AG195" s="60">
        <v>1.1152459552036598</v>
      </c>
      <c r="AH195" s="60">
        <v>1.1158504778987044</v>
      </c>
      <c r="AI195" s="60">
        <f t="shared" si="7"/>
        <v>1.1158504778987044</v>
      </c>
      <c r="AJ195" s="13">
        <v>1045</v>
      </c>
    </row>
    <row r="196" spans="1:36" ht="9.9499999999999993" customHeight="1" x14ac:dyDescent="0.2">
      <c r="A196" s="60">
        <f t="shared" si="6"/>
        <v>1.096997562223512</v>
      </c>
      <c r="B196" s="60">
        <v>1.096997562223512</v>
      </c>
      <c r="C196" s="60">
        <v>1.0970093857405794</v>
      </c>
      <c r="D196" s="60">
        <v>1.0970290880926168</v>
      </c>
      <c r="E196" s="60">
        <v>1.0970527251234758</v>
      </c>
      <c r="F196" s="60">
        <v>1.0970684796336652</v>
      </c>
      <c r="G196" s="60">
        <v>1.0971472100521253</v>
      </c>
      <c r="H196" s="60">
        <v>1.0972258702307112</v>
      </c>
      <c r="I196" s="60">
        <v>1.0973044601438064</v>
      </c>
      <c r="J196" s="60">
        <v>1.0973437287429191</v>
      </c>
      <c r="K196" s="60">
        <v>1.0973829797662673</v>
      </c>
      <c r="L196" s="60">
        <v>1.0977745226719646</v>
      </c>
      <c r="M196" s="60">
        <v>1.0985523235607602</v>
      </c>
      <c r="N196" s="60">
        <v>1.1000867222230402</v>
      </c>
      <c r="O196" s="60">
        <v>1.1030704283111077</v>
      </c>
      <c r="P196" s="60">
        <v>1.1045197239468634</v>
      </c>
      <c r="Q196" s="60">
        <v>1.1052337599547337</v>
      </c>
      <c r="R196" s="60">
        <v>1.1059407413866125</v>
      </c>
      <c r="S196" s="60">
        <v>1.1066406873495915</v>
      </c>
      <c r="T196" s="60">
        <v>1.1073336200963291</v>
      </c>
      <c r="U196" s="60">
        <v>1.1080195648915132</v>
      </c>
      <c r="V196" s="60">
        <v>1.1086985498795934</v>
      </c>
      <c r="W196" s="60">
        <v>1.1093706059539692</v>
      </c>
      <c r="X196" s="60">
        <v>1.1100357666278069</v>
      </c>
      <c r="Y196" s="60">
        <v>1.1106940679066579</v>
      </c>
      <c r="Z196" s="60">
        <v>1.1113455481630228</v>
      </c>
      <c r="AA196" s="60">
        <v>1.1119902480130122</v>
      </c>
      <c r="AB196" s="60">
        <v>1.1126282101952292</v>
      </c>
      <c r="AC196" s="60">
        <v>1.1132594794519939</v>
      </c>
      <c r="AD196" s="60">
        <v>1.1138841024130233</v>
      </c>
      <c r="AE196" s="60">
        <v>1.1145021274816542</v>
      </c>
      <c r="AF196" s="60">
        <v>1.1151136047237051</v>
      </c>
      <c r="AG196" s="60">
        <v>1.1157185857590441</v>
      </c>
      <c r="AH196" s="60">
        <v>1.1163171236559362</v>
      </c>
      <c r="AI196" s="60">
        <f t="shared" si="7"/>
        <v>1.1163171236559362</v>
      </c>
      <c r="AJ196" s="13">
        <v>1050</v>
      </c>
    </row>
    <row r="197" spans="1:36" ht="9.9499999999999993" customHeight="1" x14ac:dyDescent="0.2">
      <c r="A197" s="60">
        <f t="shared" si="6"/>
        <v>1.0976687691340741</v>
      </c>
      <c r="B197" s="60">
        <v>1.0976687691340741</v>
      </c>
      <c r="C197" s="60">
        <v>1.0976804575280095</v>
      </c>
      <c r="D197" s="60">
        <v>1.0976999347326275</v>
      </c>
      <c r="E197" s="60">
        <v>1.0977233016819654</v>
      </c>
      <c r="F197" s="60">
        <v>1.0977388761956215</v>
      </c>
      <c r="G197" s="60">
        <v>1.0978167073253453</v>
      </c>
      <c r="H197" s="60">
        <v>1.0978944693721331</v>
      </c>
      <c r="I197" s="60">
        <v>1.0979721623108898</v>
      </c>
      <c r="J197" s="60">
        <v>1.0980109828570415</v>
      </c>
      <c r="K197" s="60">
        <v>1.0980497861169847</v>
      </c>
      <c r="L197" s="60">
        <v>1.0984368673277094</v>
      </c>
      <c r="M197" s="60">
        <v>1.099205831942369</v>
      </c>
      <c r="N197" s="60">
        <v>1.1007229078178915</v>
      </c>
      <c r="O197" s="60">
        <v>1.1036733730974426</v>
      </c>
      <c r="P197" s="60">
        <v>1.1051067509344301</v>
      </c>
      <c r="Q197" s="60">
        <v>1.10581300311546</v>
      </c>
      <c r="R197" s="60">
        <v>1.1065123170162974</v>
      </c>
      <c r="S197" s="60">
        <v>1.1072047113425283</v>
      </c>
      <c r="T197" s="60">
        <v>1.107890207878959</v>
      </c>
      <c r="U197" s="60">
        <v>1.1085688313588757</v>
      </c>
      <c r="V197" s="60">
        <v>1.1092406093345906</v>
      </c>
      <c r="W197" s="60">
        <v>1.1099055720494455</v>
      </c>
      <c r="X197" s="60">
        <v>1.1105637523114518</v>
      </c>
      <c r="Y197" s="60">
        <v>1.1112151853687096</v>
      </c>
      <c r="Z197" s="60">
        <v>1.111859908786768</v>
      </c>
      <c r="AA197" s="60">
        <v>1.1124979623280489</v>
      </c>
      <c r="AB197" s="60">
        <v>1.1131293878334656</v>
      </c>
      <c r="AC197" s="60">
        <v>1.1137542291063496</v>
      </c>
      <c r="AD197" s="60">
        <v>1.1143725317987825</v>
      </c>
      <c r="AE197" s="60">
        <v>1.1149843433004352</v>
      </c>
      <c r="AF197" s="60">
        <v>1.1155897126299841</v>
      </c>
      <c r="AG197" s="60">
        <v>1.1161886903291862</v>
      </c>
      <c r="AH197" s="60">
        <v>1.1167813283596679</v>
      </c>
      <c r="AI197" s="60">
        <f t="shared" si="7"/>
        <v>1.1167813283596679</v>
      </c>
      <c r="AJ197" s="13">
        <v>1055</v>
      </c>
    </row>
    <row r="198" spans="1:36" ht="9.9499999999999993" customHeight="1" x14ac:dyDescent="0.2">
      <c r="A198" s="60">
        <f t="shared" si="6"/>
        <v>1.0983344050619441</v>
      </c>
      <c r="B198" s="60">
        <v>1.0983344050619441</v>
      </c>
      <c r="C198" s="60">
        <v>1.0983459604848769</v>
      </c>
      <c r="D198" s="60">
        <v>1.0983652161278816</v>
      </c>
      <c r="E198" s="60">
        <v>1.0983883172968889</v>
      </c>
      <c r="F198" s="60">
        <v>1.0984037146803951</v>
      </c>
      <c r="G198" s="60">
        <v>1.0984806608403661</v>
      </c>
      <c r="H198" s="60">
        <v>1.0985575390527684</v>
      </c>
      <c r="I198" s="60">
        <v>1.0986343492930071</v>
      </c>
      <c r="J198" s="60">
        <v>1.0986727289160032</v>
      </c>
      <c r="K198" s="60">
        <v>1.0987110915369411</v>
      </c>
      <c r="L198" s="60">
        <v>1.0990937819987447</v>
      </c>
      <c r="M198" s="60">
        <v>1.099854050598329</v>
      </c>
      <c r="N198" s="60">
        <v>1.1013540776093642</v>
      </c>
      <c r="O198" s="60">
        <v>1.1042718231599697</v>
      </c>
      <c r="P198" s="60">
        <v>1.1056895302224437</v>
      </c>
      <c r="Q198" s="60">
        <v>1.1063881186985829</v>
      </c>
      <c r="R198" s="60">
        <v>1.1070798829316242</v>
      </c>
      <c r="S198" s="60">
        <v>1.1077648412292409</v>
      </c>
      <c r="T198" s="60">
        <v>1.1084430149139175</v>
      </c>
      <c r="U198" s="60">
        <v>1.1091144281949346</v>
      </c>
      <c r="V198" s="60">
        <v>1.1097791080416475</v>
      </c>
      <c r="W198" s="60">
        <v>1.1104370840582367</v>
      </c>
      <c r="X198" s="60">
        <v>1.1110883883600782</v>
      </c>
      <c r="Y198" s="60">
        <v>1.1117330554518972</v>
      </c>
      <c r="Z198" s="60">
        <v>1.112371122107833</v>
      </c>
      <c r="AA198" s="60">
        <v>1.1130026272535518</v>
      </c>
      <c r="AB198" s="60">
        <v>1.1136276118505184</v>
      </c>
      <c r="AC198" s="60">
        <v>1.1142461187825434</v>
      </c>
      <c r="AD198" s="60">
        <v>1.1148581927446941</v>
      </c>
      <c r="AE198" s="60">
        <v>1.1154638801346644</v>
      </c>
      <c r="AF198" s="60">
        <v>1.116063228946673</v>
      </c>
      <c r="AG198" s="60">
        <v>1.1166562886679676</v>
      </c>
      <c r="AH198" s="60">
        <v>1.1172431101779827</v>
      </c>
      <c r="AI198" s="60">
        <f t="shared" si="7"/>
        <v>1.1172431101779827</v>
      </c>
      <c r="AJ198" s="13">
        <v>1060</v>
      </c>
    </row>
    <row r="199" spans="1:36" ht="9.9499999999999993" customHeight="1" x14ac:dyDescent="0.2">
      <c r="A199" s="60">
        <f t="shared" si="6"/>
        <v>1.0989945514440398</v>
      </c>
      <c r="B199" s="60">
        <v>1.0989945514440398</v>
      </c>
      <c r="C199" s="60">
        <v>1.0990059760042117</v>
      </c>
      <c r="D199" s="60">
        <v>1.0990250135982853</v>
      </c>
      <c r="E199" s="60">
        <v>1.0990478532004408</v>
      </c>
      <c r="F199" s="60">
        <v>1.0990630762617282</v>
      </c>
      <c r="G199" s="60">
        <v>1.0991391514789361</v>
      </c>
      <c r="H199" s="60">
        <v>1.0992151598628195</v>
      </c>
      <c r="I199" s="60">
        <v>1.0992911013892612</v>
      </c>
      <c r="J199" s="60">
        <v>1.0993290470735273</v>
      </c>
      <c r="K199" s="60">
        <v>1.0993669760345908</v>
      </c>
      <c r="L199" s="60">
        <v>1.0997453452470574</v>
      </c>
      <c r="M199" s="60">
        <v>1.1004970552319973</v>
      </c>
      <c r="N199" s="60">
        <v>1.1019803017241685</v>
      </c>
      <c r="O199" s="60">
        <v>1.1048658380572542</v>
      </c>
      <c r="P199" s="60">
        <v>1.1062681163879406</v>
      </c>
      <c r="Q199" s="60">
        <v>1.1069591588675511</v>
      </c>
      <c r="R199" s="60">
        <v>1.1076434889342863</v>
      </c>
      <c r="S199" s="60">
        <v>1.1083211245016886</v>
      </c>
      <c r="T199" s="60">
        <v>1.1089920864355711</v>
      </c>
      <c r="U199" s="60">
        <v>1.1096563984286536</v>
      </c>
      <c r="V199" s="60">
        <v>1.1103140868765031</v>
      </c>
      <c r="W199" s="60">
        <v>1.1109651807549477</v>
      </c>
      <c r="X199" s="60">
        <v>1.1116097114991117</v>
      </c>
      <c r="Y199" s="60">
        <v>1.112247712884217</v>
      </c>
      <c r="Z199" s="60">
        <v>1.1128792209082818</v>
      </c>
      <c r="AA199" s="60">
        <v>1.1135042736768386</v>
      </c>
      <c r="AB199" s="60">
        <v>1.1141229112897881</v>
      </c>
      <c r="AC199" s="60">
        <v>1.1147351757304846</v>
      </c>
      <c r="AD199" s="60">
        <v>1.1153411107571505</v>
      </c>
      <c r="AE199" s="60">
        <v>1.1159407617967023</v>
      </c>
      <c r="AF199" s="60">
        <v>1.1165341758410594</v>
      </c>
      <c r="AG199" s="60">
        <v>1.1171214013459985</v>
      </c>
      <c r="AH199" s="60">
        <v>1.1177024881326139</v>
      </c>
      <c r="AI199" s="60">
        <f t="shared" si="7"/>
        <v>1.1177024881326139</v>
      </c>
      <c r="AJ199" s="13">
        <v>1065</v>
      </c>
    </row>
    <row r="200" spans="1:36" ht="9.9499999999999993" customHeight="1" x14ac:dyDescent="0.2">
      <c r="A200" s="60">
        <f t="shared" si="6"/>
        <v>1.0996492889845659</v>
      </c>
      <c r="B200" s="60">
        <v>1.0996492889845659</v>
      </c>
      <c r="C200" s="60">
        <v>1.0996605847474212</v>
      </c>
      <c r="D200" s="60">
        <v>1.0996794077339385</v>
      </c>
      <c r="E200" s="60">
        <v>1.0997019898971869</v>
      </c>
      <c r="F200" s="60">
        <v>1.0997170413871851</v>
      </c>
      <c r="G200" s="60">
        <v>1.0997922594038785</v>
      </c>
      <c r="H200" s="60">
        <v>1.0998674116808054</v>
      </c>
      <c r="I200" s="60">
        <v>1.0999424981943067</v>
      </c>
      <c r="J200" s="60">
        <v>1.0999800167824991</v>
      </c>
      <c r="K200" s="60">
        <v>1.1000175189211614</v>
      </c>
      <c r="L200" s="60">
        <v>1.1003916349733722</v>
      </c>
      <c r="M200" s="60">
        <v>1.1011349209566286</v>
      </c>
      <c r="N200" s="60">
        <v>1.1026016498379707</v>
      </c>
      <c r="O200" s="60">
        <v>1.1054554771606497</v>
      </c>
      <c r="P200" s="60">
        <v>1.106842563944934</v>
      </c>
      <c r="Q200" s="60">
        <v>1.1075261757828547</v>
      </c>
      <c r="R200" s="60">
        <v>1.1082031848816944</v>
      </c>
      <c r="S200" s="60">
        <v>1.1088736087648217</v>
      </c>
      <c r="T200" s="60">
        <v>1.1095374678471335</v>
      </c>
      <c r="U200" s="60">
        <v>1.1101947853122716</v>
      </c>
      <c r="V200" s="60">
        <v>1.1108455869911547</v>
      </c>
      <c r="W200" s="60">
        <v>1.1114899012419841</v>
      </c>
      <c r="X200" s="60">
        <v>1.1121277588318677</v>
      </c>
      <c r="Y200" s="60">
        <v>1.1127591928201959</v>
      </c>
      <c r="Z200" s="60">
        <v>1.1133842384438972</v>
      </c>
      <c r="AA200" s="60">
        <v>1.1140029330046914</v>
      </c>
      <c r="AB200" s="60">
        <v>1.1146153157584435</v>
      </c>
      <c r="AC200" s="60">
        <v>1.1152214278067198</v>
      </c>
      <c r="AD200" s="60">
        <v>1.1158213119906293</v>
      </c>
      <c r="AE200" s="60">
        <v>1.116415012787034</v>
      </c>
      <c r="AF200" s="60">
        <v>1.1170025762071938</v>
      </c>
      <c r="AG200" s="60">
        <v>1.1175840496979077</v>
      </c>
      <c r="AH200" s="60">
        <v>1.1181594820452017</v>
      </c>
      <c r="AI200" s="60">
        <f t="shared" si="7"/>
        <v>1.1181594820452017</v>
      </c>
      <c r="AJ200" s="13">
        <v>1070</v>
      </c>
    </row>
    <row r="201" spans="1:36" ht="9.9499999999999993" customHeight="1" x14ac:dyDescent="0.2">
      <c r="A201" s="60">
        <f t="shared" si="6"/>
        <v>1.1002986976485376</v>
      </c>
      <c r="B201" s="60">
        <v>1.1002986976485376</v>
      </c>
      <c r="C201" s="60">
        <v>1.1003098666377804</v>
      </c>
      <c r="D201" s="60">
        <v>1.1003284783885698</v>
      </c>
      <c r="E201" s="60">
        <v>1.1003508071574373</v>
      </c>
      <c r="F201" s="60">
        <v>1.1003656897714851</v>
      </c>
      <c r="G201" s="60">
        <v>1.1004400640522114</v>
      </c>
      <c r="H201" s="60">
        <v>1.1005143736664704</v>
      </c>
      <c r="I201" s="60">
        <v>1.100588618591043</v>
      </c>
      <c r="J201" s="60">
        <v>1.1006257167875582</v>
      </c>
      <c r="K201" s="60">
        <v>1.1006627988031386</v>
      </c>
      <c r="L201" s="60">
        <v>1.1010327284085821</v>
      </c>
      <c r="M201" s="60">
        <v>1.1017677222847109</v>
      </c>
      <c r="N201" s="60">
        <v>1.1032181911606178</v>
      </c>
      <c r="O201" s="60">
        <v>1.1060407996316788</v>
      </c>
      <c r="P201" s="60">
        <v>1.1074129273180962</v>
      </c>
      <c r="Q201" s="60">
        <v>1.1080892215739109</v>
      </c>
      <c r="R201" s="60">
        <v>1.1087590206571165</v>
      </c>
      <c r="S201" s="60">
        <v>1.1094223417050191</v>
      </c>
      <c r="T201" s="60">
        <v>1.1100792046874433</v>
      </c>
      <c r="U201" s="60">
        <v>1.1107296322864628</v>
      </c>
      <c r="V201" s="60">
        <v>1.1113736497774542</v>
      </c>
      <c r="W201" s="60">
        <v>1.1120112849116253</v>
      </c>
      <c r="X201" s="60">
        <v>1.1126425678001521</v>
      </c>
      <c r="Y201" s="60">
        <v>1.1132675308000637</v>
      </c>
      <c r="Z201" s="60">
        <v>1.1138862084019789</v>
      </c>
      <c r="AA201" s="60">
        <v>1.1144986371198213</v>
      </c>
      <c r="AB201" s="60">
        <v>1.1151048553826046</v>
      </c>
      <c r="AC201" s="60">
        <v>1.115704903428385</v>
      </c>
      <c r="AD201" s="60">
        <v>1.1162988232004598</v>
      </c>
      <c r="AE201" s="60">
        <v>1.1168866582458918</v>
      </c>
      <c r="AF201" s="60">
        <v>1.1174684536164226</v>
      </c>
      <c r="AG201" s="60">
        <v>1.1180442557718304</v>
      </c>
      <c r="AH201" s="60">
        <v>1.1186141124857831</v>
      </c>
      <c r="AI201" s="60">
        <f t="shared" si="7"/>
        <v>1.1186141124857831</v>
      </c>
      <c r="AJ201" s="13">
        <v>1075</v>
      </c>
    </row>
    <row r="202" spans="1:36" ht="9.9499999999999993" customHeight="1" x14ac:dyDescent="0.2">
      <c r="A202" s="60">
        <f t="shared" si="6"/>
        <v>1.1009428566559061</v>
      </c>
      <c r="B202" s="60">
        <v>1.1009428566559061</v>
      </c>
      <c r="C202" s="60">
        <v>1.1009539008545279</v>
      </c>
      <c r="D202" s="60">
        <v>1.100972304673584</v>
      </c>
      <c r="E202" s="60">
        <v>1.1009943840112297</v>
      </c>
      <c r="F202" s="60">
        <v>1.101009100390443</v>
      </c>
      <c r="G202" s="60">
        <v>1.101082644128883</v>
      </c>
      <c r="H202" s="60">
        <v>1.1011561242543155</v>
      </c>
      <c r="I202" s="60">
        <v>1.1012295407439425</v>
      </c>
      <c r="J202" s="60">
        <v>1.1012662251183194</v>
      </c>
      <c r="K202" s="60">
        <v>1.1013028935753861</v>
      </c>
      <c r="L202" s="60">
        <v>1.1016687021058487</v>
      </c>
      <c r="M202" s="60">
        <v>1.1023955331180446</v>
      </c>
      <c r="N202" s="60">
        <v>1.1038299944222507</v>
      </c>
      <c r="O202" s="60">
        <v>1.1066218644005716</v>
      </c>
      <c r="P202" s="60">
        <v>1.1079792608177184</v>
      </c>
      <c r="Q202" s="60">
        <v>1.1086483483123037</v>
      </c>
      <c r="R202" s="60">
        <v>1.1093110461412306</v>
      </c>
      <c r="S202" s="60">
        <v>1.1099673710599929</v>
      </c>
      <c r="T202" s="60">
        <v>1.1106173425992667</v>
      </c>
      <c r="U202" s="60">
        <v>1.1112609829470832</v>
      </c>
      <c r="V202" s="60">
        <v>1.1118983168323415</v>
      </c>
      <c r="W202" s="60">
        <v>1.1125293714097877</v>
      </c>
      <c r="X202" s="60">
        <v>1.1131541761466037</v>
      </c>
      <c r="Y202" s="60">
        <v>1.1137727627107206</v>
      </c>
      <c r="Z202" s="60">
        <v>1.1143851648609766</v>
      </c>
      <c r="AA202" s="60">
        <v>1.1149914183392196</v>
      </c>
      <c r="AB202" s="60">
        <v>1.1155915607644544</v>
      </c>
      <c r="AC202" s="60">
        <v>1.116185631529123</v>
      </c>
      <c r="AD202" s="60">
        <v>1.1167736716975931</v>
      </c>
      <c r="AE202" s="60">
        <v>1.1173557239069287</v>
      </c>
      <c r="AF202" s="60">
        <v>1.1179318322700043</v>
      </c>
      <c r="AG202" s="60">
        <v>1.1185020422810148</v>
      </c>
      <c r="AH202" s="60">
        <v>1.1190664007234314</v>
      </c>
      <c r="AI202" s="60">
        <f t="shared" si="7"/>
        <v>1.1190664007234314</v>
      </c>
      <c r="AJ202" s="13">
        <v>1080</v>
      </c>
    </row>
    <row r="203" spans="1:36" ht="9.9499999999999993" customHeight="1" x14ac:dyDescent="0.2">
      <c r="A203" s="60">
        <f t="shared" si="6"/>
        <v>1.1015818444762586</v>
      </c>
      <c r="B203" s="60">
        <v>1.1015818444762586</v>
      </c>
      <c r="C203" s="60">
        <v>1.1015927658275344</v>
      </c>
      <c r="D203" s="60">
        <v>1.1016109649526806</v>
      </c>
      <c r="E203" s="60">
        <v>1.1016327987428907</v>
      </c>
      <c r="F203" s="60">
        <v>1.1016473514754896</v>
      </c>
      <c r="G203" s="60">
        <v>1.1017200776010954</v>
      </c>
      <c r="H203" s="60">
        <v>1.1017927411477226</v>
      </c>
      <c r="I203" s="60">
        <v>1.1018653420929772</v>
      </c>
      <c r="J203" s="60">
        <v>1.1019016190832047</v>
      </c>
      <c r="K203" s="60">
        <v>1.1019378804148776</v>
      </c>
      <c r="L203" s="60">
        <v>1.1022996319333485</v>
      </c>
      <c r="M203" s="60">
        <v>1.1030184267385363</v>
      </c>
      <c r="N203" s="60">
        <v>1.1044371278602583</v>
      </c>
      <c r="O203" s="60">
        <v>1.1071987301459105</v>
      </c>
      <c r="P203" s="60">
        <v>1.1085416186159107</v>
      </c>
      <c r="Q203" s="60">
        <v>1.1092036079863099</v>
      </c>
      <c r="R203" s="60">
        <v>1.1098593111850195</v>
      </c>
      <c r="S203" s="60">
        <v>1.1105087445900998</v>
      </c>
      <c r="T203" s="60">
        <v>1.1111519272990629</v>
      </c>
      <c r="U203" s="60">
        <v>1.1117888810134318</v>
      </c>
      <c r="V203" s="60">
        <v>1.1124196299246414</v>
      </c>
      <c r="W203" s="60">
        <v>1.1130442006014081</v>
      </c>
      <c r="X203" s="60">
        <v>1.1136626218786991</v>
      </c>
      <c r="Y203" s="60">
        <v>1.1142749247484123</v>
      </c>
      <c r="Z203" s="60">
        <v>1.1148811422518818</v>
      </c>
      <c r="AA203" s="60">
        <v>1.1154813093743072</v>
      </c>
      <c r="AB203" s="60">
        <v>1.1160754629411913</v>
      </c>
      <c r="AC203" s="60">
        <v>1.1166636415168854</v>
      </c>
      <c r="AD203" s="60">
        <v>1.1172458853052971</v>
      </c>
      <c r="AE203" s="60">
        <v>1.1178222360528467</v>
      </c>
      <c r="AF203" s="60">
        <v>1.1183927369537163</v>
      </c>
      <c r="AG203" s="60">
        <v>1.1189574325574507</v>
      </c>
      <c r="AH203" s="60">
        <v>1.1195163686789509</v>
      </c>
      <c r="AI203" s="60">
        <f t="shared" si="7"/>
        <v>1.1195163686789509</v>
      </c>
      <c r="AJ203" s="13">
        <v>1085</v>
      </c>
    </row>
    <row r="204" spans="1:36" ht="9.9499999999999993" customHeight="1" x14ac:dyDescent="0.2">
      <c r="A204" s="60">
        <f t="shared" si="6"/>
        <v>1.1022157388240581</v>
      </c>
      <c r="B204" s="60">
        <v>1.1022157388240581</v>
      </c>
      <c r="C204" s="60">
        <v>1.1022265392325168</v>
      </c>
      <c r="D204" s="60">
        <v>1.1022445368370173</v>
      </c>
      <c r="E204" s="60">
        <v>1.1022661288861411</v>
      </c>
      <c r="F204" s="60">
        <v>1.1022805205087411</v>
      </c>
      <c r="G204" s="60">
        <v>1.1023524416931805</v>
      </c>
      <c r="H204" s="60">
        <v>1.1024243013136397</v>
      </c>
      <c r="I204" s="60">
        <v>1.102496099348113</v>
      </c>
      <c r="J204" s="60">
        <v>1.1025319752638383</v>
      </c>
      <c r="K204" s="60">
        <v>1.102567835774998</v>
      </c>
      <c r="L204" s="60">
        <v>1.1029255930676227</v>
      </c>
      <c r="M204" s="60">
        <v>1.1036364757996573</v>
      </c>
      <c r="N204" s="60">
        <v>1.1050396592070388</v>
      </c>
      <c r="O204" s="60">
        <v>1.1077714552753259</v>
      </c>
      <c r="P204" s="60">
        <v>1.1091000547239631</v>
      </c>
      <c r="Q204" s="60">
        <v>1.109755052476652</v>
      </c>
      <c r="R204" s="60">
        <v>1.1104038655839557</v>
      </c>
      <c r="S204" s="60">
        <v>1.1110465100509892</v>
      </c>
      <c r="T204" s="60">
        <v>1.1116830045481394</v>
      </c>
      <c r="U204" s="60">
        <v>1.1123133702979524</v>
      </c>
      <c r="V204" s="60">
        <v>1.1129376309633576</v>
      </c>
      <c r="W204" s="60">
        <v>1.1135558125373657</v>
      </c>
      <c r="X204" s="60">
        <v>1.1141679432343523</v>
      </c>
      <c r="Y204" s="60">
        <v>1.1147740533830424</v>
      </c>
      <c r="Z204" s="60">
        <v>1.1153741753212982</v>
      </c>
      <c r="AA204" s="60">
        <v>1.1159683432928054</v>
      </c>
      <c r="AB204" s="60">
        <v>1.1165565933457455</v>
      </c>
      <c r="AC204" s="60">
        <v>1.1171389632335318</v>
      </c>
      <c r="AD204" s="60">
        <v>1.1177154923176835</v>
      </c>
      <c r="AE204" s="60">
        <v>1.1182862214728959</v>
      </c>
      <c r="AF204" s="60">
        <v>1.1188511929943694</v>
      </c>
      <c r="AG204" s="60">
        <v>1.1194104505074363</v>
      </c>
      <c r="AH204" s="60">
        <v>1.1199640388795375</v>
      </c>
      <c r="AI204" s="60">
        <f t="shared" si="7"/>
        <v>1.1199640388795375</v>
      </c>
      <c r="AJ204" s="13">
        <v>1090</v>
      </c>
    </row>
    <row r="205" spans="1:36" ht="9.9499999999999993" customHeight="1" x14ac:dyDescent="0.2">
      <c r="A205" s="60">
        <f t="shared" si="6"/>
        <v>1.1028446166544124</v>
      </c>
      <c r="B205" s="60">
        <v>1.1028446166544124</v>
      </c>
      <c r="C205" s="60">
        <v>1.1028552979867765</v>
      </c>
      <c r="D205" s="60">
        <v>1.1028730971809042</v>
      </c>
      <c r="E205" s="60">
        <v>1.1028944512197345</v>
      </c>
      <c r="F205" s="60">
        <v>1.1029086842186002</v>
      </c>
      <c r="G205" s="60">
        <v>1.1029798128820159</v>
      </c>
      <c r="H205" s="60">
        <v>1.1030508809778119</v>
      </c>
      <c r="I205" s="60">
        <v>1.1031218884843543</v>
      </c>
      <c r="J205" s="60">
        <v>1.1031573695100032</v>
      </c>
      <c r="K205" s="60">
        <v>1.103192835380405</v>
      </c>
      <c r="L205" s="60">
        <v>1.1035466599875183</v>
      </c>
      <c r="M205" s="60">
        <v>1.1042497523185626</v>
      </c>
      <c r="N205" s="60">
        <v>1.1056376556785348</v>
      </c>
      <c r="O205" s="60">
        <v>1.1083400979072111</v>
      </c>
      <c r="P205" s="60">
        <v>1.1096546229708464</v>
      </c>
      <c r="Q205" s="60">
        <v>1.1103027335334446</v>
      </c>
      <c r="R205" s="60">
        <v>1.1109447590534269</v>
      </c>
      <c r="S205" s="60">
        <v>1.1115807151675483</v>
      </c>
      <c r="T205" s="60">
        <v>1.1122106201251551</v>
      </c>
      <c r="U205" s="60">
        <v>1.1128344946773348</v>
      </c>
      <c r="V205" s="60">
        <v>1.113452361967409</v>
      </c>
      <c r="W205" s="60">
        <v>1.1140642474228957</v>
      </c>
      <c r="X205" s="60">
        <v>1.1146701786490445</v>
      </c>
      <c r="Y205" s="60">
        <v>1.1152701853240647</v>
      </c>
      <c r="Z205" s="60">
        <v>1.1158642990961318</v>
      </c>
      <c r="AA205" s="60">
        <v>1.11645255348227</v>
      </c>
      <c r="AB205" s="60">
        <v>1.117034983769192</v>
      </c>
      <c r="AC205" s="60">
        <v>1.1176116269161709</v>
      </c>
      <c r="AD205" s="60">
        <v>1.1181825214600118</v>
      </c>
      <c r="AE205" s="60">
        <v>1.1187477074221823</v>
      </c>
      <c r="AF205" s="60">
        <v>1.1193072262181567</v>
      </c>
      <c r="AG205" s="60">
        <v>1.1198611205690154</v>
      </c>
      <c r="AH205" s="60">
        <v>1.1204094344153417</v>
      </c>
      <c r="AI205" s="60">
        <f t="shared" si="7"/>
        <v>1.1204094344153417</v>
      </c>
      <c r="AJ205" s="13">
        <v>1095</v>
      </c>
    </row>
    <row r="206" spans="1:36" ht="9.9499999999999993" customHeight="1" x14ac:dyDescent="0.2">
      <c r="A206" s="60">
        <f t="shared" si="6"/>
        <v>1.1034685541593328</v>
      </c>
      <c r="B206" s="60">
        <v>1.1034685541593328</v>
      </c>
      <c r="C206" s="60">
        <v>1.1034791182454322</v>
      </c>
      <c r="D206" s="60">
        <v>1.1034967220779928</v>
      </c>
      <c r="E206" s="60">
        <v>1.1035178417635909</v>
      </c>
      <c r="F206" s="60">
        <v>1.1035319185758514</v>
      </c>
      <c r="G206" s="60">
        <v>1.1036022668929439</v>
      </c>
      <c r="H206" s="60">
        <v>1.1036725556205214</v>
      </c>
      <c r="I206" s="60">
        <v>1.1037427847373067</v>
      </c>
      <c r="J206" s="60">
        <v>1.1037778769351096</v>
      </c>
      <c r="K206" s="60">
        <v>1.1038129542224113</v>
      </c>
      <c r="L206" s="60">
        <v>1.1041629064686806</v>
      </c>
      <c r="M206" s="60">
        <v>1.1048583276688184</v>
      </c>
      <c r="N206" s="60">
        <v>1.1062311839635028</v>
      </c>
      <c r="O206" s="60">
        <v>1.1089047158534013</v>
      </c>
      <c r="P206" s="60">
        <v>1.1102053769827824</v>
      </c>
      <c r="Q206" s="60">
        <v>1.1108467027542612</v>
      </c>
      <c r="R206" s="60">
        <v>1.1114820412053368</v>
      </c>
      <c r="S206" s="60">
        <v>1.1121114076090763</v>
      </c>
      <c r="T206" s="60">
        <v>1.1127348197999003</v>
      </c>
      <c r="U206" s="60">
        <v>1.1133522980649402</v>
      </c>
      <c r="V206" s="60">
        <v>1.1139638650367401</v>
      </c>
      <c r="W206" s="60">
        <v>1.1145695455874216</v>
      </c>
      <c r="X206" s="60">
        <v>1.1151693667244174</v>
      </c>
      <c r="Y206" s="60">
        <v>1.1157633574878756</v>
      </c>
      <c r="Z206" s="60">
        <v>1.1163515488498263</v>
      </c>
      <c r="AA206" s="60">
        <v>1.1169339736152024</v>
      </c>
      <c r="AB206" s="60">
        <v>1.117510666324784</v>
      </c>
      <c r="AC206" s="60">
        <v>1.1180816631601476</v>
      </c>
      <c r="AD206" s="60">
        <v>1.1186470018506767</v>
      </c>
      <c r="AE206" s="60">
        <v>1.1192067215826926</v>
      </c>
      <c r="AF206" s="60">
        <v>1.1197608629107583</v>
      </c>
      <c r="AG206" s="60">
        <v>1.1203094676711916</v>
      </c>
      <c r="AH206" s="60">
        <v>1.1208525788978323</v>
      </c>
      <c r="AI206" s="60">
        <f t="shared" si="7"/>
        <v>1.1208525788978323</v>
      </c>
      <c r="AJ206" s="13">
        <v>1100</v>
      </c>
    </row>
    <row r="207" spans="1:36" ht="9.9499999999999993" customHeight="1" x14ac:dyDescent="0.2">
      <c r="A207" s="60">
        <f t="shared" si="6"/>
        <v>1.1040876267644695</v>
      </c>
      <c r="B207" s="60">
        <v>1.1040876267644695</v>
      </c>
      <c r="C207" s="60">
        <v>1.10409807539813</v>
      </c>
      <c r="D207" s="60">
        <v>1.1041154868579395</v>
      </c>
      <c r="E207" s="60">
        <v>1.1041363757754115</v>
      </c>
      <c r="F207" s="60">
        <v>1.1041502987902438</v>
      </c>
      <c r="G207" s="60">
        <v>1.1042198786961777</v>
      </c>
      <c r="H207" s="60">
        <v>1.1042893999728198</v>
      </c>
      <c r="I207" s="60">
        <v>1.1043588625992358</v>
      </c>
      <c r="J207" s="60">
        <v>1.1043935719121718</v>
      </c>
      <c r="K207" s="60">
        <v>1.1044282665548735</v>
      </c>
      <c r="L207" s="60">
        <v>1.1047744055785815</v>
      </c>
      <c r="M207" s="60">
        <v>1.1054622725737233</v>
      </c>
      <c r="N207" s="60">
        <v>1.1068203102134939</v>
      </c>
      <c r="O207" s="60">
        <v>1.1094653666027856</v>
      </c>
      <c r="P207" s="60">
        <v>1.1107523701638553</v>
      </c>
      <c r="Q207" s="60">
        <v>1.1113870115632942</v>
      </c>
      <c r="R207" s="60">
        <v>1.1120157615258477</v>
      </c>
      <c r="S207" s="60">
        <v>1.1126386349656414</v>
      </c>
      <c r="T207" s="60">
        <v>1.1132556493083097</v>
      </c>
      <c r="U207" s="60">
        <v>1.1138668243845045</v>
      </c>
      <c r="V207" s="60">
        <v>1.1144721823247499</v>
      </c>
      <c r="W207" s="60">
        <v>1.1150717474557528</v>
      </c>
      <c r="X207" s="60">
        <v>1.1156655461982745</v>
      </c>
      <c r="Y207" s="60">
        <v>1.1162536069666547</v>
      </c>
      <c r="Z207" s="60">
        <v>1.1168359600700812</v>
      </c>
      <c r="AA207" s="60">
        <v>1.1174126376156872</v>
      </c>
      <c r="AB207" s="60">
        <v>1.1179836734135447</v>
      </c>
      <c r="AC207" s="60">
        <v>1.1185491028836319</v>
      </c>
      <c r="AD207" s="60">
        <v>1.1191089629648259</v>
      </c>
      <c r="AE207" s="60">
        <v>1.1196632920259799</v>
      </c>
      <c r="AF207" s="60">
        <v>1.1202121297791279</v>
      </c>
      <c r="AG207" s="60">
        <v>1.120755517194862</v>
      </c>
      <c r="AH207" s="60">
        <v>1.1212934964199117</v>
      </c>
      <c r="AI207" s="60">
        <f t="shared" si="7"/>
        <v>1.1212934964199117</v>
      </c>
      <c r="AJ207" s="13">
        <v>1105</v>
      </c>
    </row>
    <row r="208" spans="1:36" ht="9.9499999999999993" customHeight="1" x14ac:dyDescent="0.2">
      <c r="A208" s="60">
        <f t="shared" si="6"/>
        <v>1.1047019091262995</v>
      </c>
      <c r="B208" s="60">
        <v>1.1047019091262995</v>
      </c>
      <c r="C208" s="60">
        <v>1.1047122440662041</v>
      </c>
      <c r="D208" s="60">
        <v>1.1047294660835267</v>
      </c>
      <c r="E208" s="60">
        <v>1.1047501277477465</v>
      </c>
      <c r="F208" s="60">
        <v>1.1047638993075257</v>
      </c>
      <c r="G208" s="60">
        <v>1.1048327225036696</v>
      </c>
      <c r="H208" s="60">
        <v>1.1049014880132302</v>
      </c>
      <c r="I208" s="60">
        <v>1.1049701958156029</v>
      </c>
      <c r="J208" s="60">
        <v>1.1050045280702574</v>
      </c>
      <c r="K208" s="60">
        <v>1.1050388458905578</v>
      </c>
      <c r="L208" s="60">
        <v>1.1053812296720527</v>
      </c>
      <c r="M208" s="60">
        <v>1.1060616571001964</v>
      </c>
      <c r="N208" s="60">
        <v>1.1074051000335052</v>
      </c>
      <c r="O208" s="60">
        <v>1.1100221073058025</v>
      </c>
      <c r="P208" s="60">
        <v>1.1112956556776052</v>
      </c>
      <c r="Q208" s="60">
        <v>1.1119237111915481</v>
      </c>
      <c r="R208" s="60">
        <v>1.1125459693542061</v>
      </c>
      <c r="S208" s="60">
        <v>1.1131624447255741</v>
      </c>
      <c r="T208" s="60">
        <v>1.1137731543286551</v>
      </c>
      <c r="U208" s="60">
        <v>1.1143781175450662</v>
      </c>
      <c r="V208" s="60">
        <v>1.1149773560119922</v>
      </c>
      <c r="W208" s="60">
        <v>1.1155708935205875</v>
      </c>
      <c r="X208" s="60">
        <v>1.1161587559159261</v>
      </c>
      <c r="Y208" s="60">
        <v>1.1167409709985927</v>
      </c>
      <c r="Z208" s="60">
        <v>1.1173175684279972</v>
      </c>
      <c r="AA208" s="60">
        <v>1.1178885796274898</v>
      </c>
      <c r="AB208" s="60">
        <v>1.1184540376913534</v>
      </c>
      <c r="AC208" s="60">
        <v>1.1190139772937275</v>
      </c>
      <c r="AD208" s="60">
        <v>1.1195684345995325</v>
      </c>
      <c r="AE208" s="60">
        <v>1.1201174471774342</v>
      </c>
      <c r="AF208" s="60">
        <v>1.120661053914902</v>
      </c>
      <c r="AG208" s="60">
        <v>1.1211992949353922</v>
      </c>
      <c r="AH208" s="60">
        <v>1.1217322115176933</v>
      </c>
      <c r="AI208" s="60">
        <f t="shared" si="7"/>
        <v>1.1217322115176933</v>
      </c>
      <c r="AJ208" s="13">
        <v>1110</v>
      </c>
    </row>
    <row r="209" spans="1:36" ht="9.9499999999999993" customHeight="1" x14ac:dyDescent="0.2">
      <c r="A209" s="60">
        <f t="shared" si="6"/>
        <v>1.105311475129743</v>
      </c>
      <c r="B209" s="60">
        <v>1.105311475129743</v>
      </c>
      <c r="C209" s="60">
        <v>1.1053216981002711</v>
      </c>
      <c r="D209" s="60">
        <v>1.1053387335482163</v>
      </c>
      <c r="E209" s="60">
        <v>1.1053591714055016</v>
      </c>
      <c r="F209" s="60">
        <v>1.1053727938069153</v>
      </c>
      <c r="G209" s="60">
        <v>1.1054408717664204</v>
      </c>
      <c r="H209" s="60">
        <v>1.1055088929648946</v>
      </c>
      <c r="I209" s="60">
        <v>1.1055768573820492</v>
      </c>
      <c r="J209" s="60">
        <v>1.1056108182913924</v>
      </c>
      <c r="K209" s="60">
        <v>1.1056447649979646</v>
      </c>
      <c r="L209" s="60">
        <v>1.1059834503873069</v>
      </c>
      <c r="M209" s="60">
        <v>1.106656550653198</v>
      </c>
      <c r="N209" s="60">
        <v>1.1079856184732784</v>
      </c>
      <c r="O209" s="60">
        <v>1.1105749947597936</v>
      </c>
      <c r="P209" s="60">
        <v>1.1118352864295804</v>
      </c>
      <c r="Q209" s="60">
        <v>1.1124568526580338</v>
      </c>
      <c r="R209" s="60">
        <v>1.1130727138626126</v>
      </c>
      <c r="S209" s="60">
        <v>1.113682884254046</v>
      </c>
      <c r="T209" s="60">
        <v>1.1142873804588662</v>
      </c>
      <c r="U209" s="60">
        <v>1.1148862214170645</v>
      </c>
      <c r="V209" s="60">
        <v>1.115479428281086</v>
      </c>
      <c r="W209" s="60">
        <v>1.1160670243162709</v>
      </c>
      <c r="X209" s="60">
        <v>1.1166490348028304</v>
      </c>
      <c r="Y209" s="60">
        <v>1.1172254869394469</v>
      </c>
      <c r="Z209" s="60">
        <v>1.11779640974858</v>
      </c>
      <c r="AA209" s="60">
        <v>1.1183618339835488</v>
      </c>
      <c r="AB209" s="60">
        <v>1.1189217920374612</v>
      </c>
      <c r="AC209" s="60">
        <v>1.1194763178540486</v>
      </c>
      <c r="AD209" s="60">
        <v>1.1200254468404622</v>
      </c>
      <c r="AE209" s="60">
        <v>1.1205692157820788</v>
      </c>
      <c r="AF209" s="60">
        <v>1.121107662759355</v>
      </c>
      <c r="AG209" s="60">
        <v>1.1216408270667708</v>
      </c>
      <c r="AH209" s="60">
        <v>1.1221687491338868</v>
      </c>
      <c r="AI209" s="60">
        <f t="shared" si="7"/>
        <v>1.1221687491338868</v>
      </c>
      <c r="AJ209" s="13">
        <v>1115</v>
      </c>
    </row>
    <row r="210" spans="1:36" ht="9.9499999999999993" customHeight="1" x14ac:dyDescent="0.2">
      <c r="A210" s="60">
        <f t="shared" si="6"/>
        <v>1.105916397886193</v>
      </c>
      <c r="B210" s="60">
        <v>1.105916397886193</v>
      </c>
      <c r="C210" s="60">
        <v>1.1059265105782357</v>
      </c>
      <c r="D210" s="60">
        <v>1.1059433622741155</v>
      </c>
      <c r="E210" s="60">
        <v>1.1059635797038554</v>
      </c>
      <c r="F210" s="60">
        <v>1.1059770551989903</v>
      </c>
      <c r="G210" s="60">
        <v>1.1060443991722122</v>
      </c>
      <c r="H210" s="60">
        <v>1.1061116872931482</v>
      </c>
      <c r="I210" s="60">
        <v>1.1061789195418155</v>
      </c>
      <c r="J210" s="60">
        <v>1.1062125147079023</v>
      </c>
      <c r="K210" s="60">
        <v>1.1062460958985914</v>
      </c>
      <c r="L210" s="60">
        <v>1.1065811386424202</v>
      </c>
      <c r="M210" s="60">
        <v>1.1072470219706738</v>
      </c>
      <c r="N210" s="60">
        <v>1.1085619300192204</v>
      </c>
      <c r="O210" s="60">
        <v>1.1111240853951678</v>
      </c>
      <c r="P210" s="60">
        <v>1.1123713150507901</v>
      </c>
      <c r="Q210" s="60">
        <v>1.1129864867519148</v>
      </c>
      <c r="R210" s="60">
        <v>1.1135960440370916</v>
      </c>
      <c r="S210" s="60">
        <v>1.1142000007726913</v>
      </c>
      <c r="T210" s="60">
        <v>1.1147983731949398</v>
      </c>
      <c r="U210" s="60">
        <v>1.1153911798095659</v>
      </c>
      <c r="V210" s="60">
        <v>1.1159784412927918</v>
      </c>
      <c r="W210" s="60">
        <v>1.1165601803937575</v>
      </c>
      <c r="X210" s="60">
        <v>1.1171364218384725</v>
      </c>
      <c r="Y210" s="60">
        <v>1.1177071922353723</v>
      </c>
      <c r="Z210" s="60">
        <v>1.1182725199825634</v>
      </c>
      <c r="AA210" s="60">
        <v>1.1188324351768169</v>
      </c>
      <c r="AB210" s="60">
        <v>1.1193869695243863</v>
      </c>
      <c r="AC210" s="60">
        <v>1.1199361562537002</v>
      </c>
      <c r="AD210" s="60">
        <v>1.1204800300299791</v>
      </c>
      <c r="AE210" s="60">
        <v>1.1210186268718292</v>
      </c>
      <c r="AF210" s="60">
        <v>1.121551984069848</v>
      </c>
      <c r="AG210" s="60">
        <v>1.1220801401072757</v>
      </c>
      <c r="AH210" s="60">
        <v>1.1226031345827199</v>
      </c>
      <c r="AI210" s="60">
        <f t="shared" si="7"/>
        <v>1.1226031345827199</v>
      </c>
      <c r="AJ210" s="13">
        <v>1120</v>
      </c>
    </row>
    <row r="211" spans="1:36" ht="9.9499999999999993" customHeight="1" x14ac:dyDescent="0.2">
      <c r="A211" s="60">
        <f t="shared" si="6"/>
        <v>1.1065167497319377</v>
      </c>
      <c r="B211" s="60">
        <v>1.1065167497319377</v>
      </c>
      <c r="C211" s="60">
        <v>1.1065267538036887</v>
      </c>
      <c r="D211" s="60">
        <v>1.1065434245103369</v>
      </c>
      <c r="E211" s="60">
        <v>1.1065634248265759</v>
      </c>
      <c r="F211" s="60">
        <v>1.1065767556239723</v>
      </c>
      <c r="G211" s="60">
        <v>1.1066433766437396</v>
      </c>
      <c r="H211" s="60">
        <v>1.1067099427035025</v>
      </c>
      <c r="I211" s="60">
        <v>1.1067764537835716</v>
      </c>
      <c r="J211" s="60">
        <v>1.1068096887001648</v>
      </c>
      <c r="K211" s="60">
        <v>1.1068429098646113</v>
      </c>
      <c r="L211" s="60">
        <v>1.1071743646322583</v>
      </c>
      <c r="M211" s="60">
        <v>1.1078331391189866</v>
      </c>
      <c r="N211" s="60">
        <v>1.1091340985869107</v>
      </c>
      <c r="O211" s="60">
        <v>1.1116694352623502</v>
      </c>
      <c r="P211" s="60">
        <v>1.1129037938820359</v>
      </c>
      <c r="Q211" s="60">
        <v>1.1135126640155699</v>
      </c>
      <c r="R211" s="60">
        <v>1.1141160086593138</v>
      </c>
      <c r="S211" s="60">
        <v>1.1147138413402273</v>
      </c>
      <c r="T211" s="60">
        <v>1.1153061779103837</v>
      </c>
      <c r="U211" s="60">
        <v>1.1158930364485666</v>
      </c>
      <c r="V211" s="60">
        <v>1.1164744371632027</v>
      </c>
      <c r="W211" s="60">
        <v>1.1170504022967227</v>
      </c>
      <c r="X211" s="60">
        <v>1.1176209560314319</v>
      </c>
      <c r="Y211" s="60">
        <v>1.1181861243969786</v>
      </c>
      <c r="Z211" s="60">
        <v>1.1187459351794804</v>
      </c>
      <c r="AA211" s="60">
        <v>1.1193004178323858</v>
      </c>
      <c r="AB211" s="60">
        <v>1.1198496033891252</v>
      </c>
      <c r="AC211" s="60">
        <v>1.1203935243776093</v>
      </c>
      <c r="AD211" s="60">
        <v>1.1209322147366223</v>
      </c>
      <c r="AE211" s="60">
        <v>1.1214657097341538</v>
      </c>
      <c r="AF211" s="60">
        <v>1.1219940458877042</v>
      </c>
      <c r="AG211" s="60">
        <v>1.1225172608865996</v>
      </c>
      <c r="AH211" s="60">
        <v>1.1230353935163384</v>
      </c>
      <c r="AI211" s="60">
        <f t="shared" si="7"/>
        <v>1.1230353935163384</v>
      </c>
      <c r="AJ211" s="13">
        <v>1125</v>
      </c>
    </row>
    <row r="212" spans="1:36" ht="9.9499999999999993" customHeight="1" x14ac:dyDescent="0.2">
      <c r="A212" s="60">
        <f t="shared" si="6"/>
        <v>1.1071126022269577</v>
      </c>
      <c r="B212" s="60">
        <v>1.1071126022269577</v>
      </c>
      <c r="C212" s="60">
        <v>1.107122499304684</v>
      </c>
      <c r="D212" s="60">
        <v>1.10713899173174</v>
      </c>
      <c r="E212" s="60">
        <v>1.1071587781847154</v>
      </c>
      <c r="F212" s="60">
        <v>1.1071719664503925</v>
      </c>
      <c r="G212" s="60">
        <v>1.1072378753371293</v>
      </c>
      <c r="H212" s="60">
        <v>1.107303730140015</v>
      </c>
      <c r="I212" s="60">
        <v>1.1073695308396425</v>
      </c>
      <c r="J212" s="60">
        <v>1.1074024108947649</v>
      </c>
      <c r="K212" s="60">
        <v>1.107435277416952</v>
      </c>
      <c r="L212" s="60">
        <v>1.1077631978258269</v>
      </c>
      <c r="M212" s="60">
        <v>1.108414969488821</v>
      </c>
      <c r="N212" s="60">
        <v>1.1097021875141819</v>
      </c>
      <c r="O212" s="60">
        <v>1.1122111000194834</v>
      </c>
      <c r="P212" s="60">
        <v>1.1134327749590769</v>
      </c>
      <c r="Q212" s="60">
        <v>1.1140354347285355</v>
      </c>
      <c r="R212" s="60">
        <v>1.114632656289348</v>
      </c>
      <c r="S212" s="60">
        <v>1.1152244528340356</v>
      </c>
      <c r="T212" s="60">
        <v>1.1158108398366628</v>
      </c>
      <c r="U212" s="60">
        <v>1.1163918349563329</v>
      </c>
      <c r="V212" s="60">
        <v>1.1169674579420144</v>
      </c>
      <c r="W212" s="60">
        <v>1.1175377305387886</v>
      </c>
      <c r="X212" s="60">
        <v>1.1181026763955961</v>
      </c>
      <c r="Y212" s="60">
        <v>1.1186623209745592</v>
      </c>
      <c r="Z212" s="60">
        <v>1.1192166914619484</v>
      </c>
      <c r="AA212" s="60">
        <v>1.1197658166808553</v>
      </c>
      <c r="AB212" s="60">
        <v>1.1203097270056326</v>
      </c>
      <c r="AC212" s="60">
        <v>1.1208484542781498</v>
      </c>
      <c r="AD212" s="60">
        <v>1.1213820317259131</v>
      </c>
      <c r="AE212" s="60">
        <v>1.1219104938820879</v>
      </c>
      <c r="AF212" s="60">
        <v>1.1224338765074602</v>
      </c>
      <c r="AG212" s="60">
        <v>1.1229522165143677</v>
      </c>
      <c r="AH212" s="60">
        <v>1.1234655518926246</v>
      </c>
      <c r="AI212" s="60">
        <f t="shared" si="7"/>
        <v>1.1234655518926246</v>
      </c>
      <c r="AJ212" s="13">
        <v>1130</v>
      </c>
    </row>
    <row r="213" spans="1:36" ht="9.9499999999999993" customHeight="1" x14ac:dyDescent="0.2">
      <c r="A213" s="60">
        <f t="shared" si="6"/>
        <v>1.1077040261540778</v>
      </c>
      <c r="B213" s="60">
        <v>1.1077040261540778</v>
      </c>
      <c r="C213" s="60">
        <v>1.1077138178328669</v>
      </c>
      <c r="D213" s="60">
        <v>1.1077301346380219</v>
      </c>
      <c r="E213" s="60">
        <v>1.1077497104156608</v>
      </c>
      <c r="F213" s="60">
        <v>1.1077627582741143</v>
      </c>
      <c r="G213" s="60">
        <v>1.1078279656408216</v>
      </c>
      <c r="H213" s="60">
        <v>1.10789311978403</v>
      </c>
      <c r="I213" s="60">
        <v>1.1079582206846048</v>
      </c>
      <c r="J213" s="60">
        <v>1.107990751163018</v>
      </c>
      <c r="K213" s="60">
        <v>1.1080232683237516</v>
      </c>
      <c r="L213" s="60">
        <v>1.1083477069640204</v>
      </c>
      <c r="M213" s="60">
        <v>1.108992579791539</v>
      </c>
      <c r="N213" s="60">
        <v>1.1102662595547328</v>
      </c>
      <c r="O213" s="60">
        <v>1.1127491349208398</v>
      </c>
      <c r="P213" s="60">
        <v>1.113958309998597</v>
      </c>
      <c r="Q213" s="60">
        <v>1.1145548488922872</v>
      </c>
      <c r="R213" s="60">
        <v>1.1151460352492824</v>
      </c>
      <c r="S213" s="60">
        <v>1.11573188193266</v>
      </c>
      <c r="T213" s="60">
        <v>1.1163124040446002</v>
      </c>
      <c r="U213" s="60">
        <v>1.1168876188317329</v>
      </c>
      <c r="V213" s="60">
        <v>1.1174575455918125</v>
      </c>
      <c r="W213" s="60">
        <v>1.1180222055818054</v>
      </c>
      <c r="X213" s="60">
        <v>1.1185816219274622</v>
      </c>
      <c r="Y213" s="60">
        <v>1.1191358195344494</v>
      </c>
      <c r="Z213" s="60">
        <v>1.1196848250011053</v>
      </c>
      <c r="AA213" s="60">
        <v>1.1202286665328802</v>
      </c>
      <c r="AB213" s="60">
        <v>1.1207673738585151</v>
      </c>
      <c r="AC213" s="60">
        <v>1.1213009781480099</v>
      </c>
      <c r="AD213" s="60">
        <v>1.1218295119324215</v>
      </c>
      <c r="AE213" s="60">
        <v>1.122353009025534</v>
      </c>
      <c r="AF213" s="60">
        <v>1.1228715044474307</v>
      </c>
      <c r="AG213" s="60">
        <v>1.1233850343499967</v>
      </c>
      <c r="AH213" s="60">
        <v>1.1238936359443776</v>
      </c>
      <c r="AI213" s="60">
        <f t="shared" si="7"/>
        <v>1.1238936359443776</v>
      </c>
      <c r="AJ213" s="13">
        <v>1135</v>
      </c>
    </row>
    <row r="214" spans="1:36" ht="9.9499999999999993" customHeight="1" x14ac:dyDescent="0.2">
      <c r="A214" s="60">
        <f t="shared" si="6"/>
        <v>1.1082910915184641</v>
      </c>
      <c r="B214" s="60">
        <v>1.1082910915184641</v>
      </c>
      <c r="C214" s="60">
        <v>1.1083007793629542</v>
      </c>
      <c r="D214" s="60">
        <v>1.1083169231531642</v>
      </c>
      <c r="E214" s="60">
        <v>1.1083362913825379</v>
      </c>
      <c r="F214" s="60">
        <v>1.1083492009177081</v>
      </c>
      <c r="G214" s="60">
        <v>1.1084137171748061</v>
      </c>
      <c r="H214" s="60">
        <v>1.1084781810532776</v>
      </c>
      <c r="I214" s="60">
        <v>1.1085425925342494</v>
      </c>
      <c r="J214" s="60">
        <v>1.108574778619867</v>
      </c>
      <c r="K214" s="60">
        <v>1.1086069515991834</v>
      </c>
      <c r="L214" s="60">
        <v>1.1089279600577664</v>
      </c>
      <c r="M214" s="60">
        <v>1.1095660360559656</v>
      </c>
      <c r="N214" s="60">
        <v>1.1108263768722728</v>
      </c>
      <c r="O214" s="60">
        <v>1.1132835948059308</v>
      </c>
      <c r="P214" s="60">
        <v>1.1144804503849408</v>
      </c>
      <c r="Q214" s="60">
        <v>1.1150709562158319</v>
      </c>
      <c r="R214" s="60">
        <v>1.1156561936077012</v>
      </c>
      <c r="S214" s="60">
        <v>1.1162361750991914</v>
      </c>
      <c r="T214" s="60">
        <v>1.1168109154266976</v>
      </c>
      <c r="U214" s="60">
        <v>1.1173804314315239</v>
      </c>
      <c r="V214" s="60">
        <v>1.1179447419683592</v>
      </c>
      <c r="W214" s="60">
        <v>1.1185038678151598</v>
      </c>
      <c r="X214" s="60">
        <v>1.1190578315844997</v>
      </c>
      <c r="Y214" s="60">
        <v>1.1196066576364681</v>
      </c>
      <c r="Z214" s="60">
        <v>1.1201503719931662</v>
      </c>
      <c r="AA214" s="60">
        <v>1.120689002254869</v>
      </c>
      <c r="AB214" s="60">
        <v>1.1212225775178986</v>
      </c>
      <c r="AC214" s="60">
        <v>1.1217511282942572</v>
      </c>
      <c r="AD214" s="60">
        <v>1.1222746864330622</v>
      </c>
      <c r="AE214" s="60">
        <v>1.122793285043816</v>
      </c>
      <c r="AF214" s="60">
        <v>1.1233069584215478</v>
      </c>
      <c r="AG214" s="60">
        <v>1.123815741973845</v>
      </c>
      <c r="AH214" s="60">
        <v>1.1243196721498063</v>
      </c>
      <c r="AI214" s="60">
        <f t="shared" si="7"/>
        <v>1.1243196721498063</v>
      </c>
      <c r="AJ214" s="13">
        <v>1140</v>
      </c>
    </row>
    <row r="215" spans="1:36" ht="9.9499999999999993" customHeight="1" x14ac:dyDescent="0.2">
      <c r="A215" s="60">
        <f t="shared" si="6"/>
        <v>1.1088738675474459</v>
      </c>
      <c r="B215" s="60">
        <v>1.1088738675474459</v>
      </c>
      <c r="C215" s="60">
        <v>1.1088834530925313</v>
      </c>
      <c r="D215" s="60">
        <v>1.1088994264251963</v>
      </c>
      <c r="E215" s="60">
        <v>1.1089185901739351</v>
      </c>
      <c r="F215" s="60">
        <v>1.1089313634301512</v>
      </c>
      <c r="G215" s="60">
        <v>1.1089951987901896</v>
      </c>
      <c r="H215" s="60">
        <v>1.1090589826013066</v>
      </c>
      <c r="I215" s="60">
        <v>1.1091227148448821</v>
      </c>
      <c r="J215" s="60">
        <v>1.1091545616231129</v>
      </c>
      <c r="K215" s="60">
        <v>1.1091863955026244</v>
      </c>
      <c r="L215" s="60">
        <v>1.10950402438653</v>
      </c>
      <c r="M215" s="60">
        <v>1.1101354036255897</v>
      </c>
      <c r="N215" s="60">
        <v>1.1113826010351562</v>
      </c>
      <c r="O215" s="60">
        <v>1.1138145340892747</v>
      </c>
      <c r="P215" s="60">
        <v>1.1149992471575891</v>
      </c>
      <c r="Q215" s="60">
        <v>1.1155838061020757</v>
      </c>
      <c r="R215" s="60">
        <v>1.1161631791649698</v>
      </c>
      <c r="S215" s="60">
        <v>1.1167373785654964</v>
      </c>
      <c r="T215" s="60">
        <v>1.1173064186803376</v>
      </c>
      <c r="U215" s="60">
        <v>1.1178703159525536</v>
      </c>
      <c r="V215" s="60">
        <v>1.1184290888018198</v>
      </c>
      <c r="W215" s="60">
        <v>1.1189827575360565</v>
      </c>
      <c r="X215" s="60">
        <v>1.1195313442645161</v>
      </c>
      <c r="Y215" s="60">
        <v>1.1200748728123964</v>
      </c>
      <c r="Z215" s="60">
        <v>1.1206133686370399</v>
      </c>
      <c r="AA215" s="60">
        <v>1.1211468587457694</v>
      </c>
      <c r="AB215" s="60">
        <v>1.1216753716154104</v>
      </c>
      <c r="AC215" s="60">
        <v>1.1221989371135486</v>
      </c>
      <c r="AD215" s="60">
        <v>1.1227175864215557</v>
      </c>
      <c r="AE215" s="60">
        <v>1.1232313519594193</v>
      </c>
      <c r="AF215" s="60">
        <v>1.1237402673124093</v>
      </c>
      <c r="AG215" s="60">
        <v>1.1242443671596007</v>
      </c>
      <c r="AH215" s="60">
        <v>1.1247436872042775</v>
      </c>
      <c r="AI215" s="60">
        <f t="shared" si="7"/>
        <v>1.1247436872042775</v>
      </c>
      <c r="AJ215" s="13">
        <v>1145</v>
      </c>
    </row>
    <row r="216" spans="1:36" ht="9.9499999999999993" customHeight="1" x14ac:dyDescent="0.2">
      <c r="A216" s="60">
        <f t="shared" si="6"/>
        <v>1.109452422690645</v>
      </c>
      <c r="B216" s="60">
        <v>1.109452422690645</v>
      </c>
      <c r="C216" s="60">
        <v>1.1094619074421659</v>
      </c>
      <c r="D216" s="60">
        <v>1.1094777128262778</v>
      </c>
      <c r="E216" s="60">
        <v>1.109496675103947</v>
      </c>
      <c r="F216" s="60">
        <v>1.1095093140868437</v>
      </c>
      <c r="G216" s="60">
        <v>1.1095724785690815</v>
      </c>
      <c r="H216" s="60">
        <v>1.1096355923172434</v>
      </c>
      <c r="I216" s="60">
        <v>1.1096986553129524</v>
      </c>
      <c r="J216" s="60">
        <v>1.1097301677729832</v>
      </c>
      <c r="K216" s="60">
        <v>1.109761667538155</v>
      </c>
      <c r="L216" s="60">
        <v>1.1100759664971747</v>
      </c>
      <c r="M216" s="60">
        <v>1.1107007471561541</v>
      </c>
      <c r="N216" s="60">
        <v>1.111934993011493</v>
      </c>
      <c r="O216" s="60">
        <v>1.1143420067507916</v>
      </c>
      <c r="P216" s="60">
        <v>1.1155147509993406</v>
      </c>
      <c r="Q216" s="60">
        <v>1.1160934476349309</v>
      </c>
      <c r="R216" s="60">
        <v>1.1166670394392963</v>
      </c>
      <c r="S216" s="60">
        <v>1.1172355383172607</v>
      </c>
      <c r="T216" s="60">
        <v>1.1177989582918311</v>
      </c>
      <c r="U216" s="60">
        <v>1.1183573154148405</v>
      </c>
      <c r="V216" s="60">
        <v>1.1189106276789027</v>
      </c>
      <c r="W216" s="60">
        <v>1.1194589149307461</v>
      </c>
      <c r="X216" s="60">
        <v>1.1200021987859947</v>
      </c>
      <c r="Y216" s="60">
        <v>1.1205405025454567</v>
      </c>
      <c r="Z216" s="60">
        <v>1.1210738511129774</v>
      </c>
      <c r="AA216" s="60">
        <v>1.1216022709149094</v>
      </c>
      <c r="AB216" s="60">
        <v>1.1221257898212429</v>
      </c>
      <c r="AC216" s="60">
        <v>1.122644437068441</v>
      </c>
      <c r="AD216" s="60">
        <v>1.1231582431840166</v>
      </c>
      <c r="AE216" s="60">
        <v>1.123667239912882</v>
      </c>
      <c r="AF216" s="60">
        <v>1.1241714601454993</v>
      </c>
      <c r="AG216" s="60">
        <v>1.1246709378478541</v>
      </c>
      <c r="AH216" s="60">
        <v>1.125165707993272</v>
      </c>
      <c r="AI216" s="60">
        <f t="shared" si="7"/>
        <v>1.125165707993272</v>
      </c>
      <c r="AJ216" s="13">
        <v>1150</v>
      </c>
    </row>
    <row r="217" spans="1:36" ht="9.9499999999999993" customHeight="1" x14ac:dyDescent="0.2">
      <c r="A217" s="60">
        <f t="shared" si="6"/>
        <v>1.1100268246204072</v>
      </c>
      <c r="B217" s="60">
        <v>1.1100268246204072</v>
      </c>
      <c r="C217" s="60">
        <v>1.1100362100558196</v>
      </c>
      <c r="D217" s="60">
        <v>1.1100518499530772</v>
      </c>
      <c r="E217" s="60">
        <v>1.1100706137125151</v>
      </c>
      <c r="F217" s="60">
        <v>1.1100831203899235</v>
      </c>
      <c r="G217" s="60">
        <v>1.110145623824786</v>
      </c>
      <c r="H217" s="60">
        <v>1.1102080773258578</v>
      </c>
      <c r="I217" s="60">
        <v>1.1102704808749966</v>
      </c>
      <c r="J217" s="60">
        <v>1.1103016639120087</v>
      </c>
      <c r="K217" s="60">
        <v>1.1103328344543781</v>
      </c>
      <c r="L217" s="60">
        <v>1.1106438522031625</v>
      </c>
      <c r="M217" s="60">
        <v>1.1112621306136279</v>
      </c>
      <c r="N217" s="60">
        <v>1.1124836131647204</v>
      </c>
      <c r="O217" s="60">
        <v>1.1148660663268182</v>
      </c>
      <c r="P217" s="60">
        <v>1.1160270122251734</v>
      </c>
      <c r="Q217" s="60">
        <v>1.1165999295671438</v>
      </c>
      <c r="R217" s="60">
        <v>1.1171678216535439</v>
      </c>
      <c r="S217" s="60">
        <v>1.1177307000798113</v>
      </c>
      <c r="T217" s="60">
        <v>1.1182885785212784</v>
      </c>
      <c r="U217" s="60">
        <v>1.1188414726454978</v>
      </c>
      <c r="V217" s="60">
        <v>1.1193894000258715</v>
      </c>
      <c r="W217" s="60">
        <v>1.119932380056651</v>
      </c>
      <c r="X217" s="60">
        <v>1.1204704338693661</v>
      </c>
      <c r="Y217" s="60">
        <v>1.1210035842507495</v>
      </c>
      <c r="Z217" s="60">
        <v>1.1215318555622014</v>
      </c>
      <c r="AA217" s="60">
        <v>1.1220552736608507</v>
      </c>
      <c r="AB217" s="60">
        <v>1.1225738658222526</v>
      </c>
      <c r="AC217" s="60">
        <v>1.1230876606647624</v>
      </c>
      <c r="AD217" s="60">
        <v>1.1235966880756223</v>
      </c>
      <c r="AE217" s="60">
        <v>1.1241009791387895</v>
      </c>
      <c r="AF217" s="60">
        <v>1.1246005660645333</v>
      </c>
      <c r="AG217" s="60">
        <v>1.1250954821208194</v>
      </c>
      <c r="AH217" s="60">
        <v>1.1255857615665055</v>
      </c>
      <c r="AI217" s="60">
        <f t="shared" si="7"/>
        <v>1.1255857615665055</v>
      </c>
      <c r="AJ217" s="13">
        <v>1155</v>
      </c>
    </row>
    <row r="218" spans="1:36" ht="9.9499999999999993" customHeight="1" x14ac:dyDescent="0.2">
      <c r="A218" s="60">
        <f t="shared" si="6"/>
        <v>1.1105971402325139</v>
      </c>
      <c r="B218" s="60">
        <v>1.1105971402325139</v>
      </c>
      <c r="C218" s="60">
        <v>1.1106064278015402</v>
      </c>
      <c r="D218" s="60">
        <v>1.1106219046274353</v>
      </c>
      <c r="E218" s="60">
        <v>1.1106404727660557</v>
      </c>
      <c r="F218" s="60">
        <v>1.1106528490688723</v>
      </c>
      <c r="G218" s="60">
        <v>1.1107147011022851</v>
      </c>
      <c r="H218" s="60">
        <v>1.1107765039879252</v>
      </c>
      <c r="I218" s="60">
        <v>1.1108382577078768</v>
      </c>
      <c r="J218" s="60">
        <v>1.1108691161252064</v>
      </c>
      <c r="K218" s="60">
        <v>1.1108999622445375</v>
      </c>
      <c r="L218" s="60">
        <v>1.1112077465840697</v>
      </c>
      <c r="M218" s="60">
        <v>1.1118196172725361</v>
      </c>
      <c r="N218" s="60">
        <v>1.1130285212496061</v>
      </c>
      <c r="O218" s="60">
        <v>1.1153867659016929</v>
      </c>
      <c r="P218" s="60">
        <v>1.1165360807717579</v>
      </c>
      <c r="Q218" s="60">
        <v>1.1171033003088005</v>
      </c>
      <c r="R218" s="60">
        <v>1.1176655727227593</v>
      </c>
      <c r="S218" s="60">
        <v>1.1182229093046905</v>
      </c>
      <c r="T218" s="60">
        <v>1.118775323388211</v>
      </c>
      <c r="U218" s="60">
        <v>1.1193228302634666</v>
      </c>
      <c r="V218" s="60">
        <v>1.1198654470923977</v>
      </c>
      <c r="W218" s="60">
        <v>1.1204031928253606</v>
      </c>
      <c r="X218" s="60">
        <v>1.1209360881191701</v>
      </c>
      <c r="Y218" s="60">
        <v>1.121464155256612</v>
      </c>
      <c r="Z218" s="60">
        <v>1.121987418067484</v>
      </c>
      <c r="AA218" s="60">
        <v>1.1225059018512082</v>
      </c>
      <c r="AB218" s="60">
        <v>1.1230196333010514</v>
      </c>
      <c r="AC218" s="60">
        <v>1.1235286404300011</v>
      </c>
      <c r="AD218" s="60">
        <v>1.124032952498323</v>
      </c>
      <c r="AE218" s="60">
        <v>1.1245325999428286</v>
      </c>
      <c r="AF218" s="60">
        <v>1.1250276143078803</v>
      </c>
      <c r="AG218" s="60">
        <v>1.1255180281781523</v>
      </c>
      <c r="AH218" s="60">
        <v>1.126003875113164</v>
      </c>
      <c r="AI218" s="60">
        <f t="shared" si="7"/>
        <v>1.126003875113164</v>
      </c>
      <c r="AJ218" s="13">
        <v>1160</v>
      </c>
    </row>
    <row r="219" spans="1:36" ht="9.9499999999999993" customHeight="1" x14ac:dyDescent="0.2">
      <c r="A219" s="60">
        <f t="shared" si="6"/>
        <v>1.111163435647164</v>
      </c>
      <c r="B219" s="60">
        <v>1.111163435647164</v>
      </c>
      <c r="C219" s="60">
        <v>1.111172626772428</v>
      </c>
      <c r="D219" s="60">
        <v>1.1111879428973006</v>
      </c>
      <c r="E219" s="60">
        <v>1.11120631825836</v>
      </c>
      <c r="F219" s="60">
        <v>1.1112185660813905</v>
      </c>
      <c r="G219" s="60">
        <v>1.1112797761789976</v>
      </c>
      <c r="H219" s="60">
        <v>1.111340937900869</v>
      </c>
      <c r="I219" s="60">
        <v>1.111402051229309</v>
      </c>
      <c r="J219" s="60">
        <v>1.1114325897405464</v>
      </c>
      <c r="K219" s="60">
        <v>1.1114631161469286</v>
      </c>
      <c r="L219" s="60">
        <v>1.1117677139854185</v>
      </c>
      <c r="M219" s="60">
        <v>1.1123732697146358</v>
      </c>
      <c r="N219" s="60">
        <v>1.1135697764086747</v>
      </c>
      <c r="O219" s="60">
        <v>1.1159041580999101</v>
      </c>
      <c r="P219" s="60">
        <v>1.1170420061875972</v>
      </c>
      <c r="Q219" s="60">
        <v>1.1176036079164962</v>
      </c>
      <c r="R219" s="60">
        <v>1.1181603392423911</v>
      </c>
      <c r="S219" s="60">
        <v>1.1187122111569472</v>
      </c>
      <c r="T219" s="60">
        <v>1.1192592366579803</v>
      </c>
      <c r="U219" s="60">
        <v>1.1198014306650297</v>
      </c>
      <c r="V219" s="60">
        <v>1.1203388099362193</v>
      </c>
      <c r="W219" s="60">
        <v>1.1208713929864635</v>
      </c>
      <c r="X219" s="60">
        <v>1.1213992000070812</v>
      </c>
      <c r="Y219" s="60">
        <v>1.1219222527868611</v>
      </c>
      <c r="Z219" s="60">
        <v>1.1224405746346366</v>
      </c>
      <c r="AA219" s="60">
        <v>1.1229541903034086</v>
      </c>
      <c r="AB219" s="60">
        <v>1.1234631259160561</v>
      </c>
      <c r="AC219" s="60">
        <v>1.1239674088926705</v>
      </c>
      <c r="AD219" s="60">
        <v>1.1244670678795481</v>
      </c>
      <c r="AE219" s="60">
        <v>1.1249621326798591</v>
      </c>
      <c r="AF219" s="60">
        <v>1.125452634186026</v>
      </c>
      <c r="AG219" s="60">
        <v>1.1259386043138235</v>
      </c>
      <c r="AH219" s="60">
        <v>1.1264200759382166</v>
      </c>
      <c r="AI219" s="60">
        <f t="shared" si="7"/>
        <v>1.1264200759382166</v>
      </c>
      <c r="AJ219" s="13">
        <v>1165</v>
      </c>
    </row>
    <row r="220" spans="1:36" ht="9.9499999999999993" customHeight="1" x14ac:dyDescent="0.2">
      <c r="A220" s="60">
        <f t="shared" si="6"/>
        <v>1.1117257762102188</v>
      </c>
      <c r="B220" s="60">
        <v>1.1117257762102188</v>
      </c>
      <c r="C220" s="60">
        <v>1.1117348722878606</v>
      </c>
      <c r="D220" s="60">
        <v>1.1117500300379284</v>
      </c>
      <c r="E220" s="60">
        <v>1.1117682154117583</v>
      </c>
      <c r="F220" s="60">
        <v>1.1117803366145396</v>
      </c>
      <c r="G220" s="60">
        <v>1.1118409140658057</v>
      </c>
      <c r="H220" s="60">
        <v>1.1119014438996746</v>
      </c>
      <c r="I220" s="60">
        <v>1.111961926098662</v>
      </c>
      <c r="J220" s="60">
        <v>1.111992149329694</v>
      </c>
      <c r="K220" s="60">
        <v>1.1120223606455855</v>
      </c>
      <c r="L220" s="60">
        <v>1.112323818018798</v>
      </c>
      <c r="M220" s="60">
        <v>1.112923149827926</v>
      </c>
      <c r="N220" s="60">
        <v>1.1141074371690343</v>
      </c>
      <c r="O220" s="60">
        <v>1.1164182950788044</v>
      </c>
      <c r="P220" s="60">
        <v>1.1175448376237664</v>
      </c>
      <c r="Q220" s="60">
        <v>1.1181009000831346</v>
      </c>
      <c r="R220" s="60">
        <v>1.1186521674771708</v>
      </c>
      <c r="S220" s="60">
        <v>1.1191986505031228</v>
      </c>
      <c r="T220" s="60">
        <v>1.1197403618288717</v>
      </c>
      <c r="U220" s="60">
        <v>1.120277316010073</v>
      </c>
      <c r="V220" s="60">
        <v>1.1208095294085758</v>
      </c>
      <c r="W220" s="60">
        <v>1.121337020112176</v>
      </c>
      <c r="X220" s="60">
        <v>1.1218598078557602</v>
      </c>
      <c r="Y220" s="60">
        <v>1.1223779139438899</v>
      </c>
      <c r="Z220" s="60">
        <v>1.1228913611748694</v>
      </c>
      <c r="AA220" s="60">
        <v>1.1234001737663439</v>
      </c>
      <c r="AB220" s="60">
        <v>1.1239043772824582</v>
      </c>
      <c r="AC220" s="60">
        <v>1.124403998562618</v>
      </c>
      <c r="AD220" s="60">
        <v>1.1248990656518756</v>
      </c>
      <c r="AE220" s="60">
        <v>1.1253896077329686</v>
      </c>
      <c r="AF220" s="60">
        <v>1.1258756550600342</v>
      </c>
      <c r="AG220" s="60">
        <v>1.1263572388940122</v>
      </c>
      <c r="AH220" s="60">
        <v>1.1268343914397569</v>
      </c>
      <c r="AI220" s="60">
        <f t="shared" si="7"/>
        <v>1.1268343914397569</v>
      </c>
      <c r="AJ220" s="13">
        <v>1170</v>
      </c>
    </row>
    <row r="221" spans="1:36" ht="9.9499999999999993" customHeight="1" x14ac:dyDescent="0.2">
      <c r="A221" s="60">
        <f t="shared" si="6"/>
        <v>1.1122842264946857</v>
      </c>
      <c r="B221" s="60">
        <v>1.1122842264946857</v>
      </c>
      <c r="C221" s="60">
        <v>1.1122932288949645</v>
      </c>
      <c r="D221" s="60">
        <v>1.1123082305533218</v>
      </c>
      <c r="E221" s="60">
        <v>1.1123262286785283</v>
      </c>
      <c r="F221" s="60">
        <v>1.1123382250861265</v>
      </c>
      <c r="G221" s="60">
        <v>1.1123981790083337</v>
      </c>
      <c r="H221" s="60">
        <v>1.1124580860580566</v>
      </c>
      <c r="I221" s="60">
        <v>1.112517946218015</v>
      </c>
      <c r="J221" s="60">
        <v>1.1125478587090145</v>
      </c>
      <c r="K221" s="60">
        <v>1.1125777594712272</v>
      </c>
      <c r="L221" s="60">
        <v>1.1128761215622658</v>
      </c>
      <c r="M221" s="60">
        <v>1.1134693188059668</v>
      </c>
      <c r="N221" s="60">
        <v>1.1146415614395855</v>
      </c>
      <c r="O221" s="60">
        <v>1.1169292285217556</v>
      </c>
      <c r="P221" s="60">
        <v>1.1180446238252282</v>
      </c>
      <c r="Q221" s="60">
        <v>1.1185952241283306</v>
      </c>
      <c r="R221" s="60">
        <v>1.119141103350626</v>
      </c>
      <c r="S221" s="60">
        <v>1.1196822718998951</v>
      </c>
      <c r="T221" s="60">
        <v>1.120218742119901</v>
      </c>
      <c r="U221" s="60">
        <v>1.12075052820906</v>
      </c>
      <c r="V221" s="60">
        <v>1.1212776461403831</v>
      </c>
      <c r="W221" s="60">
        <v>1.1218001135827396</v>
      </c>
      <c r="X221" s="60">
        <v>1.1223179498234959</v>
      </c>
      <c r="Y221" s="60">
        <v>1.1228311756925768</v>
      </c>
      <c r="Z221" s="60">
        <v>1.1233398134879957</v>
      </c>
      <c r="AA221" s="60">
        <v>1.1238438869028851</v>
      </c>
      <c r="AB221" s="60">
        <v>1.1243434209540732</v>
      </c>
      <c r="AC221" s="60">
        <v>1.1248384419122317</v>
      </c>
      <c r="AD221" s="60">
        <v>1.125328977233621</v>
      </c>
      <c r="AE221" s="60">
        <v>1.1258150554934652</v>
      </c>
      <c r="AF221" s="60">
        <v>1.1262967063209637</v>
      </c>
      <c r="AG221" s="60">
        <v>1.1267739603359701</v>
      </c>
      <c r="AH221" s="60">
        <v>1.1272468490873393</v>
      </c>
      <c r="AI221" s="60">
        <f t="shared" si="7"/>
        <v>1.1272468490873393</v>
      </c>
      <c r="AJ221" s="13">
        <v>1175</v>
      </c>
    </row>
    <row r="222" spans="1:36" ht="9.9499999999999993" customHeight="1" x14ac:dyDescent="0.2">
      <c r="A222" s="60">
        <f t="shared" si="6"/>
        <v>1.1128388503024451</v>
      </c>
      <c r="B222" s="60">
        <v>1.1128388503024451</v>
      </c>
      <c r="C222" s="60">
        <v>1.1128477603703224</v>
      </c>
      <c r="D222" s="60">
        <v>1.1128626081779136</v>
      </c>
      <c r="E222" s="60">
        <v>1.1128804217425456</v>
      </c>
      <c r="F222" s="60">
        <v>1.112892295146336</v>
      </c>
      <c r="G222" s="60">
        <v>1.1129516344884693</v>
      </c>
      <c r="H222" s="60">
        <v>1.113010927689873</v>
      </c>
      <c r="I222" s="60">
        <v>1.1130701747334668</v>
      </c>
      <c r="J222" s="60">
        <v>1.1130997809408272</v>
      </c>
      <c r="K222" s="60">
        <v>1.1131293756024609</v>
      </c>
      <c r="L222" s="60">
        <v>1.1134246867610238</v>
      </c>
      <c r="M222" s="60">
        <v>1.114011837147507</v>
      </c>
      <c r="N222" s="60">
        <v>1.1151722065086005</v>
      </c>
      <c r="O222" s="60">
        <v>1.1174370096318806</v>
      </c>
      <c r="P222" s="60">
        <v>1.1185414131227034</v>
      </c>
      <c r="Q222" s="60">
        <v>1.1190866269893993</v>
      </c>
      <c r="R222" s="60">
        <v>1.1196271924352073</v>
      </c>
      <c r="S222" s="60">
        <v>1.1201631195833666</v>
      </c>
      <c r="T222" s="60">
        <v>1.1206944204592844</v>
      </c>
      <c r="U222" s="60">
        <v>1.1212211089107034</v>
      </c>
      <c r="V222" s="60">
        <v>1.1217432005291281</v>
      </c>
      <c r="W222" s="60">
        <v>1.1222607125725632</v>
      </c>
      <c r="X222" s="60">
        <v>1.1227736638896135</v>
      </c>
      <c r="Y222" s="60">
        <v>1.1232820748449848</v>
      </c>
      <c r="Z222" s="60">
        <v>1.1237859672464392</v>
      </c>
      <c r="AA222" s="60">
        <v>1.1242853642732271</v>
      </c>
      <c r="AB222" s="60">
        <v>1.124780290406042</v>
      </c>
      <c r="AC222" s="60">
        <v>1.1252707713585213</v>
      </c>
      <c r="AD222" s="60">
        <v>1.1257568340103188</v>
      </c>
      <c r="AE222" s="60">
        <v>1.1262385063417784</v>
      </c>
      <c r="AF222" s="60">
        <v>1.1267158173702148</v>
      </c>
      <c r="AG222" s="60">
        <v>1.1271887970878309</v>
      </c>
      <c r="AH222" s="60">
        <v>1.1276574764012726</v>
      </c>
      <c r="AI222" s="60">
        <f t="shared" si="7"/>
        <v>1.1276574764012726</v>
      </c>
      <c r="AJ222" s="13">
        <v>1180</v>
      </c>
    </row>
    <row r="223" spans="1:36" ht="9.9499999999999993" customHeight="1" x14ac:dyDescent="0.2">
      <c r="A223" s="60">
        <f t="shared" si="6"/>
        <v>1.1133897106661974</v>
      </c>
      <c r="B223" s="60">
        <v>1.1133897106661974</v>
      </c>
      <c r="C223" s="60">
        <v>1.1133985297219047</v>
      </c>
      <c r="D223" s="60">
        <v>1.1134132258784724</v>
      </c>
      <c r="E223" s="60">
        <v>1.1134308575211582</v>
      </c>
      <c r="F223" s="60">
        <v>1.1134426096795822</v>
      </c>
      <c r="G223" s="60">
        <v>1.1135013432261123</v>
      </c>
      <c r="H223" s="60">
        <v>1.1135600313507745</v>
      </c>
      <c r="I223" s="60">
        <v>1.1136186740366805</v>
      </c>
      <c r="J223" s="60">
        <v>1.1136479783349</v>
      </c>
      <c r="K223" s="60">
        <v>1.113677271267226</v>
      </c>
      <c r="L223" s="60">
        <v>1.1139695750283451</v>
      </c>
      <c r="M223" s="60">
        <v>1.1145507646563992</v>
      </c>
      <c r="N223" s="60">
        <v>1.1156994290416555</v>
      </c>
      <c r="O223" s="60">
        <v>1.1179416891262088</v>
      </c>
      <c r="P223" s="60">
        <v>1.1190352534250732</v>
      </c>
      <c r="Q223" s="60">
        <v>1.1195751552129016</v>
      </c>
      <c r="R223" s="60">
        <v>1.1201104799429993</v>
      </c>
      <c r="S223" s="60">
        <v>1.1206412374589598</v>
      </c>
      <c r="T223" s="60">
        <v>1.1211674394735411</v>
      </c>
      <c r="U223" s="60">
        <v>1.1216890994902955</v>
      </c>
      <c r="V223" s="60">
        <v>1.1222062327264473</v>
      </c>
      <c r="W223" s="60">
        <v>1.1227188560370713</v>
      </c>
      <c r="X223" s="60">
        <v>1.1232269878406154</v>
      </c>
      <c r="Y223" s="60">
        <v>1.1237306480458129</v>
      </c>
      <c r="Z223" s="60">
        <v>1.124229857980023</v>
      </c>
      <c r="AA223" s="60">
        <v>1.124724640319031</v>
      </c>
      <c r="AB223" s="60">
        <v>1.1252150190183485</v>
      </c>
      <c r="AC223" s="60">
        <v>1.1257010192460319</v>
      </c>
      <c r="AD223" s="60">
        <v>1.1261826673170525</v>
      </c>
      <c r="AE223" s="60">
        <v>1.1266599906292307</v>
      </c>
      <c r="AF223" s="60">
        <v>1.1271330176007579</v>
      </c>
      <c r="AG223" s="60">
        <v>1.1276017776093203</v>
      </c>
      <c r="AH223" s="60">
        <v>1.12806630093283</v>
      </c>
      <c r="AI223" s="60">
        <f t="shared" si="7"/>
        <v>1.12806630093283</v>
      </c>
      <c r="AJ223" s="13">
        <v>1185</v>
      </c>
    </row>
    <row r="224" spans="1:36" ht="9.9499999999999993" customHeight="1" x14ac:dyDescent="0.2">
      <c r="A224" s="60">
        <f t="shared" si="6"/>
        <v>1.1139368698516268</v>
      </c>
      <c r="B224" s="60">
        <v>1.1139368698516268</v>
      </c>
      <c r="C224" s="60">
        <v>1.1139455991912213</v>
      </c>
      <c r="D224" s="60">
        <v>1.1139601458562287</v>
      </c>
      <c r="E224" s="60">
        <v>1.1139775981672817</v>
      </c>
      <c r="F224" s="60">
        <v>1.1139892308065835</v>
      </c>
      <c r="G224" s="60">
        <v>1.1140473671811528</v>
      </c>
      <c r="H224" s="60">
        <v>1.1141054588400783</v>
      </c>
      <c r="I224" s="60">
        <v>1.1141635057666566</v>
      </c>
      <c r="J224" s="60">
        <v>1.1141925124501724</v>
      </c>
      <c r="K224" s="60">
        <v>1.1142215079444653</v>
      </c>
      <c r="L224" s="60">
        <v>1.1145108470467524</v>
      </c>
      <c r="M224" s="60">
        <v>1.1150861604417912</v>
      </c>
      <c r="N224" s="60">
        <v>1.1162232850799021</v>
      </c>
      <c r="O224" s="60">
        <v>1.1184433172303048</v>
      </c>
      <c r="P224" s="60">
        <v>1.1195261922122905</v>
      </c>
      <c r="Q224" s="60">
        <v>1.1200608549467306</v>
      </c>
      <c r="R224" s="60">
        <v>1.1205910107169985</v>
      </c>
      <c r="S224" s="60">
        <v>1.1211166690919065</v>
      </c>
      <c r="T224" s="60">
        <v>1.1216378414772119</v>
      </c>
      <c r="U224" s="60">
        <v>1.1221545410386782</v>
      </c>
      <c r="V224" s="60">
        <v>1.1226667826263697</v>
      </c>
      <c r="W224" s="60">
        <v>1.1231745827002366</v>
      </c>
      <c r="X224" s="60">
        <v>1.1236779592570278</v>
      </c>
      <c r="Y224" s="60">
        <v>1.1241769317585784</v>
      </c>
      <c r="Z224" s="60">
        <v>1.1246715210615028</v>
      </c>
      <c r="AA224" s="60">
        <v>1.1251617493483321</v>
      </c>
      <c r="AB224" s="60">
        <v>1.1256476400601234</v>
      </c>
      <c r="AC224" s="60">
        <v>1.1261292178305657</v>
      </c>
      <c r="AD224" s="60">
        <v>1.1266065084216126</v>
      </c>
      <c r="AE224" s="60">
        <v>1.1270795386606487</v>
      </c>
      <c r="AF224" s="60">
        <v>1.1275483363792218</v>
      </c>
      <c r="AG224" s="60">
        <v>1.1280129303533384</v>
      </c>
      <c r="AH224" s="60">
        <v>1.1284733502453448</v>
      </c>
      <c r="AI224" s="60">
        <f t="shared" si="7"/>
        <v>1.1284733502453448</v>
      </c>
      <c r="AJ224" s="13">
        <v>1190</v>
      </c>
    </row>
    <row r="225" spans="1:37" ht="9.9499999999999993" customHeight="1" x14ac:dyDescent="0.2">
      <c r="A225" s="60">
        <f t="shared" si="6"/>
        <v>1.1144803893597699</v>
      </c>
      <c r="B225" s="60">
        <v>1.1144803893597699</v>
      </c>
      <c r="C225" s="60">
        <v>1.1144890302556718</v>
      </c>
      <c r="D225" s="60">
        <v>1.1145034295492005</v>
      </c>
      <c r="E225" s="60">
        <v>1.1145207050716981</v>
      </c>
      <c r="F225" s="60">
        <v>1.1145322198866432</v>
      </c>
      <c r="G225" s="60">
        <v>1.1145897675556513</v>
      </c>
      <c r="H225" s="60">
        <v>1.1146472712028523</v>
      </c>
      <c r="I225" s="60">
        <v>1.1147047308117231</v>
      </c>
      <c r="J225" s="60">
        <v>1.1147334440966969</v>
      </c>
      <c r="K225" s="60">
        <v>1.1147621463660169</v>
      </c>
      <c r="L225" s="60">
        <v>1.1150485627694269</v>
      </c>
      <c r="M225" s="60">
        <v>1.1156180829185847</v>
      </c>
      <c r="N225" s="60">
        <v>1.1167438300386607</v>
      </c>
      <c r="O225" s="60">
        <v>1.1189419436733328</v>
      </c>
      <c r="P225" s="60">
        <v>1.1200142765287839</v>
      </c>
      <c r="Q225" s="60">
        <v>1.1205437719327087</v>
      </c>
      <c r="R225" s="60">
        <v>1.1210688292229274</v>
      </c>
      <c r="S225" s="60">
        <v>1.1215894576982972</v>
      </c>
      <c r="T225" s="60">
        <v>1.1221056684631654</v>
      </c>
      <c r="U225" s="60">
        <v>1.1226174743518238</v>
      </c>
      <c r="V225" s="60">
        <v>1.1231248898541919</v>
      </c>
      <c r="W225" s="60">
        <v>1.1236279310427724</v>
      </c>
      <c r="X225" s="60">
        <v>1.1241266155009253</v>
      </c>
      <c r="Y225" s="60">
        <v>1.124620962252493</v>
      </c>
      <c r="Z225" s="60">
        <v>1.1251109916928193</v>
      </c>
      <c r="AA225" s="60">
        <v>1.1255967255211861</v>
      </c>
      <c r="AB225" s="60">
        <v>1.1260781866747032</v>
      </c>
      <c r="AC225" s="60">
        <v>1.1265553992636705</v>
      </c>
      <c r="AD225" s="60">
        <v>1.1270283885084378</v>
      </c>
      <c r="AE225" s="60">
        <v>1.1274971806777796</v>
      </c>
      <c r="AF225" s="60">
        <v>1.1279618030287994</v>
      </c>
      <c r="AG225" s="60">
        <v>1.1284222837483755</v>
      </c>
      <c r="AH225" s="60">
        <v>1.1288786518961587</v>
      </c>
      <c r="AI225" s="60">
        <f t="shared" si="7"/>
        <v>1.1288786518961587</v>
      </c>
      <c r="AJ225" s="13">
        <v>1195</v>
      </c>
    </row>
    <row r="226" spans="1:37" ht="9.9499999999999993" customHeight="1" x14ac:dyDescent="0.2">
      <c r="A226" s="60">
        <f t="shared" si="6"/>
        <v>1.1150203299295776</v>
      </c>
      <c r="B226" s="60">
        <v>1.1150203299295776</v>
      </c>
      <c r="C226" s="60">
        <v>1.115028883631096</v>
      </c>
      <c r="D226" s="60">
        <v>1.1150431376347212</v>
      </c>
      <c r="E226" s="60">
        <v>1.1150602388655528</v>
      </c>
      <c r="F226" s="60">
        <v>1.1150716375201273</v>
      </c>
      <c r="G226" s="60">
        <v>1.1151286047962223</v>
      </c>
      <c r="H226" s="60">
        <v>1.1151855287322061</v>
      </c>
      <c r="I226" s="60">
        <v>1.115242409311731</v>
      </c>
      <c r="J226" s="60">
        <v>1.1152708333377865</v>
      </c>
      <c r="K226" s="60">
        <v>1.1152992465187199</v>
      </c>
      <c r="L226" s="60">
        <v>1.1155827814218444</v>
      </c>
      <c r="M226" s="60">
        <v>1.1161465898081449</v>
      </c>
      <c r="N226" s="60">
        <v>1.1172611187063268</v>
      </c>
      <c r="O226" s="60">
        <v>1.1194376176835401</v>
      </c>
      <c r="P226" s="60">
        <v>1.1204995529773298</v>
      </c>
      <c r="Q226" s="60">
        <v>1.121023951499686</v>
      </c>
      <c r="R226" s="60">
        <v>1.1215439795415716</v>
      </c>
      <c r="S226" s="60">
        <v>1.1220596461366785</v>
      </c>
      <c r="T226" s="60">
        <v>1.1225709620934718</v>
      </c>
      <c r="U226" s="60">
        <v>1.1230779399210062</v>
      </c>
      <c r="V226" s="60">
        <v>1.1235805937559642</v>
      </c>
      <c r="W226" s="60">
        <v>1.1240789392909534</v>
      </c>
      <c r="X226" s="60">
        <v>1.1245729937041054</v>
      </c>
      <c r="Y226" s="60">
        <v>1.1250627755900133</v>
      </c>
      <c r="Z226" s="60">
        <v>1.1255483048920392</v>
      </c>
      <c r="AA226" s="60">
        <v>1.1260296028360219</v>
      </c>
      <c r="AB226" s="60">
        <v>1.1265066918654154</v>
      </c>
      <c r="AC226" s="60">
        <v>1.1269795955778761</v>
      </c>
      <c r="AD226" s="60">
        <v>1.1274483386633218</v>
      </c>
      <c r="AE226" s="60">
        <v>1.1279129468434819</v>
      </c>
      <c r="AF226" s="60">
        <v>1.1283734468129474</v>
      </c>
      <c r="AG226" s="60">
        <v>1.1288298661817366</v>
      </c>
      <c r="AH226" s="60">
        <v>1.1292822334193839</v>
      </c>
      <c r="AI226" s="60">
        <f t="shared" si="7"/>
        <v>1.1292822334193839</v>
      </c>
      <c r="AJ226" s="13">
        <v>1200</v>
      </c>
      <c r="AK226" s="15"/>
    </row>
    <row r="227" spans="1:37" ht="9.9499999999999993" customHeight="1" x14ac:dyDescent="0.2">
      <c r="A227" s="14">
        <v>9.9999999999999995E-8</v>
      </c>
      <c r="B227" s="14">
        <v>0.01</v>
      </c>
      <c r="C227" s="14">
        <v>2.5000000000000001E-2</v>
      </c>
      <c r="D227" s="14">
        <v>0.05</v>
      </c>
      <c r="E227" s="14">
        <v>0.08</v>
      </c>
      <c r="F227" s="14">
        <v>0.1</v>
      </c>
      <c r="G227" s="20">
        <v>0.2</v>
      </c>
      <c r="H227" s="14">
        <v>0.3</v>
      </c>
      <c r="I227" s="14">
        <v>0.4</v>
      </c>
      <c r="J227" s="14">
        <v>0.45</v>
      </c>
      <c r="K227" s="14">
        <v>0.5</v>
      </c>
      <c r="L227" s="14">
        <v>1</v>
      </c>
      <c r="M227" s="14">
        <v>2</v>
      </c>
      <c r="N227" s="16">
        <v>4</v>
      </c>
      <c r="O227" s="16">
        <v>8</v>
      </c>
      <c r="P227" s="16">
        <v>10</v>
      </c>
      <c r="Q227" s="16">
        <v>11</v>
      </c>
      <c r="R227" s="16">
        <v>12</v>
      </c>
      <c r="S227" s="16">
        <v>13</v>
      </c>
      <c r="T227" s="16">
        <v>14</v>
      </c>
      <c r="U227" s="16">
        <v>15</v>
      </c>
      <c r="V227" s="16">
        <v>16</v>
      </c>
      <c r="W227" s="16">
        <v>17</v>
      </c>
      <c r="X227" s="16">
        <v>18</v>
      </c>
      <c r="Y227" s="16">
        <v>19</v>
      </c>
      <c r="Z227" s="16">
        <v>20</v>
      </c>
      <c r="AA227" s="16">
        <v>21</v>
      </c>
      <c r="AB227" s="16">
        <v>22</v>
      </c>
      <c r="AC227" s="16">
        <v>23</v>
      </c>
      <c r="AD227" s="16">
        <v>24</v>
      </c>
      <c r="AE227" s="16">
        <v>25</v>
      </c>
      <c r="AF227" s="16">
        <v>26</v>
      </c>
      <c r="AG227" s="16">
        <v>27</v>
      </c>
      <c r="AH227" s="16">
        <v>28</v>
      </c>
      <c r="AI227" s="16">
        <v>2800000</v>
      </c>
      <c r="AJ227" s="15"/>
      <c r="AK227" s="16" t="s">
        <v>24</v>
      </c>
    </row>
    <row r="228" spans="1:37" ht="9.9499999999999993" customHeight="1" x14ac:dyDescent="0.2"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3" t="s">
        <v>25</v>
      </c>
      <c r="AK228" s="15"/>
    </row>
    <row r="230" spans="1:37" ht="9.9499999999999993" customHeight="1" x14ac:dyDescent="0.2">
      <c r="A230" s="14">
        <v>1</v>
      </c>
      <c r="B230" s="14">
        <v>2</v>
      </c>
      <c r="C230" s="14">
        <v>3</v>
      </c>
      <c r="D230" s="14">
        <v>4</v>
      </c>
      <c r="E230" s="14">
        <v>5</v>
      </c>
      <c r="F230" s="14">
        <v>6</v>
      </c>
      <c r="G230" s="14">
        <v>7</v>
      </c>
      <c r="H230" s="14">
        <v>8</v>
      </c>
      <c r="I230" s="14">
        <v>9</v>
      </c>
      <c r="J230" s="14">
        <v>10</v>
      </c>
      <c r="K230" s="14">
        <v>11</v>
      </c>
      <c r="L230" s="14">
        <v>12</v>
      </c>
      <c r="M230" s="14">
        <v>13</v>
      </c>
      <c r="N230" s="14">
        <v>14</v>
      </c>
      <c r="O230" s="14">
        <v>15</v>
      </c>
      <c r="P230" s="14">
        <v>16</v>
      </c>
      <c r="Q230" s="14">
        <v>17</v>
      </c>
      <c r="R230" s="14">
        <v>18</v>
      </c>
      <c r="S230" s="14">
        <v>19</v>
      </c>
      <c r="T230" s="14">
        <v>20</v>
      </c>
      <c r="U230" s="14">
        <v>21</v>
      </c>
      <c r="V230" s="14">
        <v>22</v>
      </c>
      <c r="W230" s="14">
        <v>23</v>
      </c>
      <c r="X230" s="14">
        <v>24</v>
      </c>
      <c r="Y230" s="14">
        <v>25</v>
      </c>
      <c r="Z230" s="14">
        <v>26</v>
      </c>
      <c r="AA230" s="14">
        <v>27</v>
      </c>
      <c r="AB230" s="14">
        <v>28</v>
      </c>
      <c r="AC230" s="14">
        <v>29</v>
      </c>
      <c r="AD230" s="14">
        <v>30</v>
      </c>
      <c r="AE230" s="14">
        <v>31</v>
      </c>
      <c r="AF230" s="14">
        <v>32</v>
      </c>
      <c r="AG230" s="14">
        <v>33</v>
      </c>
      <c r="AH230" s="14">
        <v>34</v>
      </c>
      <c r="AI230" s="14">
        <v>35</v>
      </c>
      <c r="AJ230" s="15"/>
      <c r="AK230" s="15"/>
    </row>
    <row r="233" spans="1:37" ht="9.9499999999999993" customHeight="1" x14ac:dyDescent="0.2">
      <c r="B233" s="2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F48C9-9FB2-497F-984D-A46566ACF8C6}">
  <dimension ref="A1:AL231"/>
  <sheetViews>
    <sheetView topLeftCell="A203" zoomScale="115" zoomScaleNormal="115" workbookViewId="0">
      <selection activeCell="AK229" sqref="AK229"/>
    </sheetView>
  </sheetViews>
  <sheetFormatPr defaultColWidth="8.85546875" defaultRowHeight="15" x14ac:dyDescent="0.25"/>
  <cols>
    <col min="1" max="36" width="4.7109375" customWidth="1"/>
  </cols>
  <sheetData>
    <row r="1" spans="1:38" ht="11.25" customHeight="1" x14ac:dyDescent="0.25">
      <c r="A1" s="60">
        <f>B1</f>
        <v>1.6505525396081406</v>
      </c>
      <c r="B1" s="60">
        <f>[1]!cp("oxygen","TP","SI",$AJ1,B$227)/[1]!cv("oxygen","TP","SI",$AJ1,B$227)</f>
        <v>1.6505525396081406</v>
      </c>
      <c r="C1" s="60">
        <f>[1]!cp("oxygen","TP","SI",$AJ1,C$227)/[1]!cv("oxygen","TP","SI",$AJ1,C$227)</f>
        <v>1.6504785211853006</v>
      </c>
      <c r="D1" s="60">
        <f>[1]!cp("oxygen","TP","SI",$AJ1,D$227)/[1]!cv("oxygen","TP","SI",$AJ1,D$227)</f>
        <v>1.650355211278842</v>
      </c>
      <c r="E1" s="60">
        <f>[1]!cp("oxygen","TP","SI",$AJ1,E$227)/[1]!cv("oxygen","TP","SI",$AJ1,E$227)</f>
        <v>1.6502073286475538</v>
      </c>
      <c r="F1" s="60">
        <f>[1]!cp("oxygen","TP","SI",$AJ1,F$227)/[1]!cv("oxygen","TP","SI",$AJ1,F$227)</f>
        <v>1.6501087942821018</v>
      </c>
      <c r="G1" s="60">
        <f>[1]!cp("oxygen","TP","SI",$AJ1,G$227)/[1]!cv("oxygen","TP","SI",$AJ1,G$227)</f>
        <v>1.6496167701755053</v>
      </c>
      <c r="H1" s="60">
        <f>[1]!cp("oxygen","TP","SI",$AJ1,H$227)/[1]!cv("oxygen","TP","SI",$AJ1,H$227)</f>
        <v>1.6491258233005466</v>
      </c>
      <c r="I1" s="60">
        <f>[1]!cp("oxygen","TP","SI",$AJ1,I$227)/[1]!cv("oxygen","TP","SI",$AJ1,I$227)</f>
        <v>1.6486359505262154</v>
      </c>
      <c r="J1" s="60">
        <f>[1]!cp("oxygen","TP","SI",$AJ1,J$227)/[1]!cv("oxygen","TP","SI",$AJ1,J$227)</f>
        <v>1.6483914159514472</v>
      </c>
      <c r="K1" s="60">
        <f>[1]!cp("oxygen","TP","SI",$AJ1,K$227)/[1]!cv("oxygen","TP","SI",$AJ1,K$227)</f>
        <v>1.648147148732898</v>
      </c>
      <c r="L1" s="60">
        <f>[1]!cp("oxygen","TP","SI",$AJ1,L$227)/[1]!cv("oxygen","TP","SI",$AJ1,L$227)</f>
        <v>1.6457190960908132</v>
      </c>
      <c r="M1" s="60">
        <f>[1]!cp("oxygen","TP","SI",$AJ1,M$227)/[1]!cv("oxygen","TP","SI",$AJ1,M$227)</f>
        <v>1.6409415526448525</v>
      </c>
      <c r="N1" s="60">
        <f>[1]!cp("oxygen","TP","SI",$AJ1,N$227)/[1]!cv("oxygen","TP","SI",$AJ1,N$227)</f>
        <v>1.6316903796589841</v>
      </c>
      <c r="O1" s="60">
        <f>[1]!cp("oxygen","TP","SI",$AJ1,O$227)/[1]!cv("oxygen","TP","SI",$AJ1,O$227)</f>
        <v>1.614326307604107</v>
      </c>
      <c r="P1" s="60">
        <f>[1]!cp("oxygen","TP","SI",$AJ1,P$227)/[1]!cv("oxygen","TP","SI",$AJ1,P$227)</f>
        <v>1.6061725220714305</v>
      </c>
      <c r="Q1" s="60">
        <f>[1]!cp("oxygen","TP","SI",$AJ1,Q$227)/[1]!cv("oxygen","TP","SI",$AJ1,Q$227)</f>
        <v>1.6022194157879996</v>
      </c>
      <c r="R1" s="60">
        <f>[1]!cp("oxygen","TP","SI",$AJ1,R$227)/[1]!cv("oxygen","TP","SI",$AJ1,R$227)</f>
        <v>1.5983458884860362</v>
      </c>
      <c r="S1" s="60">
        <f>[1]!cp("oxygen","TP","SI",$AJ1,S$227)/[1]!cv("oxygen","TP","SI",$AJ1,S$227)</f>
        <v>1.5945498212970486</v>
      </c>
      <c r="T1" s="60">
        <f>[1]!cp("oxygen","TP","SI",$AJ1,T$227)/[1]!cv("oxygen","TP","SI",$AJ1,T$227)</f>
        <v>1.590829163988654</v>
      </c>
      <c r="U1" s="60">
        <f>[1]!cp("oxygen","TP","SI",$AJ1,U$227)/[1]!cv("oxygen","TP","SI",$AJ1,U$227)</f>
        <v>1.5871819322391021</v>
      </c>
      <c r="V1" s="60">
        <f>[1]!cp("oxygen","TP","SI",$AJ1,V$227)/[1]!cv("oxygen","TP","SI",$AJ1,V$227)</f>
        <v>1.5836062050459372</v>
      </c>
      <c r="W1" s="60">
        <f>[1]!cp("oxygen","TP","SI",$AJ1,W$227)/[1]!cv("oxygen","TP","SI",$AJ1,W$227)</f>
        <v>1.5801001222608595</v>
      </c>
      <c r="X1" s="60">
        <f>[1]!cp("oxygen","TP","SI",$AJ1,X$227)/[1]!cv("oxygen","TP","SI",$AJ1,X$227)</f>
        <v>1.5766618822428395</v>
      </c>
      <c r="Y1" s="60">
        <f>[1]!cp("oxygen","TP","SI",$AJ1,Y$227)/[1]!cv("oxygen","TP","SI",$AJ1,Y$227)</f>
        <v>1.573289739622511</v>
      </c>
      <c r="Z1" s="60">
        <f>[1]!cp("oxygen","TP","SI",$AJ1,Z$227)/[1]!cv("oxygen","TP","SI",$AJ1,Z$227)</f>
        <v>1.5699820031712284</v>
      </c>
      <c r="AA1" s="60">
        <f>[1]!cp("oxygen","TP","SI",$AJ1,AA$227)/[1]!cv("oxygen","TP","SI",$AJ1,AA$227)</f>
        <v>1.5667370337688058</v>
      </c>
      <c r="AB1" s="60">
        <f>[1]!cp("oxygen","TP","SI",$AJ1,AB$227)/[1]!cv("oxygen","TP","SI",$AJ1,AB$227)</f>
        <v>1.5635532424642944</v>
      </c>
      <c r="AC1" s="60">
        <f>[1]!cp("oxygen","TP","SI",$AJ1,AC$227)/[1]!cv("oxygen","TP","SI",$AJ1,AC$227)</f>
        <v>1.5604290886243699</v>
      </c>
      <c r="AD1" s="60">
        <f>[1]!cp("oxygen","TP","SI",$AJ1,AD$227)/[1]!cv("oxygen","TP","SI",$AJ1,AD$227)</f>
        <v>1.5573630781648549</v>
      </c>
      <c r="AE1" s="60">
        <f>[1]!cp("oxygen","TP","SI",$AJ1,AE$227)/[1]!cv("oxygen","TP","SI",$AJ1,AE$227)</f>
        <v>1.5543537618604057</v>
      </c>
      <c r="AF1" s="60">
        <f>[1]!cp("oxygen","TP","SI",$AJ1,AF$227)/[1]!cv("oxygen","TP","SI",$AJ1,AF$227)</f>
        <v>1.5513997337285141</v>
      </c>
      <c r="AG1" s="60">
        <f>[1]!cp("oxygen","TP","SI",$AJ1,AG$227)/[1]!cv("oxygen","TP","SI",$AJ1,AG$227)</f>
        <v>1.5484996294835907</v>
      </c>
      <c r="AH1" s="60">
        <f>[1]!cp("oxygen","TP","SI",$AJ1,AH$227)/[1]!cv("oxygen","TP","SI",$AJ1,AH$227)</f>
        <v>1.5456521250576043</v>
      </c>
      <c r="AI1" s="60">
        <f>AH1</f>
        <v>1.5456521250576043</v>
      </c>
      <c r="AJ1" s="14">
        <v>70</v>
      </c>
      <c r="AK1" s="14"/>
    </row>
    <row r="2" spans="1:38" ht="11.25" customHeight="1" x14ac:dyDescent="0.25">
      <c r="A2" s="60">
        <f t="shared" ref="A2:A65" si="0">B2</f>
        <v>1.4049793813176628</v>
      </c>
      <c r="B2" s="60">
        <v>1.4049793813176628</v>
      </c>
      <c r="C2" s="60">
        <v>1.4042703641672456</v>
      </c>
      <c r="D2" s="60">
        <v>1.7339468661966682</v>
      </c>
      <c r="E2" s="60">
        <v>1.7337403184918514</v>
      </c>
      <c r="F2" s="60">
        <v>1.7336027137611314</v>
      </c>
      <c r="G2" s="60">
        <v>1.7329158126944988</v>
      </c>
      <c r="H2" s="60">
        <v>1.7322307770453826</v>
      </c>
      <c r="I2" s="60">
        <v>1.731547599265356</v>
      </c>
      <c r="J2" s="60">
        <v>1.7312067047290509</v>
      </c>
      <c r="K2" s="60">
        <v>1.7308662718487291</v>
      </c>
      <c r="L2" s="60">
        <v>1.7274871304711397</v>
      </c>
      <c r="M2" s="60">
        <v>1.7208634274728098</v>
      </c>
      <c r="N2" s="60">
        <v>1.7081301990141033</v>
      </c>
      <c r="O2" s="60">
        <v>1.684545585095711</v>
      </c>
      <c r="P2" s="60">
        <v>1.6736052356798135</v>
      </c>
      <c r="Q2" s="60">
        <v>1.6683306794547816</v>
      </c>
      <c r="R2" s="60">
        <v>1.6631805371754251</v>
      </c>
      <c r="S2" s="60">
        <v>1.6581505683305886</v>
      </c>
      <c r="T2" s="60">
        <v>1.6532367241924171</v>
      </c>
      <c r="U2" s="60">
        <v>1.6484351365472554</v>
      </c>
      <c r="V2" s="60">
        <v>1.6437421072635814</v>
      </c>
      <c r="W2" s="60">
        <v>1.6391540986208293</v>
      </c>
      <c r="X2" s="60">
        <v>1.6346677243315311</v>
      </c>
      <c r="Y2" s="60">
        <v>1.6302797411958065</v>
      </c>
      <c r="Z2" s="60">
        <v>1.6259870413340283</v>
      </c>
      <c r="AA2" s="60">
        <v>1.6217866449486495</v>
      </c>
      <c r="AB2" s="60">
        <v>1.6176756935713015</v>
      </c>
      <c r="AC2" s="60">
        <v>1.6136514437555771</v>
      </c>
      <c r="AD2" s="60">
        <v>1.6097112611794848</v>
      </c>
      <c r="AE2" s="60">
        <v>1.6058526151254859</v>
      </c>
      <c r="AF2" s="60">
        <v>1.602073073308369</v>
      </c>
      <c r="AG2" s="60">
        <v>1.5983702970247189</v>
      </c>
      <c r="AH2" s="60">
        <v>1.5947420365993084</v>
      </c>
      <c r="AI2" s="60">
        <f t="shared" ref="AI2:AI65" si="1">AH2</f>
        <v>1.5947420365993084</v>
      </c>
      <c r="AJ2" s="13">
        <v>80</v>
      </c>
      <c r="AK2" s="14"/>
      <c r="AL2" s="14"/>
    </row>
    <row r="3" spans="1:38" ht="11.25" customHeight="1" x14ac:dyDescent="0.25">
      <c r="A3" s="60">
        <f t="shared" si="0"/>
        <v>1.4050858514214886</v>
      </c>
      <c r="B3" s="60">
        <v>1.4050858514214886</v>
      </c>
      <c r="C3" s="60">
        <v>1.4112707147626438</v>
      </c>
      <c r="D3" s="60">
        <v>1.416346173011938</v>
      </c>
      <c r="E3" s="60">
        <v>1.7785823744287292</v>
      </c>
      <c r="F3" s="60">
        <v>1.7784207716746077</v>
      </c>
      <c r="G3" s="60">
        <v>1.7776142326851456</v>
      </c>
      <c r="H3" s="60">
        <v>1.7768101431478454</v>
      </c>
      <c r="I3" s="60">
        <v>1.7760084915126206</v>
      </c>
      <c r="J3" s="60">
        <v>1.7756085763203184</v>
      </c>
      <c r="K3" s="60">
        <v>1.7752092663077079</v>
      </c>
      <c r="L3" s="60">
        <v>1.7712491406190056</v>
      </c>
      <c r="M3" s="60">
        <v>1.7635044905592889</v>
      </c>
      <c r="N3" s="60">
        <v>1.7486812898806077</v>
      </c>
      <c r="O3" s="60">
        <v>1.7214409933959764</v>
      </c>
      <c r="P3" s="60">
        <v>1.7088951279017799</v>
      </c>
      <c r="Q3" s="60">
        <v>1.7028660993296483</v>
      </c>
      <c r="R3" s="60">
        <v>1.6969912898941573</v>
      </c>
      <c r="S3" s="60">
        <v>1.6912648261499728</v>
      </c>
      <c r="T3" s="60">
        <v>1.6856811385694632</v>
      </c>
      <c r="U3" s="60">
        <v>1.6802349409451072</v>
      </c>
      <c r="V3" s="60">
        <v>1.6749212115491301</v>
      </c>
      <c r="W3" s="60">
        <v>1.6697351758688963</v>
      </c>
      <c r="X3" s="60">
        <v>1.6646722907586613</v>
      </c>
      <c r="Y3" s="60">
        <v>1.6597282298670402</v>
      </c>
      <c r="Z3" s="60">
        <v>1.6548988702159479</v>
      </c>
      <c r="AA3" s="60">
        <v>1.6501802798209735</v>
      </c>
      <c r="AB3" s="60">
        <v>1.6455687062553097</v>
      </c>
      <c r="AC3" s="60">
        <v>1.6410605660703987</v>
      </c>
      <c r="AD3" s="60">
        <v>1.6366524349956253</v>
      </c>
      <c r="AE3" s="60">
        <v>1.6323410388476267</v>
      </c>
      <c r="AF3" s="60">
        <v>1.6281232450873031</v>
      </c>
      <c r="AG3" s="60">
        <v>1.6239960549686021</v>
      </c>
      <c r="AH3" s="60">
        <v>1.6199565962290083</v>
      </c>
      <c r="AI3" s="60">
        <f t="shared" si="1"/>
        <v>1.6199565962290083</v>
      </c>
      <c r="AJ3" s="13">
        <v>85</v>
      </c>
      <c r="AK3" s="14"/>
      <c r="AL3" s="14"/>
    </row>
    <row r="4" spans="1:38" ht="11.25" customHeight="1" x14ac:dyDescent="0.25">
      <c r="A4" s="60">
        <f t="shared" si="0"/>
        <v>1.4042907277489971</v>
      </c>
      <c r="B4" s="60">
        <v>1.4042907277489971</v>
      </c>
      <c r="C4" s="60">
        <v>1.4108098853843243</v>
      </c>
      <c r="D4" s="60">
        <v>1.4206561962984521</v>
      </c>
      <c r="E4" s="60">
        <v>1.4306666079982329</v>
      </c>
      <c r="F4" s="60">
        <v>1.8275570612885557</v>
      </c>
      <c r="G4" s="60">
        <v>1.8266022654061973</v>
      </c>
      <c r="H4" s="60">
        <v>1.825650748773648</v>
      </c>
      <c r="I4" s="60">
        <v>1.8247024932471805</v>
      </c>
      <c r="J4" s="60">
        <v>1.8242295827691242</v>
      </c>
      <c r="K4" s="60">
        <v>1.823757480830305</v>
      </c>
      <c r="L4" s="60">
        <v>1.8190804456124743</v>
      </c>
      <c r="M4" s="60">
        <v>1.8099596621767704</v>
      </c>
      <c r="N4" s="60">
        <v>1.7925953682333029</v>
      </c>
      <c r="O4" s="60">
        <v>1.760986605495525</v>
      </c>
      <c r="P4" s="60">
        <v>1.7465525736897756</v>
      </c>
      <c r="Q4" s="60">
        <v>1.7396426241523968</v>
      </c>
      <c r="R4" s="60">
        <v>1.7329255288291441</v>
      </c>
      <c r="S4" s="60">
        <v>1.726393065141764</v>
      </c>
      <c r="T4" s="60">
        <v>1.7200374954406712</v>
      </c>
      <c r="U4" s="60">
        <v>1.7138515294100347</v>
      </c>
      <c r="V4" s="60">
        <v>1.7078282901216475</v>
      </c>
      <c r="W4" s="60">
        <v>1.7019612833128186</v>
      </c>
      <c r="X4" s="60">
        <v>1.69624436952086</v>
      </c>
      <c r="Y4" s="60">
        <v>1.6906717387553853</v>
      </c>
      <c r="Z4" s="60">
        <v>1.6852378874308627</v>
      </c>
      <c r="AA4" s="60">
        <v>1.6799375973172226</v>
      </c>
      <c r="AB4" s="60">
        <v>1.6747659162963253</v>
      </c>
      <c r="AC4" s="60">
        <v>1.6697181407383461</v>
      </c>
      <c r="AD4" s="60">
        <v>1.6647897993339931</v>
      </c>
      <c r="AE4" s="60">
        <v>1.6599766382382406</v>
      </c>
      <c r="AF4" s="60">
        <v>1.6552746073976479</v>
      </c>
      <c r="AG4" s="60">
        <v>1.6506798479478992</v>
      </c>
      <c r="AH4" s="60">
        <v>1.6461886805810384</v>
      </c>
      <c r="AI4" s="60">
        <f t="shared" si="1"/>
        <v>1.6461886805810384</v>
      </c>
      <c r="AJ4" s="13">
        <v>90</v>
      </c>
      <c r="AK4" s="14"/>
      <c r="AL4" s="14"/>
    </row>
    <row r="5" spans="1:38" ht="11.25" customHeight="1" x14ac:dyDescent="0.25">
      <c r="A5" s="60">
        <f t="shared" si="0"/>
        <v>1.4035261351475368</v>
      </c>
      <c r="B5" s="60">
        <v>1.4035261351475368</v>
      </c>
      <c r="C5" s="60">
        <v>1.4092174594400004</v>
      </c>
      <c r="D5" s="60">
        <v>1.4186588623185468</v>
      </c>
      <c r="E5" s="60">
        <v>1.4299007676290481</v>
      </c>
      <c r="F5" s="60">
        <v>1.4373327483173948</v>
      </c>
      <c r="G5" s="60">
        <v>1.8810481532371963</v>
      </c>
      <c r="H5" s="60">
        <v>1.8799079854116967</v>
      </c>
      <c r="I5" s="60">
        <v>1.8787723000830681</v>
      </c>
      <c r="J5" s="60">
        <v>1.8782061291741414</v>
      </c>
      <c r="K5" s="60">
        <v>1.8776410679081035</v>
      </c>
      <c r="L5" s="60">
        <v>1.8720506970838726</v>
      </c>
      <c r="M5" s="60">
        <v>1.8611878519945679</v>
      </c>
      <c r="N5" s="60">
        <v>1.8406447529001941</v>
      </c>
      <c r="O5" s="60">
        <v>1.8036843595179932</v>
      </c>
      <c r="P5" s="60">
        <v>1.7869807935805357</v>
      </c>
      <c r="Q5" s="60">
        <v>1.7790209067988694</v>
      </c>
      <c r="R5" s="60">
        <v>1.7713052052597476</v>
      </c>
      <c r="S5" s="60">
        <v>1.7638219831802839</v>
      </c>
      <c r="T5" s="60">
        <v>1.7565603214195959</v>
      </c>
      <c r="U5" s="60">
        <v>1.74951001795814</v>
      </c>
      <c r="V5" s="60">
        <v>1.7426615260204892</v>
      </c>
      <c r="W5" s="60">
        <v>1.7360058988413556</v>
      </c>
      <c r="X5" s="60">
        <v>1.7295347402256043</v>
      </c>
      <c r="Y5" s="60">
        <v>1.7232401601779559</v>
      </c>
      <c r="Z5" s="60">
        <v>1.7171147349825988</v>
      </c>
      <c r="AA5" s="60">
        <v>1.7111514712002285</v>
      </c>
      <c r="AB5" s="60">
        <v>1.7053437731237606</v>
      </c>
      <c r="AC5" s="60">
        <v>1.6996854132960186</v>
      </c>
      <c r="AD5" s="60">
        <v>1.6941705057451657</v>
      </c>
      <c r="AE5" s="60">
        <v>1.6887934816386962</v>
      </c>
      <c r="AF5" s="60">
        <v>1.6835490670946145</v>
      </c>
      <c r="AG5" s="60">
        <v>1.6784322629214705</v>
      </c>
      <c r="AH5" s="60">
        <v>1.6734383260866466</v>
      </c>
      <c r="AI5" s="60">
        <f t="shared" si="1"/>
        <v>1.6734383260866466</v>
      </c>
      <c r="AJ5" s="13">
        <v>95</v>
      </c>
      <c r="AK5" s="14"/>
      <c r="AL5" s="14"/>
    </row>
    <row r="6" spans="1:38" ht="11.25" customHeight="1" x14ac:dyDescent="0.25">
      <c r="A6" s="60">
        <f t="shared" si="0"/>
        <v>1.4029160545349399</v>
      </c>
      <c r="B6" s="60">
        <v>1.4029160545349399</v>
      </c>
      <c r="C6" s="60">
        <v>1.4077403182733246</v>
      </c>
      <c r="D6" s="60">
        <v>1.415920883857174</v>
      </c>
      <c r="E6" s="60">
        <v>1.4259816681014481</v>
      </c>
      <c r="F6" s="60">
        <v>1.4328454491091629</v>
      </c>
      <c r="G6" s="60">
        <v>1.4692567463662445</v>
      </c>
      <c r="H6" s="60">
        <v>1.940952856688517</v>
      </c>
      <c r="I6" s="60">
        <v>1.939570118359083</v>
      </c>
      <c r="J6" s="60">
        <v>1.9388811256079745</v>
      </c>
      <c r="K6" s="60">
        <v>1.9381937088154571</v>
      </c>
      <c r="L6" s="60">
        <v>1.9314048742142711</v>
      </c>
      <c r="M6" s="60">
        <v>1.9182745686517075</v>
      </c>
      <c r="N6" s="60">
        <v>1.8936553445342537</v>
      </c>
      <c r="O6" s="60">
        <v>1.8500073208523817</v>
      </c>
      <c r="P6" s="60">
        <v>1.830532278458137</v>
      </c>
      <c r="Q6" s="60">
        <v>1.8213030618761044</v>
      </c>
      <c r="R6" s="60">
        <v>1.8123875628503923</v>
      </c>
      <c r="S6" s="60">
        <v>1.8037687784467802</v>
      </c>
      <c r="T6" s="60">
        <v>1.795431009645853</v>
      </c>
      <c r="U6" s="60">
        <v>1.7873597301298347</v>
      </c>
      <c r="V6" s="60">
        <v>1.7795414713829398</v>
      </c>
      <c r="W6" s="60">
        <v>1.7719637217088826</v>
      </c>
      <c r="X6" s="60">
        <v>1.7646148371725365</v>
      </c>
      <c r="Y6" s="60">
        <v>1.7574839627989549</v>
      </c>
      <c r="Z6" s="60">
        <v>1.7505609626306675</v>
      </c>
      <c r="AA6" s="60">
        <v>1.7438363574625622</v>
      </c>
      <c r="AB6" s="60">
        <v>1.7373012692548255</v>
      </c>
      <c r="AC6" s="60">
        <v>1.7309473713736276</v>
      </c>
      <c r="AD6" s="60">
        <v>1.7247668439339283</v>
      </c>
      <c r="AE6" s="60">
        <v>1.7187523336227115</v>
      </c>
      <c r="AF6" s="60">
        <v>1.7128969174681947</v>
      </c>
      <c r="AG6" s="60">
        <v>1.7071940700940287</v>
      </c>
      <c r="AH6" s="60">
        <v>1.7016376340596424</v>
      </c>
      <c r="AI6" s="60">
        <f t="shared" si="1"/>
        <v>1.7016376340596424</v>
      </c>
      <c r="AJ6" s="13">
        <v>100</v>
      </c>
      <c r="AK6" s="14"/>
      <c r="AL6" s="14"/>
    </row>
    <row r="7" spans="1:38" ht="11.25" customHeight="1" x14ac:dyDescent="0.25">
      <c r="A7" s="60">
        <f t="shared" si="0"/>
        <v>1.4024430635632603</v>
      </c>
      <c r="B7" s="60">
        <v>1.4024430635632603</v>
      </c>
      <c r="C7" s="60">
        <v>1.4065468962984087</v>
      </c>
      <c r="D7" s="60">
        <v>1.4135348221112547</v>
      </c>
      <c r="E7" s="60">
        <v>1.422177693271627</v>
      </c>
      <c r="F7" s="60">
        <v>1.4281043464764842</v>
      </c>
      <c r="G7" s="60">
        <v>1.4599447445086911</v>
      </c>
      <c r="H7" s="60">
        <v>1.4961072127681985</v>
      </c>
      <c r="I7" s="60">
        <v>2.0090188077419864</v>
      </c>
      <c r="J7" s="60">
        <v>2.0081622886784567</v>
      </c>
      <c r="K7" s="60">
        <v>2.0073081070567982</v>
      </c>
      <c r="L7" s="60">
        <v>1.9988924140324067</v>
      </c>
      <c r="M7" s="60">
        <v>1.9827165254136536</v>
      </c>
      <c r="N7" s="60">
        <v>1.9527267129949015</v>
      </c>
      <c r="O7" s="60">
        <v>1.9005479105771488</v>
      </c>
      <c r="P7" s="60">
        <v>1.8776364837726869</v>
      </c>
      <c r="Q7" s="60">
        <v>1.8668523280665899</v>
      </c>
      <c r="R7" s="60">
        <v>1.8564778890627771</v>
      </c>
      <c r="S7" s="60">
        <v>1.8464879042032167</v>
      </c>
      <c r="T7" s="60">
        <v>1.8368593271266631</v>
      </c>
      <c r="U7" s="60">
        <v>1.8275710736688264</v>
      </c>
      <c r="V7" s="60">
        <v>1.8186038035653431</v>
      </c>
      <c r="W7" s="60">
        <v>1.8099397319699067</v>
      </c>
      <c r="X7" s="60">
        <v>1.8015624660044978</v>
      </c>
      <c r="Y7" s="60">
        <v>1.7934568624325176</v>
      </c>
      <c r="Z7" s="60">
        <v>1.7856089032416378</v>
      </c>
      <c r="AA7" s="60">
        <v>1.7780055864810302</v>
      </c>
      <c r="AB7" s="60">
        <v>1.7706348301472425</v>
      </c>
      <c r="AC7" s="60">
        <v>1.763485387277804</v>
      </c>
      <c r="AD7" s="60">
        <v>1.7565467707086988</v>
      </c>
      <c r="AE7" s="60">
        <v>1.7498091861955267</v>
      </c>
      <c r="AF7" s="60">
        <v>1.7432634727986109</v>
      </c>
      <c r="AG7" s="60">
        <v>1.7369010495981421</v>
      </c>
      <c r="AH7" s="60">
        <v>1.7307138679434133</v>
      </c>
      <c r="AI7" s="60">
        <f t="shared" si="1"/>
        <v>1.7307138679434133</v>
      </c>
      <c r="AJ7" s="13">
        <v>105</v>
      </c>
      <c r="AK7" s="14"/>
      <c r="AL7" s="14"/>
    </row>
    <row r="8" spans="1:38" ht="11.25" customHeight="1" x14ac:dyDescent="0.25">
      <c r="A8" s="60">
        <f t="shared" si="0"/>
        <v>1.4020740127993598</v>
      </c>
      <c r="B8" s="60">
        <v>1.4020740127993598</v>
      </c>
      <c r="C8" s="60">
        <v>1.4056034795621346</v>
      </c>
      <c r="D8" s="60">
        <v>1.4116088578752723</v>
      </c>
      <c r="E8" s="60">
        <v>1.419027250298345</v>
      </c>
      <c r="F8" s="60">
        <v>1.4241075057121313</v>
      </c>
      <c r="G8" s="60">
        <v>1.4512891570000701</v>
      </c>
      <c r="H8" s="60">
        <v>1.481901398071537</v>
      </c>
      <c r="I8" s="60">
        <v>1.5167125926321494</v>
      </c>
      <c r="J8" s="60">
        <v>1.5360017855857273</v>
      </c>
      <c r="K8" s="60">
        <v>1.5567687089392181</v>
      </c>
      <c r="L8" s="60">
        <v>2.0771849239231321</v>
      </c>
      <c r="M8" s="60">
        <v>2.0567536681326768</v>
      </c>
      <c r="N8" s="60">
        <v>2.019448199543441</v>
      </c>
      <c r="O8" s="60">
        <v>1.9561211477147993</v>
      </c>
      <c r="P8" s="60">
        <v>1.9288757242373322</v>
      </c>
      <c r="Q8" s="60">
        <v>1.9161591501287514</v>
      </c>
      <c r="R8" s="60">
        <v>1.9039876346633746</v>
      </c>
      <c r="S8" s="60">
        <v>1.892322686355558</v>
      </c>
      <c r="T8" s="60">
        <v>1.8811296884166129</v>
      </c>
      <c r="U8" s="60">
        <v>1.8703773923655407</v>
      </c>
      <c r="V8" s="60">
        <v>1.8600374921799674</v>
      </c>
      <c r="W8" s="60">
        <v>1.8500842640601602</v>
      </c>
      <c r="X8" s="60">
        <v>1.8404942600094438</v>
      </c>
      <c r="Y8" s="60">
        <v>1.8312460458367152</v>
      </c>
      <c r="Z8" s="60">
        <v>1.8223199760469382</v>
      </c>
      <c r="AA8" s="60">
        <v>1.8136979995362517</v>
      </c>
      <c r="AB8" s="60">
        <v>1.8053634911487095</v>
      </c>
      <c r="AC8" s="60">
        <v>1.7973011050542473</v>
      </c>
      <c r="AD8" s="60">
        <v>1.7894966466263373</v>
      </c>
      <c r="AE8" s="60">
        <v>1.7819369600743438</v>
      </c>
      <c r="AF8" s="60">
        <v>1.7746098295502108</v>
      </c>
      <c r="AG8" s="60">
        <v>1.7675038918261472</v>
      </c>
      <c r="AH8" s="60">
        <v>1.7606085589473068</v>
      </c>
      <c r="AI8" s="60">
        <f t="shared" si="1"/>
        <v>1.7606085589473068</v>
      </c>
      <c r="AJ8" s="13">
        <v>110</v>
      </c>
      <c r="AK8" s="14"/>
      <c r="AL8" s="14"/>
    </row>
    <row r="9" spans="1:38" ht="11.25" customHeight="1" x14ac:dyDescent="0.25">
      <c r="A9" s="60">
        <f t="shared" si="0"/>
        <v>1.4017815561477895</v>
      </c>
      <c r="B9" s="60">
        <v>1.4017815561477895</v>
      </c>
      <c r="C9" s="60">
        <v>1.4048528897488766</v>
      </c>
      <c r="D9" s="60">
        <v>1.4100683196597674</v>
      </c>
      <c r="E9" s="60">
        <v>1.4164921993203032</v>
      </c>
      <c r="F9" s="60">
        <v>1.4208791336510325</v>
      </c>
      <c r="G9" s="60">
        <v>1.4441744420986586</v>
      </c>
      <c r="H9" s="60">
        <v>1.4700402865706206</v>
      </c>
      <c r="I9" s="60">
        <v>1.4989694749589801</v>
      </c>
      <c r="J9" s="60">
        <v>1.5147712257684343</v>
      </c>
      <c r="K9" s="60">
        <v>1.53158589778626</v>
      </c>
      <c r="L9" s="60">
        <v>2.1706192351726807</v>
      </c>
      <c r="M9" s="60">
        <v>2.1439239739544389</v>
      </c>
      <c r="N9" s="60">
        <v>2.0962162218247835</v>
      </c>
      <c r="O9" s="60">
        <v>2.0178773277710742</v>
      </c>
      <c r="P9" s="60">
        <v>1.9850546214298608</v>
      </c>
      <c r="Q9" s="60">
        <v>1.969896113901374</v>
      </c>
      <c r="R9" s="60">
        <v>1.955478083942116</v>
      </c>
      <c r="S9" s="60">
        <v>1.9417402112829478</v>
      </c>
      <c r="T9" s="60">
        <v>1.9286291682408743</v>
      </c>
      <c r="U9" s="60">
        <v>1.9160975755734067</v>
      </c>
      <c r="V9" s="60">
        <v>1.9041031465448739</v>
      </c>
      <c r="W9" s="60">
        <v>1.8926079799364204</v>
      </c>
      <c r="X9" s="60">
        <v>1.8815779719510268</v>
      </c>
      <c r="Y9" s="60">
        <v>1.8709823237964445</v>
      </c>
      <c r="Z9" s="60">
        <v>1.8607931268446323</v>
      </c>
      <c r="AA9" s="60">
        <v>1.8509850111358261</v>
      </c>
      <c r="AB9" s="60">
        <v>1.8415348459490237</v>
      </c>
      <c r="AC9" s="60">
        <v>1.8324214834347607</v>
      </c>
      <c r="AD9" s="60">
        <v>1.8236255380717985</v>
      </c>
      <c r="AE9" s="60">
        <v>1.8151291960902072</v>
      </c>
      <c r="AF9" s="60">
        <v>1.8069160500917405</v>
      </c>
      <c r="AG9" s="60">
        <v>1.798970954961336</v>
      </c>
      <c r="AH9" s="60">
        <v>1.7912799018532293</v>
      </c>
      <c r="AI9" s="60">
        <f t="shared" si="1"/>
        <v>1.7912799018532293</v>
      </c>
      <c r="AJ9" s="13">
        <v>115</v>
      </c>
      <c r="AK9" s="14"/>
      <c r="AL9" s="14"/>
    </row>
    <row r="10" spans="1:38" ht="11.25" customHeight="1" x14ac:dyDescent="0.25">
      <c r="A10" s="60">
        <f t="shared" si="0"/>
        <v>1.4015457327859369</v>
      </c>
      <c r="B10" s="60">
        <v>1.4015457327859369</v>
      </c>
      <c r="C10" s="60">
        <v>1.4042473247418679</v>
      </c>
      <c r="D10" s="60">
        <v>1.4088250892422491</v>
      </c>
      <c r="E10" s="60">
        <v>1.4144463793769293</v>
      </c>
      <c r="F10" s="60">
        <v>1.4182741970532295</v>
      </c>
      <c r="G10" s="60">
        <v>1.4384478553710482</v>
      </c>
      <c r="H10" s="60">
        <v>1.4605414096586664</v>
      </c>
      <c r="I10" s="60">
        <v>1.4848668615707286</v>
      </c>
      <c r="J10" s="60">
        <v>1.4979827499693514</v>
      </c>
      <c r="K10" s="60">
        <v>1.5118066736070999</v>
      </c>
      <c r="L10" s="60">
        <v>1.7086776785724804</v>
      </c>
      <c r="M10" s="60">
        <v>2.2501790670111164</v>
      </c>
      <c r="N10" s="60">
        <v>2.1868062194692772</v>
      </c>
      <c r="O10" s="60">
        <v>2.0874663896212957</v>
      </c>
      <c r="P10" s="60">
        <v>2.0472898955369945</v>
      </c>
      <c r="Q10" s="60">
        <v>2.0289842156461879</v>
      </c>
      <c r="R10" s="60">
        <v>2.0117090650414196</v>
      </c>
      <c r="S10" s="60">
        <v>1.9953668736201855</v>
      </c>
      <c r="T10" s="60">
        <v>1.9798731495972646</v>
      </c>
      <c r="U10" s="60">
        <v>1.9651542424076871</v>
      </c>
      <c r="V10" s="60">
        <v>1.9511455636419071</v>
      </c>
      <c r="W10" s="60">
        <v>1.9377901582079939</v>
      </c>
      <c r="X10" s="60">
        <v>1.9250375463107918</v>
      </c>
      <c r="Y10" s="60">
        <v>1.9128427770203897</v>
      </c>
      <c r="Z10" s="60">
        <v>1.9011656487439308</v>
      </c>
      <c r="AA10" s="60">
        <v>1.8899700625253639</v>
      </c>
      <c r="AB10" s="60">
        <v>1.8792234819301639</v>
      </c>
      <c r="AC10" s="60">
        <v>1.8688964791174703</v>
      </c>
      <c r="AD10" s="60">
        <v>1.8589623511083546</v>
      </c>
      <c r="AE10" s="60">
        <v>1.8493967936123046</v>
      </c>
      <c r="AF10" s="60">
        <v>1.8401776223481756</v>
      </c>
      <c r="AG10" s="60">
        <v>1.8312845337893395</v>
      </c>
      <c r="AH10" s="60">
        <v>1.822698898817269</v>
      </c>
      <c r="AI10" s="60">
        <f t="shared" si="1"/>
        <v>1.822698898817269</v>
      </c>
      <c r="AJ10" s="13">
        <v>120</v>
      </c>
      <c r="AK10" s="14"/>
      <c r="AL10" s="14"/>
    </row>
    <row r="11" spans="1:38" ht="11.25" customHeight="1" x14ac:dyDescent="0.25">
      <c r="A11" s="60">
        <f t="shared" si="0"/>
        <v>1.4013522959159472</v>
      </c>
      <c r="B11" s="60">
        <v>1.4013522959159472</v>
      </c>
      <c r="C11" s="60">
        <v>1.4037511903950748</v>
      </c>
      <c r="D11" s="60">
        <v>1.4078080744190549</v>
      </c>
      <c r="E11" s="60">
        <v>1.4127759551154941</v>
      </c>
      <c r="F11" s="60">
        <v>1.4161500826410567</v>
      </c>
      <c r="G11" s="60">
        <v>1.4338144012157903</v>
      </c>
      <c r="H11" s="60">
        <v>1.4529295623599703</v>
      </c>
      <c r="I11" s="60">
        <v>1.4736958425733304</v>
      </c>
      <c r="J11" s="60">
        <v>1.4847710654643766</v>
      </c>
      <c r="K11" s="60">
        <v>1.4963522249946202</v>
      </c>
      <c r="L11" s="60">
        <v>1.6507682100603323</v>
      </c>
      <c r="M11" s="60">
        <v>2.386465551787746</v>
      </c>
      <c r="N11" s="60">
        <v>2.297535452973114</v>
      </c>
      <c r="O11" s="60">
        <v>2.1673103737644923</v>
      </c>
      <c r="P11" s="60">
        <v>2.1171460732421439</v>
      </c>
      <c r="Q11" s="60">
        <v>2.0946883447353284</v>
      </c>
      <c r="R11" s="60">
        <v>2.0737056318868166</v>
      </c>
      <c r="S11" s="60">
        <v>2.0540343289405221</v>
      </c>
      <c r="T11" s="60">
        <v>2.0355363006098721</v>
      </c>
      <c r="U11" s="60">
        <v>2.0180938754576245</v>
      </c>
      <c r="V11" s="60">
        <v>2.0016060067486618</v>
      </c>
      <c r="W11" s="60">
        <v>1.9859852900436736</v>
      </c>
      <c r="X11" s="60">
        <v>1.9711556188152999</v>
      </c>
      <c r="Y11" s="60">
        <v>1.9570503216101005</v>
      </c>
      <c r="Z11" s="60">
        <v>1.9436106671354432</v>
      </c>
      <c r="AA11" s="60">
        <v>1.9307846536394573</v>
      </c>
      <c r="AB11" s="60">
        <v>1.9185260202516425</v>
      </c>
      <c r="AC11" s="60">
        <v>1.9067934332875858</v>
      </c>
      <c r="AD11" s="60">
        <v>1.8955498117034362</v>
      </c>
      <c r="AE11" s="60">
        <v>1.8847617641353602</v>
      </c>
      <c r="AF11" s="60">
        <v>1.8743991161118791</v>
      </c>
      <c r="AG11" s="60">
        <v>1.8644345106623219</v>
      </c>
      <c r="AH11" s="60">
        <v>1.8548430690701092</v>
      </c>
      <c r="AI11" s="60">
        <f t="shared" si="1"/>
        <v>1.8548430690701092</v>
      </c>
      <c r="AJ11" s="13">
        <v>125</v>
      </c>
      <c r="AK11" s="14"/>
      <c r="AL11" s="14"/>
    </row>
    <row r="12" spans="1:38" ht="11.25" customHeight="1" x14ac:dyDescent="0.25">
      <c r="A12" s="60">
        <f t="shared" si="0"/>
        <v>1.4011910110351375</v>
      </c>
      <c r="B12" s="60">
        <v>1.4011910110351375</v>
      </c>
      <c r="C12" s="60">
        <v>1.4033385911151477</v>
      </c>
      <c r="D12" s="60">
        <v>1.4069642409960514</v>
      </c>
      <c r="E12" s="60">
        <v>1.4113933612500171</v>
      </c>
      <c r="F12" s="60">
        <v>1.4143948357968341</v>
      </c>
      <c r="G12" s="60">
        <v>1.4300188420430728</v>
      </c>
      <c r="H12" s="60">
        <v>1.4467560038867833</v>
      </c>
      <c r="I12" s="60">
        <v>1.4647376397536194</v>
      </c>
      <c r="J12" s="60">
        <v>1.4742420040895603</v>
      </c>
      <c r="K12" s="60">
        <v>1.484116844551256</v>
      </c>
      <c r="L12" s="60">
        <v>1.6096079459677513</v>
      </c>
      <c r="M12" s="60">
        <v>2.575809450605266</v>
      </c>
      <c r="N12" s="60">
        <v>2.4399237956879598</v>
      </c>
      <c r="O12" s="60">
        <v>2.2610875960619565</v>
      </c>
      <c r="P12" s="60">
        <v>2.196853780113321</v>
      </c>
      <c r="Q12" s="60">
        <v>2.1687637465317584</v>
      </c>
      <c r="R12" s="60">
        <v>2.1428555676204679</v>
      </c>
      <c r="S12" s="60">
        <v>2.1188433843521834</v>
      </c>
      <c r="T12" s="60">
        <v>2.0964932750771941</v>
      </c>
      <c r="U12" s="60">
        <v>2.0756114827386152</v>
      </c>
      <c r="V12" s="60">
        <v>2.0560357777284173</v>
      </c>
      <c r="W12" s="60">
        <v>2.0376290103404546</v>
      </c>
      <c r="X12" s="60">
        <v>2.0202742223444807</v>
      </c>
      <c r="Y12" s="60">
        <v>2.0038708883749563</v>
      </c>
      <c r="Z12" s="60">
        <v>1.9883319891004099</v>
      </c>
      <c r="AA12" s="60">
        <v>1.9735817056189144</v>
      </c>
      <c r="AB12" s="60">
        <v>1.959553583943187</v>
      </c>
      <c r="AC12" s="60">
        <v>1.946189059501507</v>
      </c>
      <c r="AD12" s="60">
        <v>1.9334362604124566</v>
      </c>
      <c r="AE12" s="60">
        <v>1.9212490288313802</v>
      </c>
      <c r="AF12" s="60">
        <v>1.9095861144971162</v>
      </c>
      <c r="AG12" s="60">
        <v>1.8984105054493807</v>
      </c>
      <c r="AH12" s="60">
        <v>1.8876888689044047</v>
      </c>
      <c r="AI12" s="60">
        <f t="shared" si="1"/>
        <v>1.8876888689044047</v>
      </c>
      <c r="AJ12" s="13">
        <v>130</v>
      </c>
      <c r="AK12" s="14"/>
      <c r="AL12" s="14"/>
    </row>
    <row r="13" spans="1:38" ht="11.25" customHeight="1" x14ac:dyDescent="0.25">
      <c r="A13" s="60">
        <f t="shared" si="0"/>
        <v>1.4010543969782834</v>
      </c>
      <c r="B13" s="60">
        <v>1.4010543969782834</v>
      </c>
      <c r="C13" s="60">
        <v>1.4029906070732003</v>
      </c>
      <c r="D13" s="60">
        <v>1.4062545883628024</v>
      </c>
      <c r="E13" s="60">
        <v>1.4102336542049059</v>
      </c>
      <c r="F13" s="60">
        <v>1.4129249810692182</v>
      </c>
      <c r="G13" s="60">
        <v>1.4268669620894612</v>
      </c>
      <c r="H13" s="60">
        <v>1.4416759763448508</v>
      </c>
      <c r="I13" s="60">
        <v>1.4574400135066403</v>
      </c>
      <c r="J13" s="60">
        <v>1.4657110366299171</v>
      </c>
      <c r="K13" s="60">
        <v>1.4742596257636047</v>
      </c>
      <c r="L13" s="60">
        <v>1.578942354353756</v>
      </c>
      <c r="M13" s="60">
        <v>2.0237615372020406</v>
      </c>
      <c r="N13" s="60">
        <v>2.6377952086022907</v>
      </c>
      <c r="O13" s="60">
        <v>2.3746471361258847</v>
      </c>
      <c r="P13" s="60">
        <v>2.289673457938417</v>
      </c>
      <c r="Q13" s="60">
        <v>2.2536861626418272</v>
      </c>
      <c r="R13" s="60">
        <v>2.2210538317982182</v>
      </c>
      <c r="S13" s="60">
        <v>2.1912529120187267</v>
      </c>
      <c r="T13" s="60">
        <v>2.1638714038439359</v>
      </c>
      <c r="U13" s="60">
        <v>2.1385796023429764</v>
      </c>
      <c r="V13" s="60">
        <v>2.1151097622654991</v>
      </c>
      <c r="W13" s="60">
        <v>2.0932416296888201</v>
      </c>
      <c r="X13" s="60">
        <v>2.0727919326326809</v>
      </c>
      <c r="Y13" s="60">
        <v>2.0536066060132865</v>
      </c>
      <c r="Z13" s="60">
        <v>2.0355549444543133</v>
      </c>
      <c r="AA13" s="60">
        <v>2.0185251396598565</v>
      </c>
      <c r="AB13" s="60">
        <v>2.0024208288315459</v>
      </c>
      <c r="AC13" s="60">
        <v>1.987158392577443</v>
      </c>
      <c r="AD13" s="60">
        <v>1.9726648160882008</v>
      </c>
      <c r="AE13" s="60">
        <v>1.9588759789617265</v>
      </c>
      <c r="AF13" s="60">
        <v>1.9457352750013788</v>
      </c>
      <c r="AG13" s="60">
        <v>1.9331924887303555</v>
      </c>
      <c r="AH13" s="60">
        <v>1.9212028735912521</v>
      </c>
      <c r="AI13" s="60">
        <f t="shared" si="1"/>
        <v>1.9212028735912521</v>
      </c>
      <c r="AJ13" s="13">
        <v>135</v>
      </c>
      <c r="AK13" s="14"/>
      <c r="AL13" s="14"/>
    </row>
    <row r="14" spans="1:38" ht="11.25" customHeight="1" x14ac:dyDescent="0.25">
      <c r="A14" s="60">
        <f t="shared" si="0"/>
        <v>1.4009368584735153</v>
      </c>
      <c r="B14" s="60">
        <v>1.4009368584735153</v>
      </c>
      <c r="C14" s="60">
        <v>1.4026932155621996</v>
      </c>
      <c r="D14" s="60">
        <v>1.4056502577195851</v>
      </c>
      <c r="E14" s="60">
        <v>1.4092487622508925</v>
      </c>
      <c r="F14" s="60">
        <v>1.4116787107278623</v>
      </c>
      <c r="G14" s="60">
        <v>1.4242151541160475</v>
      </c>
      <c r="H14" s="60">
        <v>1.4374363573775621</v>
      </c>
      <c r="I14" s="60">
        <v>1.4514024690123513</v>
      </c>
      <c r="J14" s="60">
        <v>1.458685659490256</v>
      </c>
      <c r="K14" s="60">
        <v>1.46618105674056</v>
      </c>
      <c r="L14" s="60">
        <v>1.5553186324628281</v>
      </c>
      <c r="M14" s="60">
        <v>1.8802646338896545</v>
      </c>
      <c r="N14" s="60">
        <v>2.9511013056363549</v>
      </c>
      <c r="O14" s="60">
        <v>2.517854303227073</v>
      </c>
      <c r="P14" s="60">
        <v>2.4005173387296721</v>
      </c>
      <c r="Q14" s="60">
        <v>2.3530160733279977</v>
      </c>
      <c r="R14" s="60">
        <v>2.3109136647120843</v>
      </c>
      <c r="S14" s="60">
        <v>2.2731986788166969</v>
      </c>
      <c r="T14" s="60">
        <v>2.2391134816201204</v>
      </c>
      <c r="U14" s="60">
        <v>2.2080770097769444</v>
      </c>
      <c r="V14" s="60">
        <v>2.1796345584705867</v>
      </c>
      <c r="W14" s="60">
        <v>2.153424065433045</v>
      </c>
      <c r="X14" s="60">
        <v>2.1291528343387176</v>
      </c>
      <c r="Y14" s="60">
        <v>2.1065810720467657</v>
      </c>
      <c r="Z14" s="60">
        <v>2.0855099949593456</v>
      </c>
      <c r="AA14" s="60">
        <v>2.065773073004761</v>
      </c>
      <c r="AB14" s="60">
        <v>2.0472294742414272</v>
      </c>
      <c r="AC14" s="60">
        <v>2.0297590823474749</v>
      </c>
      <c r="AD14" s="60">
        <v>2.0132586576108782</v>
      </c>
      <c r="AE14" s="60">
        <v>1.9976388421500642</v>
      </c>
      <c r="AF14" s="60">
        <v>1.9828217972048268</v>
      </c>
      <c r="AG14" s="60">
        <v>1.968739319744307</v>
      </c>
      <c r="AH14" s="60">
        <v>1.955331326842199</v>
      </c>
      <c r="AI14" s="60">
        <f t="shared" si="1"/>
        <v>1.955331326842199</v>
      </c>
      <c r="AJ14" s="13">
        <v>140</v>
      </c>
      <c r="AK14" s="14"/>
      <c r="AL14" s="14"/>
    </row>
    <row r="15" spans="1:38" ht="11.25" customHeight="1" x14ac:dyDescent="0.25">
      <c r="A15" s="60">
        <f t="shared" si="0"/>
        <v>1.4008340967511939</v>
      </c>
      <c r="B15" s="60">
        <v>1.4008340967511939</v>
      </c>
      <c r="C15" s="60">
        <v>1.4024358269205734</v>
      </c>
      <c r="D15" s="60">
        <v>1.4051295970809332</v>
      </c>
      <c r="E15" s="60">
        <v>1.4084027403372459</v>
      </c>
      <c r="F15" s="60">
        <v>1.4106098888490615</v>
      </c>
      <c r="G15" s="60">
        <v>1.4219571687737609</v>
      </c>
      <c r="H15" s="60">
        <v>1.433852013416294</v>
      </c>
      <c r="I15" s="60">
        <v>1.4463362787691925</v>
      </c>
      <c r="J15" s="60">
        <v>1.4528137314498319</v>
      </c>
      <c r="K15" s="60">
        <v>1.4594562953428034</v>
      </c>
      <c r="L15" s="60">
        <v>1.5366154986018068</v>
      </c>
      <c r="M15" s="60">
        <v>1.7897455053939562</v>
      </c>
      <c r="N15" s="60">
        <v>3.597300247853386</v>
      </c>
      <c r="O15" s="60">
        <v>2.7086169481754845</v>
      </c>
      <c r="P15" s="60">
        <v>2.5370310589434419</v>
      </c>
      <c r="Q15" s="60">
        <v>2.4719678002158871</v>
      </c>
      <c r="R15" s="60">
        <v>2.4160602082417353</v>
      </c>
      <c r="S15" s="60">
        <v>2.3672361298529903</v>
      </c>
      <c r="T15" s="60">
        <v>2.3240373500534384</v>
      </c>
      <c r="U15" s="60">
        <v>2.2854026757239465</v>
      </c>
      <c r="V15" s="60">
        <v>2.2505380263612813</v>
      </c>
      <c r="W15" s="60">
        <v>2.218835071105036</v>
      </c>
      <c r="X15" s="60">
        <v>2.189818322242048</v>
      </c>
      <c r="Y15" s="60">
        <v>2.1631096155860385</v>
      </c>
      <c r="Z15" s="60">
        <v>2.138403597327132</v>
      </c>
      <c r="AA15" s="60">
        <v>2.1154503951748227</v>
      </c>
      <c r="AB15" s="60">
        <v>2.094043106283852</v>
      </c>
      <c r="AC15" s="60">
        <v>2.0740085919023734</v>
      </c>
      <c r="AD15" s="60">
        <v>2.0552005903175927</v>
      </c>
      <c r="AE15" s="60">
        <v>2.0374944860136988</v>
      </c>
      <c r="AF15" s="60">
        <v>2.0207832822770353</v>
      </c>
      <c r="AG15" s="60">
        <v>2.0049744617892866</v>
      </c>
      <c r="AH15" s="60">
        <v>1.989987511660223</v>
      </c>
      <c r="AI15" s="60">
        <f t="shared" si="1"/>
        <v>1.989987511660223</v>
      </c>
      <c r="AJ15" s="13">
        <v>145</v>
      </c>
      <c r="AK15" s="14"/>
      <c r="AL15" s="14"/>
    </row>
    <row r="16" spans="1:38" ht="11.25" customHeight="1" x14ac:dyDescent="0.25">
      <c r="A16" s="60">
        <f t="shared" si="0"/>
        <v>1.4007427073800769</v>
      </c>
      <c r="B16" s="60">
        <v>1.4007427073800769</v>
      </c>
      <c r="C16" s="60">
        <v>1.4022102729004957</v>
      </c>
      <c r="D16" s="60">
        <v>1.40467608314395</v>
      </c>
      <c r="E16" s="60">
        <v>1.4076683127701834</v>
      </c>
      <c r="F16" s="60">
        <v>1.4096836032200839</v>
      </c>
      <c r="G16" s="60">
        <v>1.4200135442690505</v>
      </c>
      <c r="H16" s="60">
        <v>1.4307861944773903</v>
      </c>
      <c r="I16" s="60">
        <v>1.4420311395138954</v>
      </c>
      <c r="J16" s="60">
        <v>1.4478407109259828</v>
      </c>
      <c r="K16" s="60">
        <v>1.4537807133667164</v>
      </c>
      <c r="L16" s="60">
        <v>1.5214680084574221</v>
      </c>
      <c r="M16" s="60">
        <v>1.7267878014719402</v>
      </c>
      <c r="N16" s="60">
        <v>3.971952367896499</v>
      </c>
      <c r="O16" s="60">
        <v>2.9826718222883355</v>
      </c>
      <c r="P16" s="60">
        <v>2.7114947740271309</v>
      </c>
      <c r="Q16" s="60">
        <v>2.6182634131374232</v>
      </c>
      <c r="R16" s="60">
        <v>2.5414935004631185</v>
      </c>
      <c r="S16" s="60">
        <v>2.4766684269445984</v>
      </c>
      <c r="T16" s="60">
        <v>2.4208518598233968</v>
      </c>
      <c r="U16" s="60">
        <v>2.3720403097839502</v>
      </c>
      <c r="V16" s="60">
        <v>2.3288127662010298</v>
      </c>
      <c r="W16" s="60">
        <v>2.2901287908931258</v>
      </c>
      <c r="X16" s="60">
        <v>2.2552060814023598</v>
      </c>
      <c r="Y16" s="60">
        <v>2.2234430205206959</v>
      </c>
      <c r="Z16" s="60">
        <v>2.1943679042203139</v>
      </c>
      <c r="AA16" s="60">
        <v>2.1676046262825004</v>
      </c>
      <c r="AB16" s="60">
        <v>2.1428488635125813</v>
      </c>
      <c r="AC16" s="60">
        <v>2.1198511609462232</v>
      </c>
      <c r="AD16" s="60">
        <v>2.0984046695628398</v>
      </c>
      <c r="AE16" s="60">
        <v>2.0783360935428226</v>
      </c>
      <c r="AF16" s="60">
        <v>2.059498897190263</v>
      </c>
      <c r="AG16" s="60">
        <v>2.0417681321116206</v>
      </c>
      <c r="AH16" s="60">
        <v>2.0250364455013261</v>
      </c>
      <c r="AI16" s="60">
        <f t="shared" si="1"/>
        <v>2.0250364455013261</v>
      </c>
      <c r="AJ16" s="13">
        <v>150</v>
      </c>
      <c r="AK16" s="14"/>
      <c r="AL16" s="14"/>
    </row>
    <row r="17" spans="1:38" ht="11.25" customHeight="1" x14ac:dyDescent="0.25">
      <c r="A17" s="60">
        <f t="shared" si="0"/>
        <v>1.4006599032100311</v>
      </c>
      <c r="B17" s="60">
        <v>1.4006599032100311</v>
      </c>
      <c r="C17" s="60">
        <v>1.4020101070548638</v>
      </c>
      <c r="D17" s="60">
        <v>1.4042768715256682</v>
      </c>
      <c r="E17" s="60">
        <v>1.4070244380039501</v>
      </c>
      <c r="F17" s="60">
        <v>1.4088730147960953</v>
      </c>
      <c r="G17" s="60">
        <v>1.4183239919847999</v>
      </c>
      <c r="H17" s="60">
        <v>1.4281364102564988</v>
      </c>
      <c r="I17" s="60">
        <v>1.4383314685850248</v>
      </c>
      <c r="J17" s="60">
        <v>1.4435795765583692</v>
      </c>
      <c r="K17" s="60">
        <v>1.4489320804822758</v>
      </c>
      <c r="L17" s="60">
        <v>1.5089648612745168</v>
      </c>
      <c r="M17" s="60">
        <v>1.6803579387718692</v>
      </c>
      <c r="N17" s="60">
        <v>2.7449904877498259</v>
      </c>
      <c r="O17" s="60">
        <v>3.4213978927462447</v>
      </c>
      <c r="P17" s="60">
        <v>2.9441832430131907</v>
      </c>
      <c r="Q17" s="60">
        <v>2.8033056665177427</v>
      </c>
      <c r="R17" s="60">
        <v>2.69391600951846</v>
      </c>
      <c r="S17" s="60">
        <v>2.6055447701667593</v>
      </c>
      <c r="T17" s="60">
        <v>2.5320353843200767</v>
      </c>
      <c r="U17" s="60">
        <v>2.469503846223835</v>
      </c>
      <c r="V17" s="60">
        <v>2.4153639043322768</v>
      </c>
      <c r="W17" s="60">
        <v>2.3678179952797405</v>
      </c>
      <c r="X17" s="60">
        <v>2.3255723340629295</v>
      </c>
      <c r="Y17" s="60">
        <v>2.2876683309378905</v>
      </c>
      <c r="Z17" s="60">
        <v>2.2533781606165704</v>
      </c>
      <c r="AA17" s="60">
        <v>2.2221375337265545</v>
      </c>
      <c r="AB17" s="60">
        <v>2.1935009747438774</v>
      </c>
      <c r="AC17" s="60">
        <v>2.1671112175704179</v>
      </c>
      <c r="AD17" s="60">
        <v>2.1426777385411238</v>
      </c>
      <c r="AE17" s="60">
        <v>2.1199613678414764</v>
      </c>
      <c r="AF17" s="60">
        <v>2.0987630434329829</v>
      </c>
      <c r="AG17" s="60">
        <v>2.0789154495595787</v>
      </c>
      <c r="AH17" s="60">
        <v>2.0602767029761289</v>
      </c>
      <c r="AI17" s="60">
        <f t="shared" si="1"/>
        <v>2.0602767029761289</v>
      </c>
      <c r="AJ17" s="13">
        <v>155</v>
      </c>
      <c r="AK17" s="14"/>
      <c r="AL17" s="14"/>
    </row>
    <row r="18" spans="1:38" ht="11.25" customHeight="1" x14ac:dyDescent="0.25">
      <c r="A18" s="60">
        <f t="shared" si="0"/>
        <v>1.4005833217020762</v>
      </c>
      <c r="B18" s="60">
        <v>1.4005833217020762</v>
      </c>
      <c r="C18" s="60">
        <v>1.4018301172115581</v>
      </c>
      <c r="D18" s="60">
        <v>1.4039217835401963</v>
      </c>
      <c r="E18" s="60">
        <v>1.4064546023394842</v>
      </c>
      <c r="F18" s="60">
        <v>1.408157147655686</v>
      </c>
      <c r="G18" s="60">
        <v>1.4168420579988574</v>
      </c>
      <c r="H18" s="60">
        <v>1.4258246203693723</v>
      </c>
      <c r="I18" s="60">
        <v>1.4351202042514428</v>
      </c>
      <c r="J18" s="60">
        <v>1.4398904759048741</v>
      </c>
      <c r="K18" s="60">
        <v>1.4447452626252493</v>
      </c>
      <c r="L18" s="60">
        <v>1.4984775584874537</v>
      </c>
      <c r="M18" s="60">
        <v>1.6446706994217877</v>
      </c>
      <c r="N18" s="60">
        <v>2.3408989590747722</v>
      </c>
      <c r="O18" s="60">
        <v>4.2345847293409831</v>
      </c>
      <c r="P18" s="60">
        <v>3.2680832478459778</v>
      </c>
      <c r="Q18" s="60">
        <v>3.0430549017435391</v>
      </c>
      <c r="R18" s="60">
        <v>2.8815272321800056</v>
      </c>
      <c r="S18" s="60">
        <v>2.7581958007037781</v>
      </c>
      <c r="T18" s="60">
        <v>2.6598652692083635</v>
      </c>
      <c r="U18" s="60">
        <v>2.5789317174838646</v>
      </c>
      <c r="V18" s="60">
        <v>2.5106790530360339</v>
      </c>
      <c r="W18" s="60">
        <v>2.4520120300129413</v>
      </c>
      <c r="X18" s="60">
        <v>2.400805797694253</v>
      </c>
      <c r="Y18" s="60">
        <v>2.3555473125125062</v>
      </c>
      <c r="Z18" s="60">
        <v>2.3151259748966049</v>
      </c>
      <c r="AA18" s="60">
        <v>2.2787054663850816</v>
      </c>
      <c r="AB18" s="60">
        <v>2.2456421111563851</v>
      </c>
      <c r="AC18" s="60">
        <v>2.215431079676986</v>
      </c>
      <c r="AD18" s="60">
        <v>2.187669886393611</v>
      </c>
      <c r="AE18" s="60">
        <v>2.1620329817144586</v>
      </c>
      <c r="AF18" s="60">
        <v>2.1382536648076842</v>
      </c>
      <c r="AG18" s="60">
        <v>2.1161109490463561</v>
      </c>
      <c r="AH18" s="60">
        <v>2.0954198530322001</v>
      </c>
      <c r="AI18" s="60">
        <f t="shared" si="1"/>
        <v>2.0954198530322001</v>
      </c>
      <c r="AJ18" s="13">
        <v>160</v>
      </c>
      <c r="AK18" s="14"/>
      <c r="AL18" s="14"/>
    </row>
    <row r="19" spans="1:38" ht="11.25" customHeight="1" x14ac:dyDescent="0.25">
      <c r="A19" s="60">
        <f t="shared" si="0"/>
        <v>1.4005108901340009</v>
      </c>
      <c r="B19" s="60">
        <v>1.4005108901340009</v>
      </c>
      <c r="C19" s="60">
        <v>1.4016659826830671</v>
      </c>
      <c r="D19" s="60">
        <v>1.4036025925901074</v>
      </c>
      <c r="E19" s="60">
        <v>1.4059456180569767</v>
      </c>
      <c r="F19" s="60">
        <v>1.4075193330322022</v>
      </c>
      <c r="G19" s="60">
        <v>1.4155313889227823</v>
      </c>
      <c r="H19" s="60">
        <v>1.4237904530231054</v>
      </c>
      <c r="I19" s="60">
        <v>1.4323077815784329</v>
      </c>
      <c r="J19" s="60">
        <v>1.4366670003238</v>
      </c>
      <c r="K19" s="60">
        <v>1.4410953225887511</v>
      </c>
      <c r="L19" s="60">
        <v>1.489560006418801</v>
      </c>
      <c r="M19" s="60">
        <v>1.6163683427032631</v>
      </c>
      <c r="N19" s="60">
        <v>2.1268174432217073</v>
      </c>
      <c r="O19" s="60">
        <v>5.7005112620444072</v>
      </c>
      <c r="P19" s="60">
        <v>3.7186689584020671</v>
      </c>
      <c r="Q19" s="60">
        <v>3.3521676085806167</v>
      </c>
      <c r="R19" s="60">
        <v>3.1104896381752205</v>
      </c>
      <c r="S19" s="60">
        <v>2.9370094184169773</v>
      </c>
      <c r="T19" s="60">
        <v>2.8049669746875998</v>
      </c>
      <c r="U19" s="60">
        <v>2.7001118115167579</v>
      </c>
      <c r="V19" s="60">
        <v>2.614156504890635</v>
      </c>
      <c r="W19" s="60">
        <v>2.5419441238282521</v>
      </c>
      <c r="X19" s="60">
        <v>2.4800891125604254</v>
      </c>
      <c r="Y19" s="60">
        <v>2.4262702223460693</v>
      </c>
      <c r="Z19" s="60">
        <v>2.3788378835480475</v>
      </c>
      <c r="AA19" s="60">
        <v>2.3365841416465294</v>
      </c>
      <c r="AB19" s="60">
        <v>2.2986016273066281</v>
      </c>
      <c r="AC19" s="60">
        <v>2.2641937193940147</v>
      </c>
      <c r="AD19" s="60">
        <v>2.2328153933712565</v>
      </c>
      <c r="AE19" s="60">
        <v>2.2040331369422477</v>
      </c>
      <c r="AF19" s="60">
        <v>2.1774970923300336</v>
      </c>
      <c r="AG19" s="60">
        <v>2.1529212590818037</v>
      </c>
      <c r="AH19" s="60">
        <v>2.1300691431849463</v>
      </c>
      <c r="AI19" s="60">
        <f t="shared" si="1"/>
        <v>2.1300691431849463</v>
      </c>
      <c r="AJ19" s="13">
        <v>165</v>
      </c>
      <c r="AK19" s="14"/>
      <c r="AL19" s="14"/>
    </row>
    <row r="20" spans="1:38" ht="11.25" customHeight="1" x14ac:dyDescent="0.25">
      <c r="A20" s="60">
        <f t="shared" si="0"/>
        <v>1.4004407312777158</v>
      </c>
      <c r="B20" s="60">
        <v>1.4004407312777158</v>
      </c>
      <c r="C20" s="60">
        <v>1.4015140313784629</v>
      </c>
      <c r="D20" s="60">
        <v>1.4033125169231466</v>
      </c>
      <c r="E20" s="60">
        <v>1.4054867692361892</v>
      </c>
      <c r="F20" s="60">
        <v>1.4069461044043909</v>
      </c>
      <c r="G20" s="60">
        <v>1.414363101422039</v>
      </c>
      <c r="H20" s="60">
        <v>1.4219864840014451</v>
      </c>
      <c r="I20" s="60">
        <v>1.429824567134</v>
      </c>
      <c r="J20" s="60">
        <v>1.4338268407225092</v>
      </c>
      <c r="K20" s="60">
        <v>1.4378861107901186</v>
      </c>
      <c r="L20" s="60">
        <v>1.4818874196369318</v>
      </c>
      <c r="M20" s="60">
        <v>1.5933636147420263</v>
      </c>
      <c r="N20" s="60">
        <v>1.9919163621164166</v>
      </c>
      <c r="O20" s="60">
        <v>5.7498344474452763</v>
      </c>
      <c r="P20" s="60">
        <v>4.2233549954554288</v>
      </c>
      <c r="Q20" s="60">
        <v>3.7042304625342815</v>
      </c>
      <c r="R20" s="60">
        <v>3.3680366811232099</v>
      </c>
      <c r="S20" s="60">
        <v>3.1343708892343836</v>
      </c>
      <c r="T20" s="60">
        <v>2.9621125720387176</v>
      </c>
      <c r="U20" s="60">
        <v>2.8291328026831284</v>
      </c>
      <c r="V20" s="60">
        <v>2.7227162979564348</v>
      </c>
      <c r="W20" s="60">
        <v>2.6351114369967625</v>
      </c>
      <c r="X20" s="60">
        <v>2.5613459499671372</v>
      </c>
      <c r="Y20" s="60">
        <v>2.4980891063272876</v>
      </c>
      <c r="Z20" s="60">
        <v>2.4430258047309317</v>
      </c>
      <c r="AA20" s="60">
        <v>2.3944951805650248</v>
      </c>
      <c r="AB20" s="60">
        <v>2.3512728541528856</v>
      </c>
      <c r="AC20" s="60">
        <v>2.3124347097008111</v>
      </c>
      <c r="AD20" s="60">
        <v>2.2772688084526527</v>
      </c>
      <c r="AE20" s="60">
        <v>2.2452167321805159</v>
      </c>
      <c r="AF20" s="60">
        <v>2.2158334922995997</v>
      </c>
      <c r="AG20" s="60">
        <v>2.1887594831553505</v>
      </c>
      <c r="AH20" s="60">
        <v>2.1637004477370225</v>
      </c>
      <c r="AI20" s="60">
        <f t="shared" si="1"/>
        <v>2.1637004477370225</v>
      </c>
      <c r="AJ20" s="13">
        <v>170</v>
      </c>
      <c r="AK20" s="14"/>
      <c r="AL20" s="14"/>
    </row>
    <row r="21" spans="1:38" ht="11.25" customHeight="1" x14ac:dyDescent="0.25">
      <c r="A21" s="60">
        <f t="shared" si="0"/>
        <v>1.4003710979378248</v>
      </c>
      <c r="B21" s="60">
        <v>1.4003710979378248</v>
      </c>
      <c r="C21" s="60">
        <v>1.401371066852537</v>
      </c>
      <c r="D21" s="60">
        <v>1.4030458559312184</v>
      </c>
      <c r="E21" s="60">
        <v>1.4050691987266735</v>
      </c>
      <c r="F21" s="60">
        <v>1.4064264049838691</v>
      </c>
      <c r="G21" s="60">
        <v>1.4133139095449356</v>
      </c>
      <c r="H21" s="60">
        <v>1.4203749120504374</v>
      </c>
      <c r="I21" s="60">
        <v>1.4276155992053032</v>
      </c>
      <c r="J21" s="60">
        <v>1.4313053360632557</v>
      </c>
      <c r="K21" s="60">
        <v>1.4350424452775132</v>
      </c>
      <c r="L21" s="60">
        <v>1.4752179364994016</v>
      </c>
      <c r="M21" s="60">
        <v>1.574289998530304</v>
      </c>
      <c r="N21" s="60">
        <v>1.8984115427674568</v>
      </c>
      <c r="O21" s="60">
        <v>4.1958039463426955</v>
      </c>
      <c r="P21" s="60">
        <v>4.4236996821036074</v>
      </c>
      <c r="Q21" s="60">
        <v>3.9602283048056317</v>
      </c>
      <c r="R21" s="60">
        <v>3.5901135765878021</v>
      </c>
      <c r="S21" s="60">
        <v>3.3169397592168033</v>
      </c>
      <c r="T21" s="60">
        <v>3.1121705209019948</v>
      </c>
      <c r="U21" s="60">
        <v>2.9540695533406978</v>
      </c>
      <c r="V21" s="60">
        <v>2.8283907921142921</v>
      </c>
      <c r="W21" s="60">
        <v>2.7258793278301066</v>
      </c>
      <c r="X21" s="60">
        <v>2.6404058642635375</v>
      </c>
      <c r="Y21" s="60">
        <v>2.5678036894783123</v>
      </c>
      <c r="Z21" s="60">
        <v>2.5051626702674077</v>
      </c>
      <c r="AA21" s="60">
        <v>2.4503971099140713</v>
      </c>
      <c r="AB21" s="60">
        <v>2.4019760617272268</v>
      </c>
      <c r="AC21" s="60">
        <v>2.3587511074470542</v>
      </c>
      <c r="AD21" s="60">
        <v>2.3198437362925848</v>
      </c>
      <c r="AE21" s="60">
        <v>2.2845699749566224</v>
      </c>
      <c r="AF21" s="60">
        <v>2.2523888270403543</v>
      </c>
      <c r="AG21" s="60">
        <v>2.2228662678639077</v>
      </c>
      <c r="AH21" s="60">
        <v>2.195649617248796</v>
      </c>
      <c r="AI21" s="60">
        <f t="shared" si="1"/>
        <v>2.195649617248796</v>
      </c>
      <c r="AJ21" s="13">
        <v>175</v>
      </c>
      <c r="AK21" s="14"/>
      <c r="AL21" s="14"/>
    </row>
    <row r="22" spans="1:38" ht="11.25" customHeight="1" x14ac:dyDescent="0.25">
      <c r="A22" s="60">
        <f t="shared" si="0"/>
        <v>1.4003003284390463</v>
      </c>
      <c r="B22" s="60">
        <v>1.4003003284390463</v>
      </c>
      <c r="C22" s="60">
        <v>1.4012342450279647</v>
      </c>
      <c r="D22" s="60">
        <v>1.4027977275091628</v>
      </c>
      <c r="E22" s="60">
        <v>1.4046854641143678</v>
      </c>
      <c r="F22" s="60">
        <v>1.4059510136205022</v>
      </c>
      <c r="G22" s="60">
        <v>1.4123647760661167</v>
      </c>
      <c r="H22" s="60">
        <v>1.4189251873341122</v>
      </c>
      <c r="I22" s="60">
        <v>1.4256368778190838</v>
      </c>
      <c r="J22" s="60">
        <v>1.429050950411356</v>
      </c>
      <c r="K22" s="60">
        <v>1.4325046640081471</v>
      </c>
      <c r="L22" s="60">
        <v>1.4693677930949203</v>
      </c>
      <c r="M22" s="60">
        <v>1.5582150048881971</v>
      </c>
      <c r="N22" s="60">
        <v>1.8294828346593568</v>
      </c>
      <c r="O22" s="60">
        <v>3.3080187035463422</v>
      </c>
      <c r="P22" s="60">
        <v>4.0579786405824629</v>
      </c>
      <c r="Q22" s="60">
        <v>3.9319422161975566</v>
      </c>
      <c r="R22" s="60">
        <v>3.6739218799025335</v>
      </c>
      <c r="S22" s="60">
        <v>3.4260163129266297</v>
      </c>
      <c r="T22" s="60">
        <v>3.2198484264592802</v>
      </c>
      <c r="U22" s="60">
        <v>3.052761036950403</v>
      </c>
      <c r="V22" s="60">
        <v>2.9166790817837382</v>
      </c>
      <c r="W22" s="60">
        <v>2.8043727552555624</v>
      </c>
      <c r="X22" s="60">
        <v>2.7102863244005699</v>
      </c>
      <c r="Y22" s="60">
        <v>2.6303046490198794</v>
      </c>
      <c r="Z22" s="60">
        <v>2.5613945474677342</v>
      </c>
      <c r="AA22" s="60">
        <v>2.5013051315082953</v>
      </c>
      <c r="AB22" s="60">
        <v>2.4483465539497407</v>
      </c>
      <c r="AC22" s="60">
        <v>2.4012329010235773</v>
      </c>
      <c r="AD22" s="60">
        <v>2.3589718197812806</v>
      </c>
      <c r="AE22" s="60">
        <v>2.3207868616982008</v>
      </c>
      <c r="AF22" s="60">
        <v>2.2860624383103607</v>
      </c>
      <c r="AG22" s="60">
        <v>2.2543043977998121</v>
      </c>
      <c r="AH22" s="60">
        <v>2.2251114547815423</v>
      </c>
      <c r="AI22" s="60">
        <f t="shared" si="1"/>
        <v>2.2251114547815423</v>
      </c>
      <c r="AJ22" s="13">
        <v>180</v>
      </c>
      <c r="AK22" s="14"/>
      <c r="AL22" s="14"/>
    </row>
    <row r="23" spans="1:38" ht="11.25" customHeight="1" x14ac:dyDescent="0.25">
      <c r="A23" s="60">
        <f t="shared" si="0"/>
        <v>1.4002268175338546</v>
      </c>
      <c r="B23" s="60">
        <v>1.4002268175338546</v>
      </c>
      <c r="C23" s="60">
        <v>1.4011009866702431</v>
      </c>
      <c r="D23" s="60">
        <v>1.4025638774495717</v>
      </c>
      <c r="E23" s="60">
        <v>1.4043292135082017</v>
      </c>
      <c r="F23" s="60">
        <v>1.40551212515614</v>
      </c>
      <c r="G23" s="60">
        <v>1.411499930067629</v>
      </c>
      <c r="H23" s="60">
        <v>1.4176122977721086</v>
      </c>
      <c r="I23" s="60">
        <v>1.4238527099622</v>
      </c>
      <c r="J23" s="60">
        <v>1.4270220534895277</v>
      </c>
      <c r="K23" s="60">
        <v>1.4302247684631613</v>
      </c>
      <c r="L23" s="60">
        <v>1.4641948383598611</v>
      </c>
      <c r="M23" s="60">
        <v>1.5444802013170746</v>
      </c>
      <c r="N23" s="60">
        <v>1.7764152710082612</v>
      </c>
      <c r="O23" s="60">
        <v>2.8230196179516809</v>
      </c>
      <c r="P23" s="60">
        <v>3.5094677191853614</v>
      </c>
      <c r="Q23" s="60">
        <v>3.6252429293587136</v>
      </c>
      <c r="R23" s="60">
        <v>3.5628289748616804</v>
      </c>
      <c r="S23" s="60">
        <v>3.4144585544325139</v>
      </c>
      <c r="T23" s="60">
        <v>3.2511656817414356</v>
      </c>
      <c r="U23" s="60">
        <v>3.1010157502560656</v>
      </c>
      <c r="V23" s="60">
        <v>2.9703257872984601</v>
      </c>
      <c r="W23" s="60">
        <v>2.8581957401818761</v>
      </c>
      <c r="X23" s="60">
        <v>2.7619732432545958</v>
      </c>
      <c r="Y23" s="60">
        <v>2.6789317049102759</v>
      </c>
      <c r="Z23" s="60">
        <v>2.6067106958133892</v>
      </c>
      <c r="AA23" s="60">
        <v>2.5433783845495594</v>
      </c>
      <c r="AB23" s="60">
        <v>2.4873858361880448</v>
      </c>
      <c r="AC23" s="60">
        <v>2.4374984467242844</v>
      </c>
      <c r="AD23" s="60">
        <v>2.3927310775209354</v>
      </c>
      <c r="AE23" s="60">
        <v>2.352293913354655</v>
      </c>
      <c r="AF23" s="60">
        <v>2.315549500037557</v>
      </c>
      <c r="AG23" s="60">
        <v>2.2819794124436767</v>
      </c>
      <c r="AH23" s="60">
        <v>2.251158632575434</v>
      </c>
      <c r="AI23" s="60">
        <f t="shared" si="1"/>
        <v>2.251158632575434</v>
      </c>
      <c r="AJ23" s="13">
        <v>185</v>
      </c>
      <c r="AK23" s="14"/>
      <c r="AL23" s="14"/>
    </row>
    <row r="24" spans="1:38" ht="11.25" customHeight="1" x14ac:dyDescent="0.25">
      <c r="A24" s="60">
        <f t="shared" si="0"/>
        <v>1.400148998760615</v>
      </c>
      <c r="B24" s="60">
        <v>1.400148998760615</v>
      </c>
      <c r="C24" s="60">
        <v>1.4009689158807594</v>
      </c>
      <c r="D24" s="60">
        <v>1.4023405407782179</v>
      </c>
      <c r="E24" s="60">
        <v>1.4039949472664868</v>
      </c>
      <c r="F24" s="60">
        <v>1.4051030412611574</v>
      </c>
      <c r="G24" s="60">
        <v>1.4107061435438215</v>
      </c>
      <c r="H24" s="60">
        <v>1.4164155153462592</v>
      </c>
      <c r="I24" s="60">
        <v>1.4222337835148866</v>
      </c>
      <c r="J24" s="60">
        <v>1.4251845956120655</v>
      </c>
      <c r="K24" s="60">
        <v>1.4281636518818022</v>
      </c>
      <c r="L24" s="60">
        <v>1.4595873248937687</v>
      </c>
      <c r="M24" s="60">
        <v>1.5326070985368774</v>
      </c>
      <c r="N24" s="60">
        <v>1.7342151248943229</v>
      </c>
      <c r="O24" s="60">
        <v>2.5263261012300235</v>
      </c>
      <c r="P24" s="60">
        <v>3.0682815337539813</v>
      </c>
      <c r="Q24" s="60">
        <v>3.248818047006917</v>
      </c>
      <c r="R24" s="60">
        <v>3.3152947764605196</v>
      </c>
      <c r="S24" s="60">
        <v>3.2825936378941738</v>
      </c>
      <c r="T24" s="60">
        <v>3.1937950786378337</v>
      </c>
      <c r="U24" s="60">
        <v>3.0855958207794298</v>
      </c>
      <c r="V24" s="60">
        <v>2.9775958198649755</v>
      </c>
      <c r="W24" s="60">
        <v>2.8775357214365935</v>
      </c>
      <c r="X24" s="60">
        <v>2.7874974858747725</v>
      </c>
      <c r="Y24" s="60">
        <v>2.7073133920658603</v>
      </c>
      <c r="Z24" s="60">
        <v>2.6360496692723085</v>
      </c>
      <c r="AA24" s="60">
        <v>2.5725955978074619</v>
      </c>
      <c r="AB24" s="60">
        <v>2.5158844910543796</v>
      </c>
      <c r="AC24" s="60">
        <v>2.4649674611489885</v>
      </c>
      <c r="AD24" s="60">
        <v>2.419028534345399</v>
      </c>
      <c r="AE24" s="60">
        <v>2.3773770896891477</v>
      </c>
      <c r="AF24" s="60">
        <v>2.3394326190621433</v>
      </c>
      <c r="AG24" s="60">
        <v>2.3047081053561969</v>
      </c>
      <c r="AH24" s="60">
        <v>2.272794550301926</v>
      </c>
      <c r="AI24" s="60">
        <f t="shared" si="1"/>
        <v>2.272794550301926</v>
      </c>
      <c r="AJ24" s="13">
        <v>190</v>
      </c>
      <c r="AK24" s="14"/>
      <c r="AL24" s="14"/>
    </row>
    <row r="25" spans="1:38" ht="11.25" customHeight="1" x14ac:dyDescent="0.25">
      <c r="A25" s="60">
        <f t="shared" si="0"/>
        <v>1.4000653353218522</v>
      </c>
      <c r="B25" s="60">
        <v>1.4000653353218522</v>
      </c>
      <c r="C25" s="60">
        <v>1.4008358176711373</v>
      </c>
      <c r="D25" s="60">
        <v>1.4021243409094921</v>
      </c>
      <c r="E25" s="60">
        <v>1.4036778420202844</v>
      </c>
      <c r="F25" s="60">
        <v>1.4047179411704986</v>
      </c>
      <c r="G25" s="60">
        <v>1.4099721933975133</v>
      </c>
      <c r="H25" s="60">
        <v>1.415317468204575</v>
      </c>
      <c r="I25" s="60">
        <v>1.4207557516687308</v>
      </c>
      <c r="J25" s="60">
        <v>1.4235104055684236</v>
      </c>
      <c r="K25" s="60">
        <v>1.4262890785143982</v>
      </c>
      <c r="L25" s="60">
        <v>1.4554561222122711</v>
      </c>
      <c r="M25" s="60">
        <v>1.522239320059513</v>
      </c>
      <c r="N25" s="60">
        <v>1.6998048314008929</v>
      </c>
      <c r="O25" s="60">
        <v>2.3277554806984559</v>
      </c>
      <c r="P25" s="60">
        <v>2.7517306814063667</v>
      </c>
      <c r="Q25" s="60">
        <v>2.9270148992721485</v>
      </c>
      <c r="R25" s="60">
        <v>3.0403784279902908</v>
      </c>
      <c r="S25" s="60">
        <v>3.0823819915755766</v>
      </c>
      <c r="T25" s="60">
        <v>3.0647269137671387</v>
      </c>
      <c r="U25" s="60">
        <v>3.0095130504304963</v>
      </c>
      <c r="V25" s="60">
        <v>2.9366574679168993</v>
      </c>
      <c r="W25" s="60">
        <v>2.858934632537022</v>
      </c>
      <c r="X25" s="60">
        <v>2.782967596279958</v>
      </c>
      <c r="Y25" s="60">
        <v>2.7116443584025451</v>
      </c>
      <c r="Z25" s="60">
        <v>2.6459312101377539</v>
      </c>
      <c r="AA25" s="60">
        <v>2.5858935058126762</v>
      </c>
      <c r="AB25" s="60">
        <v>2.5312068551327771</v>
      </c>
      <c r="AC25" s="60">
        <v>2.4814011525079409</v>
      </c>
      <c r="AD25" s="60">
        <v>2.4359744018262033</v>
      </c>
      <c r="AE25" s="60">
        <v>2.3944441326685788</v>
      </c>
      <c r="AF25" s="60">
        <v>2.3563687279687708</v>
      </c>
      <c r="AG25" s="60">
        <v>2.3213541627745631</v>
      </c>
      <c r="AH25" s="60">
        <v>2.2890537630846843</v>
      </c>
      <c r="AI25" s="60">
        <f t="shared" si="1"/>
        <v>2.2890537630846843</v>
      </c>
      <c r="AJ25" s="13">
        <v>195</v>
      </c>
      <c r="AK25" s="14"/>
      <c r="AL25" s="14"/>
    </row>
    <row r="26" spans="1:38" ht="11.25" customHeight="1" x14ac:dyDescent="0.25">
      <c r="A26" s="60">
        <f t="shared" si="0"/>
        <v>1.3999743172626693</v>
      </c>
      <c r="B26" s="60">
        <v>1.3999743172626693</v>
      </c>
      <c r="C26" s="60">
        <v>1.4006996095819715</v>
      </c>
      <c r="D26" s="60">
        <v>1.4019122165479878</v>
      </c>
      <c r="E26" s="60">
        <v>1.403373620269966</v>
      </c>
      <c r="F26" s="60">
        <v>1.4043517107670513</v>
      </c>
      <c r="G26" s="60">
        <v>1.40928845764027</v>
      </c>
      <c r="H26" s="60">
        <v>1.414303446439219</v>
      </c>
      <c r="I26" s="60">
        <v>1.4193981799112494</v>
      </c>
      <c r="J26" s="60">
        <v>1.4219759287021665</v>
      </c>
      <c r="K26" s="60">
        <v>1.4245741908102172</v>
      </c>
      <c r="L26" s="60">
        <v>1.4517292019840897</v>
      </c>
      <c r="M26" s="60">
        <v>1.5131057379743476</v>
      </c>
      <c r="N26" s="60">
        <v>1.6711792794374642</v>
      </c>
      <c r="O26" s="60">
        <v>2.185907771375303</v>
      </c>
      <c r="P26" s="60">
        <v>2.5238148147081558</v>
      </c>
      <c r="Q26" s="60">
        <v>2.6772557966720134</v>
      </c>
      <c r="R26" s="60">
        <v>2.797202020830432</v>
      </c>
      <c r="S26" s="60">
        <v>2.8720782290133133</v>
      </c>
      <c r="T26" s="60">
        <v>2.9006775337903021</v>
      </c>
      <c r="U26" s="60">
        <v>2.8910963218352559</v>
      </c>
      <c r="V26" s="60">
        <v>2.8555888980572046</v>
      </c>
      <c r="W26" s="60">
        <v>2.8055461826120771</v>
      </c>
      <c r="X26" s="60">
        <v>2.7491845970744282</v>
      </c>
      <c r="Y26" s="60">
        <v>2.6915428608576595</v>
      </c>
      <c r="Z26" s="60">
        <v>2.6353691557911398</v>
      </c>
      <c r="AA26" s="60">
        <v>2.5820038563399343</v>
      </c>
      <c r="AB26" s="60">
        <v>2.5319939743156525</v>
      </c>
      <c r="AC26" s="60">
        <v>2.4854622746899184</v>
      </c>
      <c r="AD26" s="60">
        <v>2.4423145647247919</v>
      </c>
      <c r="AE26" s="60">
        <v>2.4023528399034775</v>
      </c>
      <c r="AF26" s="60">
        <v>2.365336349426221</v>
      </c>
      <c r="AG26" s="60">
        <v>2.3310142273880796</v>
      </c>
      <c r="AH26" s="60">
        <v>2.2991425271160071</v>
      </c>
      <c r="AI26" s="60">
        <f t="shared" si="1"/>
        <v>2.2991425271160071</v>
      </c>
      <c r="AJ26" s="13">
        <v>200</v>
      </c>
      <c r="AK26" s="14"/>
      <c r="AL26" s="14"/>
    </row>
    <row r="27" spans="1:38" ht="11.25" customHeight="1" x14ac:dyDescent="0.25">
      <c r="A27" s="60">
        <f t="shared" si="0"/>
        <v>1.3998744632297089</v>
      </c>
      <c r="B27" s="60">
        <v>1.3998744632297089</v>
      </c>
      <c r="C27" s="60">
        <v>1.4005583236233139</v>
      </c>
      <c r="D27" s="60">
        <v>1.4017013690419453</v>
      </c>
      <c r="E27" s="60">
        <v>1.4030784535642655</v>
      </c>
      <c r="F27" s="60">
        <v>1.4039998146244781</v>
      </c>
      <c r="G27" s="60">
        <v>1.4086466097630415</v>
      </c>
      <c r="H27" s="60">
        <v>1.4133608774482183</v>
      </c>
      <c r="I27" s="60">
        <v>1.4181437538787192</v>
      </c>
      <c r="J27" s="60">
        <v>1.4205612802911927</v>
      </c>
      <c r="K27" s="60">
        <v>1.4229963930148475</v>
      </c>
      <c r="L27" s="60">
        <v>1.4483476634465644</v>
      </c>
      <c r="M27" s="60">
        <v>1.5049962209858894</v>
      </c>
      <c r="N27" s="60">
        <v>1.6469732492369484</v>
      </c>
      <c r="O27" s="60">
        <v>2.0795906928605863</v>
      </c>
      <c r="P27" s="60">
        <v>2.3550422917384157</v>
      </c>
      <c r="Q27" s="60">
        <v>2.4860198864165888</v>
      </c>
      <c r="R27" s="60">
        <v>2.5981337619258267</v>
      </c>
      <c r="S27" s="60">
        <v>2.6822664335533788</v>
      </c>
      <c r="T27" s="60">
        <v>2.7340315737008662</v>
      </c>
      <c r="U27" s="60">
        <v>2.7546434065049237</v>
      </c>
      <c r="V27" s="60">
        <v>2.749574158035522</v>
      </c>
      <c r="W27" s="60">
        <v>2.7260712493833159</v>
      </c>
      <c r="X27" s="60">
        <v>2.6909824335061256</v>
      </c>
      <c r="Y27" s="60">
        <v>2.6496455967828658</v>
      </c>
      <c r="Z27" s="60">
        <v>2.6057235880319025</v>
      </c>
      <c r="AA27" s="60">
        <v>2.5615122159666974</v>
      </c>
      <c r="AB27" s="60">
        <v>2.5183493170392901</v>
      </c>
      <c r="AC27" s="60">
        <v>2.4769567936541304</v>
      </c>
      <c r="AD27" s="60">
        <v>2.4376800568087553</v>
      </c>
      <c r="AE27" s="60">
        <v>2.4006416812785862</v>
      </c>
      <c r="AF27" s="60">
        <v>2.3658358592589006</v>
      </c>
      <c r="AG27" s="60">
        <v>2.3331853648795069</v>
      </c>
      <c r="AH27" s="60">
        <v>2.3025756664499721</v>
      </c>
      <c r="AI27" s="60">
        <f t="shared" si="1"/>
        <v>2.3025756664499721</v>
      </c>
      <c r="AJ27" s="13">
        <v>205</v>
      </c>
      <c r="AK27" s="14"/>
      <c r="AL27" s="14"/>
    </row>
    <row r="28" spans="1:38" ht="11.25" customHeight="1" x14ac:dyDescent="0.25">
      <c r="A28" s="60">
        <f t="shared" si="0"/>
        <v>1.3997643254558341</v>
      </c>
      <c r="B28" s="60">
        <v>1.3997643254558341</v>
      </c>
      <c r="C28" s="60">
        <v>1.4004100957420482</v>
      </c>
      <c r="D28" s="60">
        <v>1.4014892248331112</v>
      </c>
      <c r="E28" s="60">
        <v>1.4027888905525889</v>
      </c>
      <c r="F28" s="60">
        <v>1.4036581998828901</v>
      </c>
      <c r="G28" s="60">
        <v>1.4080393855941362</v>
      </c>
      <c r="H28" s="60">
        <v>1.4124789257105539</v>
      </c>
      <c r="I28" s="60">
        <v>1.4169776771760185</v>
      </c>
      <c r="J28" s="60">
        <v>1.4192495276316446</v>
      </c>
      <c r="K28" s="60">
        <v>1.4215365066927139</v>
      </c>
      <c r="L28" s="60">
        <v>1.4452628229578679</v>
      </c>
      <c r="M28" s="60">
        <v>1.4977452361403496</v>
      </c>
      <c r="N28" s="60">
        <v>1.6262232790125093</v>
      </c>
      <c r="O28" s="60">
        <v>1.9969422283923683</v>
      </c>
      <c r="P28" s="60">
        <v>2.2262141486745048</v>
      </c>
      <c r="Q28" s="60">
        <v>2.3378767057616874</v>
      </c>
      <c r="R28" s="60">
        <v>2.4383557218486378</v>
      </c>
      <c r="S28" s="60">
        <v>2.5210961446407354</v>
      </c>
      <c r="T28" s="60">
        <v>2.5817174841564232</v>
      </c>
      <c r="U28" s="60">
        <v>2.6189344476153624</v>
      </c>
      <c r="V28" s="60">
        <v>2.6344408340496654</v>
      </c>
      <c r="W28" s="60">
        <v>2.6319622559181162</v>
      </c>
      <c r="X28" s="60">
        <v>2.6160209448565124</v>
      </c>
      <c r="Y28" s="60">
        <v>2.5909241963425158</v>
      </c>
      <c r="Z28" s="60">
        <v>2.5602098652865148</v>
      </c>
      <c r="AA28" s="60">
        <v>2.5265029707642506</v>
      </c>
      <c r="AB28" s="60">
        <v>2.4916136647412852</v>
      </c>
      <c r="AC28" s="60">
        <v>2.4567220382904269</v>
      </c>
      <c r="AD28" s="60">
        <v>2.4225603908392466</v>
      </c>
      <c r="AE28" s="60">
        <v>2.3895587391970916</v>
      </c>
      <c r="AF28" s="60">
        <v>2.357949475358494</v>
      </c>
      <c r="AG28" s="60">
        <v>2.3278385213119885</v>
      </c>
      <c r="AH28" s="60">
        <v>2.2992522884421351</v>
      </c>
      <c r="AI28" s="60">
        <f t="shared" si="1"/>
        <v>2.2992522884421351</v>
      </c>
      <c r="AJ28" s="13">
        <v>210</v>
      </c>
      <c r="AK28" s="14"/>
      <c r="AL28" s="14"/>
    </row>
    <row r="29" spans="1:38" ht="11.25" customHeight="1" x14ac:dyDescent="0.25">
      <c r="A29" s="60">
        <f t="shared" si="0"/>
        <v>1.3996424968915075</v>
      </c>
      <c r="B29" s="60">
        <v>1.3996424968915075</v>
      </c>
      <c r="C29" s="60">
        <v>1.400253160690865</v>
      </c>
      <c r="D29" s="60">
        <v>1.4012734090223478</v>
      </c>
      <c r="E29" s="60">
        <v>1.4025018035087042</v>
      </c>
      <c r="F29" s="60">
        <v>1.4033232238162956</v>
      </c>
      <c r="G29" s="60">
        <v>1.4074604041197525</v>
      </c>
      <c r="H29" s="60">
        <v>1.411648184738667</v>
      </c>
      <c r="I29" s="60">
        <v>1.4158872090696175</v>
      </c>
      <c r="J29" s="60">
        <v>1.4180261399461953</v>
      </c>
      <c r="K29" s="60">
        <v>1.4201781250876124</v>
      </c>
      <c r="L29" s="60">
        <v>1.4424340516043979</v>
      </c>
      <c r="M29" s="60">
        <v>1.4912204905968371</v>
      </c>
      <c r="N29" s="60">
        <v>1.6082288941456022</v>
      </c>
      <c r="O29" s="60">
        <v>1.930836046336726</v>
      </c>
      <c r="P29" s="60">
        <v>2.1251477873181486</v>
      </c>
      <c r="Q29" s="60">
        <v>2.2209897410680743</v>
      </c>
      <c r="R29" s="60">
        <v>2.3098368544251744</v>
      </c>
      <c r="S29" s="60">
        <v>2.3870545969876371</v>
      </c>
      <c r="T29" s="60">
        <v>2.4490334869222727</v>
      </c>
      <c r="U29" s="60">
        <v>2.4938609336225248</v>
      </c>
      <c r="V29" s="60">
        <v>2.5215138482599162</v>
      </c>
      <c r="W29" s="60">
        <v>2.5335658761046154</v>
      </c>
      <c r="X29" s="60">
        <v>2.532598390928023</v>
      </c>
      <c r="Y29" s="60">
        <v>2.5215624506548044</v>
      </c>
      <c r="Z29" s="60">
        <v>2.5032783787605823</v>
      </c>
      <c r="AA29" s="60">
        <v>2.4801472789126677</v>
      </c>
      <c r="AB29" s="60">
        <v>2.4540526548596024</v>
      </c>
      <c r="AC29" s="60">
        <v>2.426385511578653</v>
      </c>
      <c r="AD29" s="60">
        <v>2.398126889305626</v>
      </c>
      <c r="AE29" s="60">
        <v>2.3699430476826833</v>
      </c>
      <c r="AF29" s="60">
        <v>2.342270663430563</v>
      </c>
      <c r="AG29" s="60">
        <v>2.3153844347709165</v>
      </c>
      <c r="AH29" s="60">
        <v>2.2894472351639013</v>
      </c>
      <c r="AI29" s="60">
        <f t="shared" si="1"/>
        <v>2.2894472351639013</v>
      </c>
      <c r="AJ29" s="13">
        <v>215</v>
      </c>
      <c r="AK29" s="14"/>
      <c r="AL29" s="14"/>
    </row>
    <row r="30" spans="1:38" ht="11.25" customHeight="1" x14ac:dyDescent="0.25">
      <c r="A30" s="60">
        <f t="shared" si="0"/>
        <v>1.3995076196196929</v>
      </c>
      <c r="B30" s="60">
        <v>1.3995076196196929</v>
      </c>
      <c r="C30" s="60">
        <v>1.400085850667725</v>
      </c>
      <c r="D30" s="60">
        <v>1.4010517270615184</v>
      </c>
      <c r="E30" s="60">
        <v>1.4022143485701097</v>
      </c>
      <c r="F30" s="60">
        <v>1.4029915990713748</v>
      </c>
      <c r="G30" s="60">
        <v>1.4069040287555161</v>
      </c>
      <c r="H30" s="60">
        <v>1.4108604379296499</v>
      </c>
      <c r="I30" s="60">
        <v>1.414861306212182</v>
      </c>
      <c r="J30" s="60">
        <v>1.4168785627564071</v>
      </c>
      <c r="K30" s="60">
        <v>1.4189071145027501</v>
      </c>
      <c r="L30" s="60">
        <v>1.439827147014606</v>
      </c>
      <c r="M30" s="60">
        <v>1.4853148946863222</v>
      </c>
      <c r="N30" s="60">
        <v>1.5924678719953269</v>
      </c>
      <c r="O30" s="60">
        <v>1.8767420830017247</v>
      </c>
      <c r="P30" s="60">
        <v>2.0439723911012493</v>
      </c>
      <c r="Q30" s="60">
        <v>2.1269967224622057</v>
      </c>
      <c r="R30" s="60">
        <v>2.2054076661103017</v>
      </c>
      <c r="S30" s="60">
        <v>2.2759039604188436</v>
      </c>
      <c r="T30" s="60">
        <v>2.3356829078682688</v>
      </c>
      <c r="U30" s="60">
        <v>2.3828872479237817</v>
      </c>
      <c r="V30" s="60">
        <v>2.4168300621437369</v>
      </c>
      <c r="W30" s="60">
        <v>2.4379501687444272</v>
      </c>
      <c r="X30" s="60">
        <v>2.4475565263133441</v>
      </c>
      <c r="Y30" s="60">
        <v>2.447474698320284</v>
      </c>
      <c r="Z30" s="60">
        <v>2.4397044132208316</v>
      </c>
      <c r="AA30" s="60">
        <v>2.4261584584931635</v>
      </c>
      <c r="AB30" s="60">
        <v>2.4085065509415702</v>
      </c>
      <c r="AC30" s="60">
        <v>2.3881123843505376</v>
      </c>
      <c r="AD30" s="60">
        <v>2.3660352694095228</v>
      </c>
      <c r="AE30" s="60">
        <v>2.3430668234893912</v>
      </c>
      <c r="AF30" s="60">
        <v>2.3197804807922107</v>
      </c>
      <c r="AG30" s="60">
        <v>2.2965805269903852</v>
      </c>
      <c r="AH30" s="60">
        <v>2.2737444496314874</v>
      </c>
      <c r="AI30" s="60">
        <f t="shared" si="1"/>
        <v>2.2737444496314874</v>
      </c>
      <c r="AJ30" s="13">
        <v>220</v>
      </c>
      <c r="AK30" s="14"/>
      <c r="AL30" s="14"/>
    </row>
    <row r="31" spans="1:38" ht="11.25" customHeight="1" x14ac:dyDescent="0.25">
      <c r="A31" s="60">
        <f t="shared" si="0"/>
        <v>1.3993583938652769</v>
      </c>
      <c r="B31" s="60">
        <v>1.3993583938652769</v>
      </c>
      <c r="C31" s="60">
        <v>1.3999065964676116</v>
      </c>
      <c r="D31" s="60">
        <v>1.4008221523091529</v>
      </c>
      <c r="E31" s="60">
        <v>1.4019239361290003</v>
      </c>
      <c r="F31" s="60">
        <v>1.4026603520842782</v>
      </c>
      <c r="G31" s="60">
        <v>1.4063652591125715</v>
      </c>
      <c r="H31" s="60">
        <v>1.410108471318624</v>
      </c>
      <c r="I31" s="60">
        <v>1.41389034245059</v>
      </c>
      <c r="J31" s="60">
        <v>1.4157958854578805</v>
      </c>
      <c r="K31" s="60">
        <v>1.4177112254954323</v>
      </c>
      <c r="L31" s="60">
        <v>1.4374130921864912</v>
      </c>
      <c r="M31" s="60">
        <v>1.479940765697735</v>
      </c>
      <c r="N31" s="60">
        <v>1.5785424357324327</v>
      </c>
      <c r="O31" s="60">
        <v>1.8316456930440821</v>
      </c>
      <c r="P31" s="60">
        <v>1.9774557955671443</v>
      </c>
      <c r="Q31" s="60">
        <v>2.0500669505411788</v>
      </c>
      <c r="R31" s="60">
        <v>2.1194749432408551</v>
      </c>
      <c r="S31" s="60">
        <v>2.1832897275311081</v>
      </c>
      <c r="T31" s="60">
        <v>2.2393728983883254</v>
      </c>
      <c r="U31" s="60">
        <v>2.2861270494989108</v>
      </c>
      <c r="V31" s="60">
        <v>2.3226816068975009</v>
      </c>
      <c r="W31" s="60">
        <v>2.3489314500141933</v>
      </c>
      <c r="X31" s="60">
        <v>2.3654392127112973</v>
      </c>
      <c r="Y31" s="60">
        <v>2.3732508445862788</v>
      </c>
      <c r="Z31" s="60">
        <v>2.3736841390626191</v>
      </c>
      <c r="AA31" s="60">
        <v>2.3681381435500164</v>
      </c>
      <c r="AB31" s="60">
        <v>2.3579505027853487</v>
      </c>
      <c r="AC31" s="60">
        <v>2.3443098003985878</v>
      </c>
      <c r="AD31" s="60">
        <v>2.3282160781141279</v>
      </c>
      <c r="AE31" s="60">
        <v>2.3104761938524065</v>
      </c>
      <c r="AF31" s="60">
        <v>2.291720079921836</v>
      </c>
      <c r="AG31" s="60">
        <v>2.2724266896120722</v>
      </c>
      <c r="AH31" s="60">
        <v>2.2529521416449758</v>
      </c>
      <c r="AI31" s="60">
        <f t="shared" si="1"/>
        <v>2.2529521416449758</v>
      </c>
      <c r="AJ31" s="13">
        <v>225</v>
      </c>
      <c r="AK31" s="14"/>
      <c r="AL31" s="14"/>
    </row>
    <row r="32" spans="1:38" ht="11.25" customHeight="1" x14ac:dyDescent="0.25">
      <c r="A32" s="60">
        <f t="shared" si="0"/>
        <v>1.3991935870538252</v>
      </c>
      <c r="B32" s="60">
        <v>1.3991935870538252</v>
      </c>
      <c r="C32" s="60">
        <v>1.3997139301755526</v>
      </c>
      <c r="D32" s="60">
        <v>1.4005828177292134</v>
      </c>
      <c r="E32" s="60">
        <v>1.4016282086856537</v>
      </c>
      <c r="F32" s="60">
        <v>1.4023267912968371</v>
      </c>
      <c r="G32" s="60">
        <v>1.4058396458539275</v>
      </c>
      <c r="H32" s="60">
        <v>1.4093859256984529</v>
      </c>
      <c r="I32" s="60">
        <v>1.4129658877253546</v>
      </c>
      <c r="J32" s="60">
        <v>1.4147685793034803</v>
      </c>
      <c r="K32" s="60">
        <v>1.4165797868595555</v>
      </c>
      <c r="L32" s="60">
        <v>1.4351670984031739</v>
      </c>
      <c r="M32" s="60">
        <v>1.4750255754515778</v>
      </c>
      <c r="N32" s="60">
        <v>1.5661439295976121</v>
      </c>
      <c r="O32" s="60">
        <v>1.7934635358361402</v>
      </c>
      <c r="P32" s="60">
        <v>1.9220153860225468</v>
      </c>
      <c r="Q32" s="60">
        <v>1.9860987678225155</v>
      </c>
      <c r="R32" s="60">
        <v>2.0478471916239971</v>
      </c>
      <c r="S32" s="60">
        <v>2.1054970671279074</v>
      </c>
      <c r="T32" s="60">
        <v>2.1574176997464551</v>
      </c>
      <c r="U32" s="60">
        <v>2.2022984097784586</v>
      </c>
      <c r="V32" s="60">
        <v>2.239286658492412</v>
      </c>
      <c r="W32" s="60">
        <v>2.2680459335358831</v>
      </c>
      <c r="X32" s="60">
        <v>2.2887290730495726</v>
      </c>
      <c r="Y32" s="60">
        <v>2.3018868967448975</v>
      </c>
      <c r="Z32" s="60">
        <v>2.3083436126649408</v>
      </c>
      <c r="AA32" s="60">
        <v>2.3090690882422713</v>
      </c>
      <c r="AB32" s="60">
        <v>2.3050691686116251</v>
      </c>
      <c r="AC32" s="60">
        <v>2.2973045683141011</v>
      </c>
      <c r="AD32" s="60">
        <v>2.2866399845749981</v>
      </c>
      <c r="AE32" s="60">
        <v>2.2738193439310317</v>
      </c>
      <c r="AF32" s="60">
        <v>2.259460478911282</v>
      </c>
      <c r="AG32" s="60">
        <v>2.2440622842625118</v>
      </c>
      <c r="AH32" s="60">
        <v>2.2280185301397024</v>
      </c>
      <c r="AI32" s="60">
        <f t="shared" si="1"/>
        <v>2.2280185301397024</v>
      </c>
      <c r="AJ32" s="13">
        <v>230</v>
      </c>
      <c r="AK32" s="14"/>
      <c r="AL32" s="14"/>
    </row>
    <row r="33" spans="1:38" ht="11.25" customHeight="1" x14ac:dyDescent="0.25">
      <c r="A33" s="60">
        <f t="shared" si="0"/>
        <v>1.3990120424952177</v>
      </c>
      <c r="B33" s="60">
        <v>1.3990120424952177</v>
      </c>
      <c r="C33" s="60">
        <v>1.3995064886549735</v>
      </c>
      <c r="D33" s="60">
        <v>1.4003320104223422</v>
      </c>
      <c r="E33" s="60">
        <v>1.4013250241262822</v>
      </c>
      <c r="F33" s="60">
        <v>1.40198848261775</v>
      </c>
      <c r="G33" s="60">
        <v>1.4053232230906367</v>
      </c>
      <c r="H33" s="60">
        <v>1.4086871787749</v>
      </c>
      <c r="I33" s="60">
        <v>1.412080532020715</v>
      </c>
      <c r="J33" s="60">
        <v>1.4137882889993632</v>
      </c>
      <c r="K33" s="60">
        <v>1.4155034625494871</v>
      </c>
      <c r="L33" s="60">
        <v>1.4330678592132859</v>
      </c>
      <c r="M33" s="60">
        <v>1.4705087817324383</v>
      </c>
      <c r="N33" s="60">
        <v>1.5550289508683266</v>
      </c>
      <c r="O33" s="60">
        <v>1.7607097135615231</v>
      </c>
      <c r="P33" s="60">
        <v>1.875128946259718</v>
      </c>
      <c r="Q33" s="60">
        <v>1.9321593666751931</v>
      </c>
      <c r="R33" s="60">
        <v>1.9874095251912576</v>
      </c>
      <c r="S33" s="60">
        <v>2.0395528035425481</v>
      </c>
      <c r="T33" s="60">
        <v>2.0873368731663686</v>
      </c>
      <c r="U33" s="60">
        <v>2.1297059934192575</v>
      </c>
      <c r="V33" s="60">
        <v>2.1658995584164749</v>
      </c>
      <c r="W33" s="60">
        <v>2.1955064964823854</v>
      </c>
      <c r="X33" s="60">
        <v>2.2184681272557381</v>
      </c>
      <c r="Y33" s="60">
        <v>2.2350361198938549</v>
      </c>
      <c r="Z33" s="60">
        <v>2.2457013687917207</v>
      </c>
      <c r="AA33" s="60">
        <v>2.2511118155083123</v>
      </c>
      <c r="AB33" s="60">
        <v>2.2519941138317217</v>
      </c>
      <c r="AC33" s="60">
        <v>2.2490885695131797</v>
      </c>
      <c r="AD33" s="60">
        <v>2.2431014048995701</v>
      </c>
      <c r="AE33" s="60">
        <v>2.2346743202470361</v>
      </c>
      <c r="AF33" s="60">
        <v>2.2243688435680307</v>
      </c>
      <c r="AG33" s="60">
        <v>2.2126618830543223</v>
      </c>
      <c r="AH33" s="60">
        <v>2.1999488276862187</v>
      </c>
      <c r="AI33" s="60">
        <f t="shared" si="1"/>
        <v>2.1999488276862187</v>
      </c>
      <c r="AJ33" s="13">
        <v>235</v>
      </c>
      <c r="AK33" s="14"/>
      <c r="AL33" s="14"/>
    </row>
    <row r="34" spans="1:38" ht="11.25" customHeight="1" x14ac:dyDescent="0.25">
      <c r="A34" s="60">
        <f t="shared" si="0"/>
        <v>1.3988126873699827</v>
      </c>
      <c r="B34" s="60">
        <v>1.3988126873699827</v>
      </c>
      <c r="C34" s="60">
        <v>1.399283017264392</v>
      </c>
      <c r="D34" s="60">
        <v>1.4000681679934723</v>
      </c>
      <c r="E34" s="60">
        <v>1.4010124428780149</v>
      </c>
      <c r="F34" s="60">
        <v>1.4016432301911121</v>
      </c>
      <c r="G34" s="60">
        <v>1.4048124541293112</v>
      </c>
      <c r="H34" s="60">
        <v>1.408007250355281</v>
      </c>
      <c r="I34" s="60">
        <v>1.4112277438902028</v>
      </c>
      <c r="J34" s="60">
        <v>1.4128476654206137</v>
      </c>
      <c r="K34" s="60">
        <v>1.414474056826603</v>
      </c>
      <c r="L34" s="60">
        <v>1.431096962971814</v>
      </c>
      <c r="M34" s="60">
        <v>1.4663394337361308</v>
      </c>
      <c r="N34" s="60">
        <v>1.5450028131815046</v>
      </c>
      <c r="O34" s="60">
        <v>1.7322957387998443</v>
      </c>
      <c r="P34" s="60">
        <v>1.8349755740873033</v>
      </c>
      <c r="Q34" s="60">
        <v>1.8861127601147294</v>
      </c>
      <c r="R34" s="60">
        <v>1.9358369098891781</v>
      </c>
      <c r="S34" s="60">
        <v>1.983131665166195</v>
      </c>
      <c r="T34" s="60">
        <v>2.0270252228206753</v>
      </c>
      <c r="U34" s="60">
        <v>2.0666715841072607</v>
      </c>
      <c r="V34" s="60">
        <v>2.1014198816324456</v>
      </c>
      <c r="W34" s="60">
        <v>2.1308589496128332</v>
      </c>
      <c r="X34" s="60">
        <v>2.1548305639681642</v>
      </c>
      <c r="Y34" s="60">
        <v>2.1734126094450681</v>
      </c>
      <c r="Z34" s="60">
        <v>2.1868796905048073</v>
      </c>
      <c r="AA34" s="60">
        <v>2.1956515516476354</v>
      </c>
      <c r="AB34" s="60">
        <v>2.2002391797810357</v>
      </c>
      <c r="AC34" s="60">
        <v>2.2011959224831545</v>
      </c>
      <c r="AD34" s="60">
        <v>2.1990778320772746</v>
      </c>
      <c r="AE34" s="60">
        <v>2.1944147147419528</v>
      </c>
      <c r="AF34" s="60">
        <v>2.1876914314080458</v>
      </c>
      <c r="AG34" s="60">
        <v>2.1793378834104873</v>
      </c>
      <c r="AH34" s="60">
        <v>2.1697256634450177</v>
      </c>
      <c r="AI34" s="60">
        <f t="shared" si="1"/>
        <v>2.1697256634450177</v>
      </c>
      <c r="AJ34" s="13">
        <v>240</v>
      </c>
      <c r="AK34" s="14"/>
      <c r="AL34" s="14"/>
    </row>
    <row r="35" spans="1:38" ht="11.25" customHeight="1" x14ac:dyDescent="0.25">
      <c r="A35" s="60">
        <f t="shared" si="0"/>
        <v>1.3985945397830362</v>
      </c>
      <c r="B35" s="60">
        <v>1.3985945397830362</v>
      </c>
      <c r="C35" s="60">
        <v>1.3990423733791919</v>
      </c>
      <c r="D35" s="60">
        <v>1.399789876003716</v>
      </c>
      <c r="E35" s="60">
        <v>1.4006887177677141</v>
      </c>
      <c r="F35" s="60">
        <v>1.4012890610012783</v>
      </c>
      <c r="G35" s="60">
        <v>1.4043041873935134</v>
      </c>
      <c r="H35" s="60">
        <v>1.4073417252790772</v>
      </c>
      <c r="I35" s="60">
        <v>1.4104017556785289</v>
      </c>
      <c r="J35" s="60">
        <v>1.4119402300730244</v>
      </c>
      <c r="K35" s="60">
        <v>1.413484356613758</v>
      </c>
      <c r="L35" s="60">
        <v>1.4292384257236328</v>
      </c>
      <c r="M35" s="60">
        <v>1.462474338864336</v>
      </c>
      <c r="N35" s="60">
        <v>1.5359078334466094</v>
      </c>
      <c r="O35" s="60">
        <v>1.7074057857765474</v>
      </c>
      <c r="P35" s="60">
        <v>1.8002108096293592</v>
      </c>
      <c r="Q35" s="60">
        <v>1.8463745309294106</v>
      </c>
      <c r="R35" s="60">
        <v>1.8913768259424102</v>
      </c>
      <c r="S35" s="60">
        <v>1.9344257549759354</v>
      </c>
      <c r="T35" s="60">
        <v>1.9747583699974274</v>
      </c>
      <c r="U35" s="60">
        <v>2.0116957145695022</v>
      </c>
      <c r="V35" s="60">
        <v>2.0446915518168969</v>
      </c>
      <c r="W35" s="60">
        <v>2.0733668327741692</v>
      </c>
      <c r="X35" s="60">
        <v>2.0975249695338367</v>
      </c>
      <c r="Y35" s="60">
        <v>2.1171472789900889</v>
      </c>
      <c r="Z35" s="60">
        <v>2.1323719322733572</v>
      </c>
      <c r="AA35" s="60">
        <v>2.1434621616606266</v>
      </c>
      <c r="AB35" s="60">
        <v>2.1507699867699359</v>
      </c>
      <c r="AC35" s="60">
        <v>2.1547007524240978</v>
      </c>
      <c r="AD35" s="60">
        <v>2.1556820818948772</v>
      </c>
      <c r="AE35" s="60">
        <v>2.1541391101267524</v>
      </c>
      <c r="AF35" s="60">
        <v>2.1504764592386327</v>
      </c>
      <c r="AG35" s="60">
        <v>2.1450664772431844</v>
      </c>
      <c r="AH35" s="60">
        <v>2.1382427449353205</v>
      </c>
      <c r="AI35" s="60">
        <f t="shared" si="1"/>
        <v>2.1382427449353205</v>
      </c>
      <c r="AJ35" s="13">
        <v>245</v>
      </c>
      <c r="AK35" s="14"/>
      <c r="AL35" s="14"/>
    </row>
    <row r="36" spans="1:38" ht="11.25" customHeight="1" x14ac:dyDescent="0.25">
      <c r="A36" s="60">
        <f t="shared" si="0"/>
        <v>1.3983567147232125</v>
      </c>
      <c r="B36" s="60">
        <v>1.3983567147232125</v>
      </c>
      <c r="C36" s="60">
        <v>1.3987835294113748</v>
      </c>
      <c r="D36" s="60">
        <v>1.3994958659453676</v>
      </c>
      <c r="E36" s="60">
        <v>1.4003522856988244</v>
      </c>
      <c r="F36" s="60">
        <v>1.4009242121994752</v>
      </c>
      <c r="G36" s="60">
        <v>1.4037956200994659</v>
      </c>
      <c r="H36" s="60">
        <v>1.406686690067787</v>
      </c>
      <c r="I36" s="60">
        <v>1.4095974694703837</v>
      </c>
      <c r="J36" s="60">
        <v>1.4110602642138879</v>
      </c>
      <c r="K36" s="60">
        <v>1.4125280027475415</v>
      </c>
      <c r="L36" s="60">
        <v>1.4274783162946687</v>
      </c>
      <c r="M36" s="60">
        <v>1.4588766424031481</v>
      </c>
      <c r="N36" s="60">
        <v>1.5276148710760731</v>
      </c>
      <c r="O36" s="60">
        <v>1.6854161658563593</v>
      </c>
      <c r="P36" s="60">
        <v>1.7698219343879045</v>
      </c>
      <c r="Q36" s="60">
        <v>1.8117488145816036</v>
      </c>
      <c r="R36" s="60">
        <v>1.852692497561846</v>
      </c>
      <c r="S36" s="60">
        <v>1.8920263509961421</v>
      </c>
      <c r="T36" s="60">
        <v>1.929144275628264</v>
      </c>
      <c r="U36" s="60">
        <v>1.9634986625066193</v>
      </c>
      <c r="V36" s="60">
        <v>1.9946348477830416</v>
      </c>
      <c r="W36" s="60">
        <v>2.0222170827449317</v>
      </c>
      <c r="X36" s="60">
        <v>2.0460425600139964</v>
      </c>
      <c r="Y36" s="60">
        <v>2.0660424023949426</v>
      </c>
      <c r="Z36" s="60">
        <v>2.0822709490032381</v>
      </c>
      <c r="AA36" s="60">
        <v>2.0948864400988505</v>
      </c>
      <c r="AB36" s="60">
        <v>2.1041269459602439</v>
      </c>
      <c r="AC36" s="60">
        <v>2.1102851728130663</v>
      </c>
      <c r="AD36" s="60">
        <v>2.1136849529000479</v>
      </c>
      <c r="AE36" s="60">
        <v>2.114661183684345</v>
      </c>
      <c r="AF36" s="60">
        <v>2.1135440199545106</v>
      </c>
      <c r="AG36" s="60">
        <v>2.1106473918237261</v>
      </c>
      <c r="AH36" s="60">
        <v>2.1062614518507097</v>
      </c>
      <c r="AI36" s="60">
        <f t="shared" si="1"/>
        <v>2.1062614518507097</v>
      </c>
      <c r="AJ36" s="13">
        <v>250</v>
      </c>
      <c r="AK36" s="14"/>
      <c r="AL36" s="14"/>
    </row>
    <row r="37" spans="1:38" ht="11.25" customHeight="1" x14ac:dyDescent="0.25">
      <c r="A37" s="60">
        <f t="shared" si="0"/>
        <v>1.3980984288290772</v>
      </c>
      <c r="B37" s="60">
        <v>1.3980984288290772</v>
      </c>
      <c r="C37" s="60">
        <v>1.3985055751142954</v>
      </c>
      <c r="D37" s="60">
        <v>1.3991850133292498</v>
      </c>
      <c r="E37" s="60">
        <v>1.4000017604833526</v>
      </c>
      <c r="F37" s="60">
        <v>1.4005471203118562</v>
      </c>
      <c r="G37" s="60">
        <v>1.4032842678395774</v>
      </c>
      <c r="H37" s="60">
        <v>1.406038680221074</v>
      </c>
      <c r="I37" s="60">
        <v>1.4088103792151985</v>
      </c>
      <c r="J37" s="60">
        <v>1.4102027172367684</v>
      </c>
      <c r="K37" s="60">
        <v>1.4115993838129548</v>
      </c>
      <c r="L37" s="60">
        <v>1.4258044526615108</v>
      </c>
      <c r="M37" s="60">
        <v>1.4555147148277359</v>
      </c>
      <c r="N37" s="60">
        <v>1.5200171083482321</v>
      </c>
      <c r="O37" s="60">
        <v>1.6658417727862107</v>
      </c>
      <c r="P37" s="60">
        <v>1.7430324308573752</v>
      </c>
      <c r="Q37" s="60">
        <v>1.7813183683475313</v>
      </c>
      <c r="R37" s="60">
        <v>1.8187514881768165</v>
      </c>
      <c r="S37" s="60">
        <v>1.8548290439934854</v>
      </c>
      <c r="T37" s="60">
        <v>1.8890640003971468</v>
      </c>
      <c r="U37" s="60">
        <v>1.9210117270735008</v>
      </c>
      <c r="V37" s="60">
        <v>1.9502945940601846</v>
      </c>
      <c r="W37" s="60">
        <v>1.9766213315682284</v>
      </c>
      <c r="X37" s="60">
        <v>1.9997988032435152</v>
      </c>
      <c r="Y37" s="60">
        <v>2.0197351587882841</v>
      </c>
      <c r="Z37" s="60">
        <v>2.0364347964602785</v>
      </c>
      <c r="AA37" s="60">
        <v>2.0499867698539775</v>
      </c>
      <c r="AB37" s="60">
        <v>2.0605489499363472</v>
      </c>
      <c r="AC37" s="60">
        <v>2.0683303525038603</v>
      </c>
      <c r="AD37" s="60">
        <v>2.0735736934130631</v>
      </c>
      <c r="AE37" s="60">
        <v>2.0765396505273288</v>
      </c>
      <c r="AF37" s="60">
        <v>2.0774936888414834</v>
      </c>
      <c r="AG37" s="60">
        <v>2.0766957729357105</v>
      </c>
      <c r="AH37" s="60">
        <v>2.0743929042489477</v>
      </c>
      <c r="AI37" s="60">
        <f t="shared" si="1"/>
        <v>2.0743929042489477</v>
      </c>
      <c r="AJ37" s="13">
        <v>255</v>
      </c>
      <c r="AK37" s="14"/>
      <c r="AL37" s="14"/>
    </row>
    <row r="38" spans="1:38" ht="11.25" customHeight="1" x14ac:dyDescent="0.25">
      <c r="A38" s="60">
        <f t="shared" si="0"/>
        <v>1.3978190039132945</v>
      </c>
      <c r="B38" s="60">
        <v>1.3978190039132945</v>
      </c>
      <c r="C38" s="60">
        <v>1.3982077190355029</v>
      </c>
      <c r="D38" s="60">
        <v>1.3988563355923682</v>
      </c>
      <c r="E38" s="60">
        <v>1.3996359263396509</v>
      </c>
      <c r="F38" s="60">
        <v>1.4001564117011869</v>
      </c>
      <c r="G38" s="60">
        <v>1.4027679386638787</v>
      </c>
      <c r="H38" s="60">
        <v>1.4053946358032479</v>
      </c>
      <c r="I38" s="60">
        <v>1.4080365055398276</v>
      </c>
      <c r="J38" s="60">
        <v>1.4093631301889418</v>
      </c>
      <c r="K38" s="60">
        <v>1.4106935477301943</v>
      </c>
      <c r="L38" s="60">
        <v>1.4242061538807091</v>
      </c>
      <c r="M38" s="60">
        <v>1.4523612710440621</v>
      </c>
      <c r="N38" s="60">
        <v>1.5130254054760801</v>
      </c>
      <c r="O38" s="60">
        <v>1.6482995208251365</v>
      </c>
      <c r="P38" s="60">
        <v>1.7192373804164855</v>
      </c>
      <c r="Q38" s="60">
        <v>1.7543691959728933</v>
      </c>
      <c r="R38" s="60">
        <v>1.7887465618089446</v>
      </c>
      <c r="S38" s="60">
        <v>1.8219610809802795</v>
      </c>
      <c r="T38" s="60">
        <v>1.8536171464610103</v>
      </c>
      <c r="U38" s="60">
        <v>1.8833510522692052</v>
      </c>
      <c r="V38" s="60">
        <v>1.9108487478462157</v>
      </c>
      <c r="W38" s="60">
        <v>1.9358602358121195</v>
      </c>
      <c r="X38" s="60">
        <v>1.9582090347603698</v>
      </c>
      <c r="Y38" s="60">
        <v>1.9777958765760142</v>
      </c>
      <c r="Z38" s="60">
        <v>1.9945966906741694</v>
      </c>
      <c r="AA38" s="60">
        <v>2.0086557198768245</v>
      </c>
      <c r="AB38" s="60">
        <v>2.0200751399958872</v>
      </c>
      <c r="AC38" s="60">
        <v>2.0290027477344719</v>
      </c>
      <c r="AD38" s="60">
        <v>2.035619175223581</v>
      </c>
      <c r="AE38" s="60">
        <v>2.0401257867185962</v>
      </c>
      <c r="AF38" s="60">
        <v>2.0427340311024018</v>
      </c>
      <c r="AG38" s="60">
        <v>2.0436566570157004</v>
      </c>
      <c r="AH38" s="60">
        <v>2.0431009007695544</v>
      </c>
      <c r="AI38" s="60">
        <f t="shared" si="1"/>
        <v>2.0431009007695544</v>
      </c>
      <c r="AJ38" s="13">
        <v>260</v>
      </c>
      <c r="AK38" s="14"/>
      <c r="AL38" s="14"/>
    </row>
    <row r="39" spans="1:38" ht="11.25" customHeight="1" x14ac:dyDescent="0.25">
      <c r="A39" s="60">
        <f t="shared" si="0"/>
        <v>1.3975178692404568</v>
      </c>
      <c r="B39" s="60">
        <v>1.3975178692404568</v>
      </c>
      <c r="C39" s="60">
        <v>1.3978892890420207</v>
      </c>
      <c r="D39" s="60">
        <v>1.3985089896276504</v>
      </c>
      <c r="E39" s="60">
        <v>1.3992537317022251</v>
      </c>
      <c r="F39" s="60">
        <v>1.3997508938193839</v>
      </c>
      <c r="G39" s="60">
        <v>1.4022447105841647</v>
      </c>
      <c r="H39" s="60">
        <v>1.4047518635092364</v>
      </c>
      <c r="I39" s="60">
        <v>1.4072723405639653</v>
      </c>
      <c r="J39" s="60">
        <v>1.4085375712418795</v>
      </c>
      <c r="K39" s="60">
        <v>1.4098061273783034</v>
      </c>
      <c r="L39" s="60">
        <v>1.4226740356677647</v>
      </c>
      <c r="M39" s="60">
        <v>1.4493926664295655</v>
      </c>
      <c r="N39" s="60">
        <v>1.5065647816937073</v>
      </c>
      <c r="O39" s="60">
        <v>1.6324828011642742</v>
      </c>
      <c r="P39" s="60">
        <v>1.6979588176566225</v>
      </c>
      <c r="Q39" s="60">
        <v>1.7303379766724793</v>
      </c>
      <c r="R39" s="60">
        <v>1.7620391045736907</v>
      </c>
      <c r="S39" s="60">
        <v>1.7927267336021275</v>
      </c>
      <c r="T39" s="60">
        <v>1.8220762826263872</v>
      </c>
      <c r="U39" s="60">
        <v>1.8497879678748772</v>
      </c>
      <c r="V39" s="60">
        <v>1.8755997705696772</v>
      </c>
      <c r="W39" s="60">
        <v>1.8992981681497472</v>
      </c>
      <c r="X39" s="60">
        <v>1.9207255725603127</v>
      </c>
      <c r="Y39" s="60">
        <v>1.9397838542314836</v>
      </c>
      <c r="Z39" s="60">
        <v>1.9564338668235823</v>
      </c>
      <c r="AA39" s="60">
        <v>1.9706914013876957</v>
      </c>
      <c r="AB39" s="60">
        <v>1.9826203811866479</v>
      </c>
      <c r="AC39" s="60">
        <v>1.9923243011663343</v>
      </c>
      <c r="AD39" s="60">
        <v>1.9999369186454776</v>
      </c>
      <c r="AE39" s="60">
        <v>2.005613059133887</v>
      </c>
      <c r="AF39" s="60">
        <v>2.0095201784464471</v>
      </c>
      <c r="AG39" s="60">
        <v>2.0118310811993614</v>
      </c>
      <c r="AH39" s="60">
        <v>2.0127179804636701</v>
      </c>
      <c r="AI39" s="60">
        <f t="shared" si="1"/>
        <v>2.0127179804636701</v>
      </c>
      <c r="AJ39" s="13">
        <v>265</v>
      </c>
      <c r="AK39" s="14"/>
      <c r="AL39" s="14"/>
    </row>
    <row r="40" spans="1:38" ht="11.25" customHeight="1" x14ac:dyDescent="0.25">
      <c r="A40" s="60">
        <f t="shared" si="0"/>
        <v>1.3971945625876967</v>
      </c>
      <c r="B40" s="60">
        <v>1.3971945625876967</v>
      </c>
      <c r="C40" s="60">
        <v>1.3975497318911927</v>
      </c>
      <c r="D40" s="60">
        <v>1.3981422688113836</v>
      </c>
      <c r="E40" s="60">
        <v>1.3988542830957293</v>
      </c>
      <c r="F40" s="60">
        <v>1.3993295469167228</v>
      </c>
      <c r="G40" s="60">
        <v>1.4017129116835292</v>
      </c>
      <c r="H40" s="60">
        <v>1.404108003816372</v>
      </c>
      <c r="I40" s="60">
        <v>1.4065148006439341</v>
      </c>
      <c r="J40" s="60">
        <v>1.4077225806572324</v>
      </c>
      <c r="K40" s="60">
        <v>1.4089332773842975</v>
      </c>
      <c r="L40" s="60">
        <v>1.4211998405282484</v>
      </c>
      <c r="M40" s="60">
        <v>1.4465883290227224</v>
      </c>
      <c r="N40" s="60">
        <v>1.5005717144010911</v>
      </c>
      <c r="O40" s="60">
        <v>1.6181432664015778</v>
      </c>
      <c r="P40" s="60">
        <v>1.678814256338037</v>
      </c>
      <c r="Q40" s="60">
        <v>1.7087747835954461</v>
      </c>
      <c r="R40" s="60">
        <v>1.7381182856158248</v>
      </c>
      <c r="S40" s="60">
        <v>1.7665664389909661</v>
      </c>
      <c r="T40" s="60">
        <v>1.7938504647408782</v>
      </c>
      <c r="U40" s="60">
        <v>1.8197214087060747</v>
      </c>
      <c r="V40" s="60">
        <v>1.8439597242888435</v>
      </c>
      <c r="W40" s="60">
        <v>1.8663833090385906</v>
      </c>
      <c r="X40" s="60">
        <v>1.8868532862985499</v>
      </c>
      <c r="Y40" s="60">
        <v>1.905277083324282</v>
      </c>
      <c r="Z40" s="60">
        <v>1.9216086875975331</v>
      </c>
      <c r="AA40" s="60">
        <v>1.9358462946789239</v>
      </c>
      <c r="AB40" s="60">
        <v>1.9480278285883865</v>
      </c>
      <c r="AC40" s="60">
        <v>1.9582249767314468</v>
      </c>
      <c r="AD40" s="60">
        <v>1.9665364247323318</v>
      </c>
      <c r="AE40" s="60">
        <v>1.9730809193159249</v>
      </c>
      <c r="AF40" s="60">
        <v>1.9779906637315918</v>
      </c>
      <c r="AG40" s="60">
        <v>1.9814053979113417</v>
      </c>
      <c r="AH40" s="60">
        <v>1.9834673660351343</v>
      </c>
      <c r="AI40" s="60">
        <f t="shared" si="1"/>
        <v>1.9834673660351343</v>
      </c>
      <c r="AJ40" s="13">
        <v>270</v>
      </c>
      <c r="AK40" s="14"/>
      <c r="AL40" s="14"/>
    </row>
    <row r="41" spans="1:38" ht="11.25" customHeight="1" x14ac:dyDescent="0.25">
      <c r="A41" s="60">
        <f t="shared" si="0"/>
        <v>1.3968487301445645</v>
      </c>
      <c r="B41" s="60">
        <v>1.3968487301445645</v>
      </c>
      <c r="C41" s="60">
        <v>1.3971886118584831</v>
      </c>
      <c r="D41" s="60">
        <v>1.3977555994616846</v>
      </c>
      <c r="E41" s="60">
        <v>1.3984368389078035</v>
      </c>
      <c r="F41" s="60">
        <v>1.3988915159734974</v>
      </c>
      <c r="G41" s="60">
        <v>1.4011711022133122</v>
      </c>
      <c r="H41" s="60">
        <v>1.4034610021491507</v>
      </c>
      <c r="I41" s="60">
        <v>1.4057611854380783</v>
      </c>
      <c r="J41" s="60">
        <v>1.4069151233422716</v>
      </c>
      <c r="K41" s="60">
        <v>1.408071619849393</v>
      </c>
      <c r="L41" s="60">
        <v>1.4197762954397557</v>
      </c>
      <c r="M41" s="60">
        <v>1.4439302975601644</v>
      </c>
      <c r="N41" s="60">
        <v>1.4949920412806033</v>
      </c>
      <c r="O41" s="60">
        <v>1.6050776003009226</v>
      </c>
      <c r="P41" s="60">
        <v>1.6614940949863088</v>
      </c>
      <c r="Q41" s="60">
        <v>1.6893162222430276</v>
      </c>
      <c r="R41" s="60">
        <v>1.7165712532322057</v>
      </c>
      <c r="S41" s="60">
        <v>1.7430262008267918</v>
      </c>
      <c r="T41" s="60">
        <v>1.7684566017928383</v>
      </c>
      <c r="U41" s="60">
        <v>1.7926542199544167</v>
      </c>
      <c r="V41" s="60">
        <v>1.8154342077219598</v>
      </c>
      <c r="W41" s="60">
        <v>1.8366411615217979</v>
      </c>
      <c r="X41" s="60">
        <v>1.856153593335556</v>
      </c>
      <c r="Y41" s="60">
        <v>1.8738865006693757</v>
      </c>
      <c r="Z41" s="60">
        <v>1.889791924027044</v>
      </c>
      <c r="AA41" s="60">
        <v>1.9038575958100785</v>
      </c>
      <c r="AB41" s="60">
        <v>1.9161039684218439</v>
      </c>
      <c r="AC41" s="60">
        <v>1.9265800334317744</v>
      </c>
      <c r="AD41" s="60">
        <v>1.935358395863235</v>
      </c>
      <c r="AE41" s="60">
        <v>1.942530052813332</v>
      </c>
      <c r="AF41" s="60">
        <v>1.9481992606202005</v>
      </c>
      <c r="AG41" s="60">
        <v>1.9524787817137592</v>
      </c>
      <c r="AH41" s="60">
        <v>1.9554857019465417</v>
      </c>
      <c r="AI41" s="60">
        <f t="shared" si="1"/>
        <v>1.9554857019465417</v>
      </c>
      <c r="AJ41" s="13">
        <v>275</v>
      </c>
      <c r="AK41" s="14"/>
      <c r="AL41" s="14"/>
    </row>
    <row r="42" spans="1:38" ht="11.25" customHeight="1" x14ac:dyDescent="0.25">
      <c r="A42" s="60">
        <f t="shared" si="0"/>
        <v>1.396480125329403</v>
      </c>
      <c r="B42" s="60">
        <v>1.396480125329403</v>
      </c>
      <c r="C42" s="60">
        <v>1.3968056084630947</v>
      </c>
      <c r="D42" s="60">
        <v>1.3973485367059342</v>
      </c>
      <c r="E42" s="60">
        <v>1.3980008029593542</v>
      </c>
      <c r="F42" s="60">
        <v>1.3984361026974288</v>
      </c>
      <c r="G42" s="60">
        <v>1.400618058213889</v>
      </c>
      <c r="H42" s="60">
        <v>1.4028090832319227</v>
      </c>
      <c r="I42" s="60">
        <v>1.4050091420468607</v>
      </c>
      <c r="J42" s="60">
        <v>1.4061125475124008</v>
      </c>
      <c r="K42" s="60">
        <v>1.4072181972770368</v>
      </c>
      <c r="L42" s="60">
        <v>1.4183969916594628</v>
      </c>
      <c r="M42" s="60">
        <v>1.4414028425425114</v>
      </c>
      <c r="N42" s="60">
        <v>1.4897793127605334</v>
      </c>
      <c r="O42" s="60">
        <v>1.5931177485447958</v>
      </c>
      <c r="P42" s="60">
        <v>1.6457451263961369</v>
      </c>
      <c r="Q42" s="60">
        <v>1.6716657853950085</v>
      </c>
      <c r="R42" s="60">
        <v>1.6970611335808006</v>
      </c>
      <c r="S42" s="60">
        <v>1.7217345624168281</v>
      </c>
      <c r="T42" s="60">
        <v>1.7454971610856211</v>
      </c>
      <c r="U42" s="60">
        <v>1.7681735611309335</v>
      </c>
      <c r="V42" s="60">
        <v>1.7896073456712136</v>
      </c>
      <c r="W42" s="60">
        <v>1.8096656427892401</v>
      </c>
      <c r="X42" s="60">
        <v>1.8282425791030734</v>
      </c>
      <c r="Y42" s="60">
        <v>1.8452613709412922</v>
      </c>
      <c r="Z42" s="60">
        <v>1.8606749623405823</v>
      </c>
      <c r="AA42" s="60">
        <v>1.8744652593509659</v>
      </c>
      <c r="AB42" s="60">
        <v>1.8866411354855417</v>
      </c>
      <c r="AC42" s="60">
        <v>1.8972354748033697</v>
      </c>
      <c r="AD42" s="60">
        <v>1.9063015670678678</v>
      </c>
      <c r="AE42" s="60">
        <v>1.9139091735511036</v>
      </c>
      <c r="AF42" s="60">
        <v>1.9201405502699511</v>
      </c>
      <c r="AG42" s="60">
        <v>1.9250866601628962</v>
      </c>
      <c r="AH42" s="60">
        <v>1.9288437401230503</v>
      </c>
      <c r="AI42" s="60">
        <f t="shared" si="1"/>
        <v>1.9288437401230503</v>
      </c>
      <c r="AJ42" s="13">
        <v>280</v>
      </c>
      <c r="AK42" s="14"/>
      <c r="AL42" s="14"/>
    </row>
    <row r="43" spans="1:38" ht="11.25" customHeight="1" x14ac:dyDescent="0.25">
      <c r="A43" s="60">
        <f t="shared" si="0"/>
        <v>1.3960886066145739</v>
      </c>
      <c r="B43" s="60">
        <v>1.3960886066145739</v>
      </c>
      <c r="C43" s="60">
        <v>1.3964005133542183</v>
      </c>
      <c r="D43" s="60">
        <v>1.3969207597690165</v>
      </c>
      <c r="E43" s="60">
        <v>1.3975457178198958</v>
      </c>
      <c r="F43" s="60">
        <v>1.3979627574897666</v>
      </c>
      <c r="G43" s="60">
        <v>1.4000527563153007</v>
      </c>
      <c r="H43" s="60">
        <v>1.4021507279963394</v>
      </c>
      <c r="I43" s="60">
        <v>1.4042566332589193</v>
      </c>
      <c r="J43" s="60">
        <v>1.4053125483053956</v>
      </c>
      <c r="K43" s="60">
        <v>1.4063704313474561</v>
      </c>
      <c r="L43" s="60">
        <v>1.4170562824264958</v>
      </c>
      <c r="M43" s="60">
        <v>1.4389921529813476</v>
      </c>
      <c r="N43" s="60">
        <v>1.4848934849414457</v>
      </c>
      <c r="O43" s="60">
        <v>1.5821235965950566</v>
      </c>
      <c r="P43" s="60">
        <v>1.6313583186933185</v>
      </c>
      <c r="Q43" s="60">
        <v>1.6555792838308514</v>
      </c>
      <c r="R43" s="60">
        <v>1.6793106024914519</v>
      </c>
      <c r="S43" s="60">
        <v>1.7023851605118796</v>
      </c>
      <c r="T43" s="60">
        <v>1.7246428408828642</v>
      </c>
      <c r="U43" s="60">
        <v>1.745935008547945</v>
      </c>
      <c r="V43" s="60">
        <v>1.7661286366663904</v>
      </c>
      <c r="W43" s="60">
        <v>1.7851098149614346</v>
      </c>
      <c r="X43" s="60">
        <v>1.8027864191044978</v>
      </c>
      <c r="Y43" s="60">
        <v>1.8190897861678965</v>
      </c>
      <c r="Z43" s="60">
        <v>1.8339753268029511</v>
      </c>
      <c r="AA43" s="60">
        <v>1.8474220973251219</v>
      </c>
      <c r="AB43" s="60">
        <v>1.8594314402596088</v>
      </c>
      <c r="AC43" s="60">
        <v>1.8700248680672571</v>
      </c>
      <c r="AD43" s="60">
        <v>1.8792414043037902</v>
      </c>
      <c r="AE43" s="60">
        <v>1.8871346076355306</v>
      </c>
      <c r="AF43" s="60">
        <v>1.8937694903397506</v>
      </c>
      <c r="AG43" s="60">
        <v>1.8992195109584942</v>
      </c>
      <c r="AH43" s="60">
        <v>1.9035637787312925</v>
      </c>
      <c r="AI43" s="60">
        <f t="shared" si="1"/>
        <v>1.9035637787312925</v>
      </c>
      <c r="AJ43" s="13">
        <v>285</v>
      </c>
      <c r="AK43" s="14"/>
      <c r="AL43" s="14"/>
    </row>
    <row r="44" spans="1:38" ht="11.25" customHeight="1" x14ac:dyDescent="0.25">
      <c r="A44" s="60">
        <f t="shared" si="0"/>
        <v>1.3956741344631691</v>
      </c>
      <c r="B44" s="60">
        <v>1.3956741344631691</v>
      </c>
      <c r="C44" s="60">
        <v>1.3959732264364459</v>
      </c>
      <c r="D44" s="60">
        <v>1.3964720667192845</v>
      </c>
      <c r="E44" s="60">
        <v>1.3970712578526219</v>
      </c>
      <c r="F44" s="60">
        <v>1.3974710713284497</v>
      </c>
      <c r="G44" s="60">
        <v>1.3994743594661496</v>
      </c>
      <c r="H44" s="60">
        <v>1.4014846525592188</v>
      </c>
      <c r="I44" s="60">
        <v>1.4035019091499912</v>
      </c>
      <c r="J44" s="60">
        <v>1.4045131354454221</v>
      </c>
      <c r="K44" s="60">
        <v>1.4055260864777015</v>
      </c>
      <c r="L44" s="60">
        <v>1.4157491952401842</v>
      </c>
      <c r="M44" s="60">
        <v>1.4366860755225377</v>
      </c>
      <c r="N44" s="60">
        <v>1.4802998728129035</v>
      </c>
      <c r="O44" s="60">
        <v>1.5719774066958407</v>
      </c>
      <c r="P44" s="60">
        <v>1.6181596351819183</v>
      </c>
      <c r="Q44" s="60">
        <v>1.6408538999112645</v>
      </c>
      <c r="R44" s="60">
        <v>1.6630894812948589</v>
      </c>
      <c r="S44" s="60">
        <v>1.6847234048305835</v>
      </c>
      <c r="T44" s="60">
        <v>1.7056190803152209</v>
      </c>
      <c r="U44" s="60">
        <v>1.725649778280939</v>
      </c>
      <c r="V44" s="60">
        <v>1.7447018064253068</v>
      </c>
      <c r="W44" s="60">
        <v>1.7626772073257586</v>
      </c>
      <c r="X44" s="60">
        <v>1.7794958257702196</v>
      </c>
      <c r="Y44" s="60">
        <v>1.7950966382667346</v>
      </c>
      <c r="Z44" s="60">
        <v>1.8094382939946467</v>
      </c>
      <c r="AA44" s="60">
        <v>1.8224988782169744</v>
      </c>
      <c r="AB44" s="60">
        <v>1.8342749674856269</v>
      </c>
      <c r="AC44" s="60">
        <v>1.8447800931647063</v>
      </c>
      <c r="AD44" s="60">
        <v>1.854042760638446</v>
      </c>
      <c r="AE44" s="60">
        <v>1.8621041841021604</v>
      </c>
      <c r="AF44" s="60">
        <v>1.8690158922985642</v>
      </c>
      <c r="AG44" s="60">
        <v>1.8748373425891312</v>
      </c>
      <c r="AH44" s="60">
        <v>1.8796336541912069</v>
      </c>
      <c r="AI44" s="60">
        <f t="shared" si="1"/>
        <v>1.8796336541912069</v>
      </c>
      <c r="AJ44" s="13">
        <v>290</v>
      </c>
      <c r="AK44" s="14"/>
      <c r="AL44" s="14"/>
    </row>
    <row r="45" spans="1:38" ht="11.25" customHeight="1" x14ac:dyDescent="0.25">
      <c r="A45" s="60">
        <f t="shared" si="0"/>
        <v>1.3952367674859689</v>
      </c>
      <c r="B45" s="60">
        <v>1.3952367674859689</v>
      </c>
      <c r="C45" s="60">
        <v>1.3955237513233003</v>
      </c>
      <c r="D45" s="60">
        <v>1.3960023687271266</v>
      </c>
      <c r="E45" s="60">
        <v>1.3965772220013022</v>
      </c>
      <c r="F45" s="60">
        <v>1.3969607675507525</v>
      </c>
      <c r="G45" s="60">
        <v>1.3988822034103905</v>
      </c>
      <c r="H45" s="60">
        <v>1.4008097889018873</v>
      </c>
      <c r="I45" s="60">
        <v>1.402743481449261</v>
      </c>
      <c r="J45" s="60">
        <v>1.4037126042518651</v>
      </c>
      <c r="K45" s="60">
        <v>1.4046832373347715</v>
      </c>
      <c r="L45" s="60">
        <v>1.4144713560960966</v>
      </c>
      <c r="M45" s="60">
        <v>1.4344738956573333</v>
      </c>
      <c r="N45" s="60">
        <v>1.4759683045447023</v>
      </c>
      <c r="O45" s="60">
        <v>1.5625795386810808</v>
      </c>
      <c r="P45" s="60">
        <v>1.6060030489105264</v>
      </c>
      <c r="Q45" s="60">
        <v>1.6273198629623267</v>
      </c>
      <c r="R45" s="60">
        <v>1.6482052702742971</v>
      </c>
      <c r="S45" s="60">
        <v>1.6685362244006523</v>
      </c>
      <c r="T45" s="60">
        <v>1.6881955165269411</v>
      </c>
      <c r="U45" s="60">
        <v>1.7070744949472731</v>
      </c>
      <c r="V45" s="60">
        <v>1.7250755307972137</v>
      </c>
      <c r="W45" s="60">
        <v>1.7421141058072309</v>
      </c>
      <c r="X45" s="60">
        <v>1.7581204175183778</v>
      </c>
      <c r="Y45" s="60">
        <v>1.7730404277573386</v>
      </c>
      <c r="Z45" s="60">
        <v>1.7868363184210725</v>
      </c>
      <c r="AA45" s="60">
        <v>1.7994863603617302</v>
      </c>
      <c r="AB45" s="60">
        <v>1.8109842412054407</v>
      </c>
      <c r="AC45" s="60">
        <v>1.8213379314108891</v>
      </c>
      <c r="AD45" s="60">
        <v>1.8305681911938836</v>
      </c>
      <c r="AE45" s="60">
        <v>1.83870683241523</v>
      </c>
      <c r="AF45" s="60">
        <v>1.8457948494272829</v>
      </c>
      <c r="AG45" s="60">
        <v>1.8518805230878488</v>
      </c>
      <c r="AH45" s="60">
        <v>1.8570175855476676</v>
      </c>
      <c r="AI45" s="60">
        <f t="shared" si="1"/>
        <v>1.8570175855476676</v>
      </c>
      <c r="AJ45" s="13">
        <v>295</v>
      </c>
      <c r="AK45" s="14"/>
      <c r="AL45" s="14"/>
    </row>
    <row r="46" spans="1:38" ht="11.25" customHeight="1" x14ac:dyDescent="0.25">
      <c r="A46" s="60">
        <f t="shared" si="0"/>
        <v>1.3947766579300112</v>
      </c>
      <c r="B46" s="60">
        <v>1.3947766579300112</v>
      </c>
      <c r="C46" s="60">
        <v>1.3950521902139221</v>
      </c>
      <c r="D46" s="60">
        <v>1.3955116839030581</v>
      </c>
      <c r="E46" s="60">
        <v>1.3960635263507304</v>
      </c>
      <c r="F46" s="60">
        <v>1.3964316935427552</v>
      </c>
      <c r="G46" s="60">
        <v>1.3982757837859785</v>
      </c>
      <c r="H46" s="60">
        <v>1.4001252669714583</v>
      </c>
      <c r="I46" s="60">
        <v>1.4019801002180492</v>
      </c>
      <c r="J46" s="60">
        <v>1.4029095094413448</v>
      </c>
      <c r="K46" s="60">
        <v>1.4038402396474849</v>
      </c>
      <c r="L46" s="60">
        <v>1.4132189236036481</v>
      </c>
      <c r="M46" s="60">
        <v>1.4323461530036239</v>
      </c>
      <c r="N46" s="60">
        <v>1.4718724326172221</v>
      </c>
      <c r="O46" s="60">
        <v>1.5538451206995954</v>
      </c>
      <c r="P46" s="60">
        <v>1.5947651645881591</v>
      </c>
      <c r="Q46" s="60">
        <v>1.6148340467756155</v>
      </c>
      <c r="R46" s="60">
        <v>1.6344958500265365</v>
      </c>
      <c r="S46" s="60">
        <v>1.6536441092023828</v>
      </c>
      <c r="T46" s="60">
        <v>1.6721777035355916</v>
      </c>
      <c r="U46" s="60">
        <v>1.6900030014537057</v>
      </c>
      <c r="V46" s="60">
        <v>1.7070357892168297</v>
      </c>
      <c r="W46" s="60">
        <v>1.7232028963585273</v>
      </c>
      <c r="X46" s="60">
        <v>1.7384434456001003</v>
      </c>
      <c r="Y46" s="60">
        <v>1.7527096762219327</v>
      </c>
      <c r="Z46" s="60">
        <v>1.765967316149359</v>
      </c>
      <c r="AA46" s="60">
        <v>1.7781955065836339</v>
      </c>
      <c r="AB46" s="60">
        <v>1.7893863106935921</v>
      </c>
      <c r="AC46" s="60">
        <v>1.7995438615856101</v>
      </c>
      <c r="AD46" s="60">
        <v>1.8086832220788196</v>
      </c>
      <c r="AE46" s="60">
        <v>1.8168290384068322</v>
      </c>
      <c r="AF46" s="60">
        <v>1.8240140717341069</v>
      </c>
      <c r="AG46" s="60">
        <v>1.8302776862659962</v>
      </c>
      <c r="AH46" s="60">
        <v>1.8356643624256503</v>
      </c>
      <c r="AI46" s="60">
        <f t="shared" si="1"/>
        <v>1.8356643624256503</v>
      </c>
      <c r="AJ46" s="13">
        <v>300</v>
      </c>
      <c r="AK46" s="14"/>
      <c r="AL46" s="14"/>
    </row>
    <row r="47" spans="1:38" ht="11.25" customHeight="1" x14ac:dyDescent="0.25">
      <c r="A47" s="60">
        <f t="shared" si="0"/>
        <v>1.3942940466098563</v>
      </c>
      <c r="B47" s="60">
        <v>1.3942940466098563</v>
      </c>
      <c r="C47" s="60">
        <v>1.3945587382904352</v>
      </c>
      <c r="D47" s="60">
        <v>1.3950001307895872</v>
      </c>
      <c r="E47" s="60">
        <v>1.3955301965058555</v>
      </c>
      <c r="F47" s="60">
        <v>1.3958838123606438</v>
      </c>
      <c r="G47" s="60">
        <v>1.3976547437606939</v>
      </c>
      <c r="H47" s="60">
        <v>1.3994303979934961</v>
      </c>
      <c r="I47" s="60">
        <v>1.4012107324872229</v>
      </c>
      <c r="J47" s="60">
        <v>1.4021026412908562</v>
      </c>
      <c r="K47" s="60">
        <v>1.4029957038017544</v>
      </c>
      <c r="L47" s="60">
        <v>1.4119885313303824</v>
      </c>
      <c r="M47" s="60">
        <v>1.4302944843637424</v>
      </c>
      <c r="N47" s="60">
        <v>1.4679891683973432</v>
      </c>
      <c r="O47" s="60">
        <v>1.5457014317617812</v>
      </c>
      <c r="P47" s="60">
        <v>1.5843410329329319</v>
      </c>
      <c r="Q47" s="60">
        <v>1.6032749934852777</v>
      </c>
      <c r="R47" s="60">
        <v>1.6218237996270144</v>
      </c>
      <c r="S47" s="60">
        <v>1.6398948826466191</v>
      </c>
      <c r="T47" s="60">
        <v>1.657400570265376</v>
      </c>
      <c r="U47" s="60">
        <v>1.6742597907063226</v>
      </c>
      <c r="V47" s="60">
        <v>1.6903995916324472</v>
      </c>
      <c r="W47" s="60">
        <v>1.7057564126591227</v>
      </c>
      <c r="X47" s="60">
        <v>1.7202770613159923</v>
      </c>
      <c r="Y47" s="60">
        <v>1.7339193576089353</v>
      </c>
      <c r="Z47" s="60">
        <v>1.7466524306862863</v>
      </c>
      <c r="AA47" s="60">
        <v>1.7584566709204354</v>
      </c>
      <c r="AB47" s="60">
        <v>1.7693233600025733</v>
      </c>
      <c r="AC47" s="60">
        <v>1.7792540184462435</v>
      </c>
      <c r="AD47" s="60">
        <v>1.7882595226003988</v>
      </c>
      <c r="AE47" s="60">
        <v>1.796359050910016</v>
      </c>
      <c r="AF47" s="60">
        <v>1.8035789214986095</v>
      </c>
      <c r="AG47" s="60">
        <v>1.8099513806404248</v>
      </c>
      <c r="AH47" s="60">
        <v>1.8155133953168576</v>
      </c>
      <c r="AI47" s="60">
        <f t="shared" si="1"/>
        <v>1.8155133953168576</v>
      </c>
      <c r="AJ47" s="13">
        <v>305</v>
      </c>
      <c r="AK47" s="14"/>
      <c r="AL47" s="14"/>
    </row>
    <row r="48" spans="1:38" ht="11.25" customHeight="1" x14ac:dyDescent="0.25">
      <c r="A48" s="60">
        <f t="shared" si="0"/>
        <v>1.3937892573899657</v>
      </c>
      <c r="B48" s="60">
        <v>1.3937892573899657</v>
      </c>
      <c r="C48" s="60">
        <v>1.3940436777331253</v>
      </c>
      <c r="D48" s="60">
        <v>1.3944679215845963</v>
      </c>
      <c r="E48" s="60">
        <v>1.3949773598431436</v>
      </c>
      <c r="F48" s="60">
        <v>1.3953171943206688</v>
      </c>
      <c r="G48" s="60">
        <v>1.3970188621510953</v>
      </c>
      <c r="H48" s="60">
        <v>1.3987246588385227</v>
      </c>
      <c r="I48" s="60">
        <v>1.4004345425785134</v>
      </c>
      <c r="J48" s="60">
        <v>1.4012910038231199</v>
      </c>
      <c r="K48" s="60">
        <v>1.4021484708124659</v>
      </c>
      <c r="L48" s="60">
        <v>1.410777237047228</v>
      </c>
      <c r="M48" s="60">
        <v>1.42831148958446</v>
      </c>
      <c r="N48" s="60">
        <v>1.46429821470341</v>
      </c>
      <c r="O48" s="60">
        <v>1.5380858239502599</v>
      </c>
      <c r="P48" s="60">
        <v>1.5746408602544788</v>
      </c>
      <c r="Q48" s="60">
        <v>1.5925390080466892</v>
      </c>
      <c r="R48" s="60">
        <v>1.6100719328544324</v>
      </c>
      <c r="S48" s="60">
        <v>1.6271587894803115</v>
      </c>
      <c r="T48" s="60">
        <v>1.6437232210032411</v>
      </c>
      <c r="U48" s="60">
        <v>1.6596947216061444</v>
      </c>
      <c r="V48" s="60">
        <v>1.675009840273417</v>
      </c>
      <c r="W48" s="60">
        <v>1.6896131819998386</v>
      </c>
      <c r="X48" s="60">
        <v>1.7034581717853075</v>
      </c>
      <c r="Y48" s="60">
        <v>1.7165075578388644</v>
      </c>
      <c r="Z48" s="60">
        <v>1.7287336434401228</v>
      </c>
      <c r="AA48" s="60">
        <v>1.7401182508046644</v>
      </c>
      <c r="AB48" s="60">
        <v>1.750652433842441</v>
      </c>
      <c r="AC48" s="60">
        <v>1.7603359686311695</v>
      </c>
      <c r="AD48" s="60">
        <v>1.7691766596896086</v>
      </c>
      <c r="AE48" s="60">
        <v>1.7771895060338414</v>
      </c>
      <c r="AF48" s="60">
        <v>1.7843957732927389</v>
      </c>
      <c r="AG48" s="60">
        <v>1.7908220170526539</v>
      </c>
      <c r="AH48" s="60">
        <v>1.796499098660495</v>
      </c>
      <c r="AI48" s="60">
        <f t="shared" si="1"/>
        <v>1.796499098660495</v>
      </c>
      <c r="AJ48" s="13">
        <v>310</v>
      </c>
      <c r="AK48" s="14"/>
      <c r="AL48" s="14"/>
    </row>
    <row r="49" spans="1:38" ht="11.25" customHeight="1" x14ac:dyDescent="0.25">
      <c r="A49" s="60">
        <f t="shared" si="0"/>
        <v>1.3932626913220671</v>
      </c>
      <c r="B49" s="60">
        <v>1.3932626913220671</v>
      </c>
      <c r="C49" s="60">
        <v>1.3935073714478488</v>
      </c>
      <c r="D49" s="60">
        <v>1.3939153551744594</v>
      </c>
      <c r="E49" s="60">
        <v>1.3944052376921787</v>
      </c>
      <c r="F49" s="60">
        <v>1.3947320086018324</v>
      </c>
      <c r="G49" s="60">
        <v>1.3963680419932183</v>
      </c>
      <c r="H49" s="60">
        <v>1.3980076773252832</v>
      </c>
      <c r="I49" s="60">
        <v>1.3996508738959961</v>
      </c>
      <c r="J49" s="60">
        <v>1.4004737947477717</v>
      </c>
      <c r="K49" s="60">
        <v>1.4012975903499179</v>
      </c>
      <c r="L49" s="60">
        <v>1.4095824778073844</v>
      </c>
      <c r="M49" s="60">
        <v>1.4263906162615958</v>
      </c>
      <c r="N49" s="60">
        <v>1.4607816767754238</v>
      </c>
      <c r="O49" s="60">
        <v>1.5309440582128939</v>
      </c>
      <c r="P49" s="60">
        <v>1.5655873976263088</v>
      </c>
      <c r="Q49" s="60">
        <v>1.5825370648848258</v>
      </c>
      <c r="R49" s="60">
        <v>1.5991397609877089</v>
      </c>
      <c r="S49" s="60">
        <v>1.6153245913253726</v>
      </c>
      <c r="T49" s="60">
        <v>1.6310247770517823</v>
      </c>
      <c r="U49" s="60">
        <v>1.6461787514446085</v>
      </c>
      <c r="V49" s="60">
        <v>1.6607311190873151</v>
      </c>
      <c r="W49" s="60">
        <v>1.6746334471336168</v>
      </c>
      <c r="X49" s="60">
        <v>1.6878448646685642</v>
      </c>
      <c r="Y49" s="60">
        <v>1.7003324544493572</v>
      </c>
      <c r="Z49" s="60">
        <v>1.7120714306877058</v>
      </c>
      <c r="AA49" s="60">
        <v>1.7230451064018764</v>
      </c>
      <c r="AB49" s="60">
        <v>1.7332446634511705</v>
      </c>
      <c r="AC49" s="60">
        <v>1.7426687468695803</v>
      </c>
      <c r="AD49" s="60">
        <v>1.751322911841636</v>
      </c>
      <c r="AE49" s="60">
        <v>1.7592189561280667</v>
      </c>
      <c r="AF49" s="60">
        <v>1.7663741727465874</v>
      </c>
      <c r="AG49" s="60">
        <v>1.7728105573252304</v>
      </c>
      <c r="AH49" s="60">
        <v>1.7785540020977531</v>
      </c>
      <c r="AI49" s="60">
        <f t="shared" si="1"/>
        <v>1.7785540020977531</v>
      </c>
      <c r="AJ49" s="13">
        <v>315</v>
      </c>
      <c r="AK49" s="14"/>
      <c r="AL49" s="14"/>
    </row>
    <row r="50" spans="1:38" ht="11.25" customHeight="1" x14ac:dyDescent="0.25">
      <c r="A50" s="60">
        <f t="shared" si="0"/>
        <v>1.3927148205354005</v>
      </c>
      <c r="B50" s="60">
        <v>1.3927148205354005</v>
      </c>
      <c r="C50" s="60">
        <v>1.392950256595614</v>
      </c>
      <c r="D50" s="60">
        <v>1.393342810053223</v>
      </c>
      <c r="E50" s="60">
        <v>1.3938141375068924</v>
      </c>
      <c r="F50" s="60">
        <v>1.3941285149090243</v>
      </c>
      <c r="G50" s="60">
        <v>1.3957022995496615</v>
      </c>
      <c r="H50" s="60">
        <v>1.3972792183740943</v>
      </c>
      <c r="I50" s="60">
        <v>1.3988592320211686</v>
      </c>
      <c r="J50" s="60">
        <v>1.399650386948359</v>
      </c>
      <c r="K50" s="60">
        <v>1.4004423005649405</v>
      </c>
      <c r="L50" s="60">
        <v>1.4084020299950653</v>
      </c>
      <c r="M50" s="60">
        <v>1.4245260601207477</v>
      </c>
      <c r="N50" s="60">
        <v>1.4574237364553173</v>
      </c>
      <c r="O50" s="60">
        <v>1.5242289603027774</v>
      </c>
      <c r="P50" s="60">
        <v>1.5571138512909428</v>
      </c>
      <c r="Q50" s="60">
        <v>1.5731923368437808</v>
      </c>
      <c r="R50" s="60">
        <v>1.588940666962696</v>
      </c>
      <c r="S50" s="60">
        <v>1.604296440122396</v>
      </c>
      <c r="T50" s="60">
        <v>1.6192010303531685</v>
      </c>
      <c r="U50" s="60">
        <v>1.6336004738892846</v>
      </c>
      <c r="V50" s="60">
        <v>1.6474462372818097</v>
      </c>
      <c r="W50" s="60">
        <v>1.6606958451798104</v>
      </c>
      <c r="X50" s="60">
        <v>1.6733133513195104</v>
      </c>
      <c r="Y50" s="60">
        <v>1.6852696424801661</v>
      </c>
      <c r="Z50" s="60">
        <v>1.6965425720096381</v>
      </c>
      <c r="AA50" s="60">
        <v>1.7071169266036328</v>
      </c>
      <c r="AB50" s="60">
        <v>1.7169842368583557</v>
      </c>
      <c r="AC50" s="60">
        <v>1.7261424481983001</v>
      </c>
      <c r="AD50" s="60">
        <v>1.7345954736532398</v>
      </c>
      <c r="AE50" s="60">
        <v>1.7423526532901192</v>
      </c>
      <c r="AF50" s="60">
        <v>1.7494281467360233</v>
      </c>
      <c r="AG50" s="60">
        <v>1.75584028518122</v>
      </c>
      <c r="AH50" s="60">
        <v>1.7616109077140598</v>
      </c>
      <c r="AI50" s="60">
        <f t="shared" si="1"/>
        <v>1.7616109077140598</v>
      </c>
      <c r="AJ50" s="13">
        <v>320</v>
      </c>
      <c r="AK50" s="14"/>
      <c r="AL50" s="14"/>
    </row>
    <row r="51" spans="1:38" ht="11.25" customHeight="1" x14ac:dyDescent="0.25">
      <c r="A51" s="60">
        <f t="shared" si="0"/>
        <v>1.3921461819706824</v>
      </c>
      <c r="B51" s="60">
        <v>1.3921461819706824</v>
      </c>
      <c r="C51" s="60">
        <v>1.3923728380084668</v>
      </c>
      <c r="D51" s="60">
        <v>1.3927507372004946</v>
      </c>
      <c r="E51" s="60">
        <v>1.3932044450847922</v>
      </c>
      <c r="F51" s="60">
        <v>1.3935070552451487</v>
      </c>
      <c r="G51" s="60">
        <v>1.3950217537487364</v>
      </c>
      <c r="H51" s="60">
        <v>1.3965391709465673</v>
      </c>
      <c r="I51" s="60">
        <v>1.3980592689812399</v>
      </c>
      <c r="J51" s="60">
        <v>1.3988203113487312</v>
      </c>
      <c r="K51" s="60">
        <v>1.3995820095083136</v>
      </c>
      <c r="L51" s="60">
        <v>1.4072339736413009</v>
      </c>
      <c r="M51" s="60">
        <v>1.4227126785218718</v>
      </c>
      <c r="N51" s="60">
        <v>1.4542103776922235</v>
      </c>
      <c r="O51" s="60">
        <v>1.5178993268593184</v>
      </c>
      <c r="P51" s="60">
        <v>1.5491621967012521</v>
      </c>
      <c r="Q51" s="60">
        <v>1.5644382054427011</v>
      </c>
      <c r="R51" s="60">
        <v>1.5793996304624272</v>
      </c>
      <c r="S51" s="60">
        <v>1.5939913567255655</v>
      </c>
      <c r="T51" s="60">
        <v>1.6081617339931262</v>
      </c>
      <c r="U51" s="60">
        <v>1.6218632972430747</v>
      </c>
      <c r="V51" s="60">
        <v>1.6350533844538719</v>
      </c>
      <c r="W51" s="60">
        <v>1.6476946363329104</v>
      </c>
      <c r="X51" s="60">
        <v>1.6597553668206899</v>
      </c>
      <c r="Y51" s="60">
        <v>1.6712097979366054</v>
      </c>
      <c r="Z51" s="60">
        <v>1.6820381575879828</v>
      </c>
      <c r="AA51" s="60">
        <v>1.6922266440980727</v>
      </c>
      <c r="AB51" s="60">
        <v>1.701767266119786</v>
      </c>
      <c r="AC51" s="60">
        <v>1.7106575709672769</v>
      </c>
      <c r="AD51" s="60">
        <v>1.7189002779211935</v>
      </c>
      <c r="AE51" s="60">
        <v>1.7265028355223089</v>
      </c>
      <c r="AF51" s="60">
        <v>1.7334769231437743</v>
      </c>
      <c r="AG51" s="60">
        <v>1.7398379172234879</v>
      </c>
      <c r="AH51" s="60">
        <v>1.7456043415536642</v>
      </c>
      <c r="AI51" s="60">
        <f t="shared" si="1"/>
        <v>1.7456043415536642</v>
      </c>
      <c r="AJ51" s="13">
        <v>325</v>
      </c>
      <c r="AK51" s="14"/>
      <c r="AL51" s="14"/>
    </row>
    <row r="52" spans="1:38" ht="11.25" customHeight="1" x14ac:dyDescent="0.25">
      <c r="A52" s="60">
        <f t="shared" si="0"/>
        <v>1.3915573710408444</v>
      </c>
      <c r="B52" s="60">
        <v>1.3915573710408444</v>
      </c>
      <c r="C52" s="60">
        <v>1.3917756815690481</v>
      </c>
      <c r="D52" s="60">
        <v>1.3921396529857055</v>
      </c>
      <c r="E52" s="60">
        <v>1.3925766168897793</v>
      </c>
      <c r="F52" s="60">
        <v>1.3928680458395535</v>
      </c>
      <c r="G52" s="60">
        <v>1.3943266160584269</v>
      </c>
      <c r="H52" s="60">
        <v>1.3957875357244518</v>
      </c>
      <c r="I52" s="60">
        <v>1.3972507685879303</v>
      </c>
      <c r="J52" s="60">
        <v>1.3979832410260389</v>
      </c>
      <c r="K52" s="60">
        <v>1.3987162779801283</v>
      </c>
      <c r="L52" s="60">
        <v>1.406076660431729</v>
      </c>
      <c r="M52" s="60">
        <v>1.4209459150195889</v>
      </c>
      <c r="N52" s="60">
        <v>1.4511291540059841</v>
      </c>
      <c r="O52" s="60">
        <v>1.5119190286408115</v>
      </c>
      <c r="P52" s="60">
        <v>1.5416818079536869</v>
      </c>
      <c r="Q52" s="60">
        <v>1.5562166466780432</v>
      </c>
      <c r="R52" s="60">
        <v>1.5704513832522209</v>
      </c>
      <c r="S52" s="60">
        <v>1.5843371837574187</v>
      </c>
      <c r="T52" s="60">
        <v>1.5978283952207308</v>
      </c>
      <c r="U52" s="60">
        <v>1.6108831334144347</v>
      </c>
      <c r="V52" s="60">
        <v>1.6234637816180051</v>
      </c>
      <c r="W52" s="60">
        <v>1.6355373894974408</v>
      </c>
      <c r="X52" s="60">
        <v>1.6470759646610311</v>
      </c>
      <c r="Y52" s="60">
        <v>1.6580566530942604</v>
      </c>
      <c r="Z52" s="60">
        <v>1.6684618084524547</v>
      </c>
      <c r="AA52" s="60">
        <v>1.6782789539475755</v>
      </c>
      <c r="AB52" s="60">
        <v>1.6875006441179008</v>
      </c>
      <c r="AC52" s="60">
        <v>1.6961242369130363</v>
      </c>
      <c r="AD52" s="60">
        <v>1.7041515890715317</v>
      </c>
      <c r="AE52" s="60">
        <v>1.7115886895661054</v>
      </c>
      <c r="AF52" s="60">
        <v>1.7184452468582279</v>
      </c>
      <c r="AG52" s="60">
        <v>1.7247342458303185</v>
      </c>
      <c r="AH52" s="60">
        <v>1.7304714896138345</v>
      </c>
      <c r="AI52" s="60">
        <f t="shared" si="1"/>
        <v>1.7304714896138345</v>
      </c>
      <c r="AJ52" s="13">
        <v>330</v>
      </c>
      <c r="AK52" s="14"/>
      <c r="AL52" s="14"/>
    </row>
    <row r="53" spans="1:38" ht="11.25" customHeight="1" x14ac:dyDescent="0.25">
      <c r="A53" s="60">
        <f t="shared" si="0"/>
        <v>1.3909490352933869</v>
      </c>
      <c r="B53" s="60">
        <v>1.3909490352933869</v>
      </c>
      <c r="C53" s="60">
        <v>1.3911594076238252</v>
      </c>
      <c r="D53" s="60">
        <v>1.3915101321604688</v>
      </c>
      <c r="E53" s="60">
        <v>1.3919311725300538</v>
      </c>
      <c r="F53" s="60">
        <v>1.392211969277209</v>
      </c>
      <c r="G53" s="60">
        <v>1.3936171808019577</v>
      </c>
      <c r="H53" s="60">
        <v>1.3950244134924119</v>
      </c>
      <c r="I53" s="60">
        <v>1.3964336327648019</v>
      </c>
      <c r="J53" s="60">
        <v>1.3971389764633839</v>
      </c>
      <c r="K53" s="60">
        <v>1.3978448036757012</v>
      </c>
      <c r="L53" s="60">
        <v>1.4049286849328964</v>
      </c>
      <c r="M53" s="60">
        <v>1.4192217332936159</v>
      </c>
      <c r="N53" s="60">
        <v>1.4481689904737096</v>
      </c>
      <c r="O53" s="60">
        <v>1.5062562704152158</v>
      </c>
      <c r="P53" s="60">
        <v>1.5346283357447867</v>
      </c>
      <c r="Q53" s="60">
        <v>1.5484769122865194</v>
      </c>
      <c r="R53" s="60">
        <v>1.5620389031668269</v>
      </c>
      <c r="S53" s="60">
        <v>1.5752709128089502</v>
      </c>
      <c r="T53" s="60">
        <v>1.5881324673365296</v>
      </c>
      <c r="U53" s="60">
        <v>1.600586495930252</v>
      </c>
      <c r="V53" s="60">
        <v>1.6125997348108998</v>
      </c>
      <c r="W53" s="60">
        <v>1.6241430462932815</v>
      </c>
      <c r="X53" s="60">
        <v>1.6351916480984563</v>
      </c>
      <c r="Y53" s="60">
        <v>1.6457252509413849</v>
      </c>
      <c r="Z53" s="60">
        <v>1.655728105259282</v>
      </c>
      <c r="AA53" s="60">
        <v>1.6651889607202233</v>
      </c>
      <c r="AB53" s="60">
        <v>1.6741009447371502</v>
      </c>
      <c r="AC53" s="60">
        <v>1.6824613684828695</v>
      </c>
      <c r="AD53" s="60">
        <v>1.6902714707363813</v>
      </c>
      <c r="AE53" s="60">
        <v>1.6975361111943055</v>
      </c>
      <c r="AF53" s="60">
        <v>1.7042634255912097</v>
      </c>
      <c r="AG53" s="60">
        <v>1.7104644550920849</v>
      </c>
      <c r="AH53" s="60">
        <v>1.7161527619648185</v>
      </c>
      <c r="AI53" s="60">
        <f t="shared" si="1"/>
        <v>1.7161527619648185</v>
      </c>
      <c r="AJ53" s="13">
        <v>335</v>
      </c>
      <c r="AK53" s="14"/>
      <c r="AL53" s="14"/>
    </row>
    <row r="54" spans="1:38" ht="11.25" customHeight="1" x14ac:dyDescent="0.25">
      <c r="A54" s="60">
        <f t="shared" si="0"/>
        <v>1.390321868140761</v>
      </c>
      <c r="B54" s="60">
        <v>1.390321868140761</v>
      </c>
      <c r="C54" s="60">
        <v>1.3905246844922867</v>
      </c>
      <c r="D54" s="60">
        <v>1.3908628009942983</v>
      </c>
      <c r="E54" s="60">
        <v>1.391268687437629</v>
      </c>
      <c r="F54" s="60">
        <v>1.3915393668691944</v>
      </c>
      <c r="G54" s="60">
        <v>1.3928938159235507</v>
      </c>
      <c r="H54" s="60">
        <v>1.3942499941977691</v>
      </c>
      <c r="I54" s="60">
        <v>1.3956078687970201</v>
      </c>
      <c r="J54" s="60">
        <v>1.396287431854641</v>
      </c>
      <c r="K54" s="60">
        <v>1.3969674065185875</v>
      </c>
      <c r="L54" s="60">
        <v>1.4037888586447307</v>
      </c>
      <c r="M54" s="60">
        <v>1.4175365590675313</v>
      </c>
      <c r="N54" s="60">
        <v>1.4453200142970677</v>
      </c>
      <c r="O54" s="60">
        <v>1.5008829762881233</v>
      </c>
      <c r="P54" s="60">
        <v>1.5279627827137459</v>
      </c>
      <c r="Q54" s="60">
        <v>1.5411744452808724</v>
      </c>
      <c r="R54" s="60">
        <v>1.5541121766551989</v>
      </c>
      <c r="S54" s="60">
        <v>1.5667373091582737</v>
      </c>
      <c r="T54" s="60">
        <v>1.5790138600553272</v>
      </c>
      <c r="U54" s="60">
        <v>1.590908927014248</v>
      </c>
      <c r="V54" s="60">
        <v>1.6023930162148705</v>
      </c>
      <c r="W54" s="60">
        <v>1.613440297926124</v>
      </c>
      <c r="X54" s="60">
        <v>1.6240287865886529</v>
      </c>
      <c r="Y54" s="60">
        <v>1.6341404446558385</v>
      </c>
      <c r="Z54" s="60">
        <v>1.6437612116136817</v>
      </c>
      <c r="AA54" s="60">
        <v>1.6528809616643423</v>
      </c>
      <c r="AB54" s="60">
        <v>1.6614933954504671</v>
      </c>
      <c r="AC54" s="60">
        <v>1.6695958728409379</v>
      </c>
      <c r="AD54" s="60">
        <v>1.6771891951184674</v>
      </c>
      <c r="AE54" s="60">
        <v>1.6842773458442206</v>
      </c>
      <c r="AF54" s="60">
        <v>1.6908672001866052</v>
      </c>
      <c r="AG54" s="60">
        <v>1.6969682125828063</v>
      </c>
      <c r="AH54" s="60">
        <v>1.7025920922761424</v>
      </c>
      <c r="AI54" s="60">
        <f t="shared" si="1"/>
        <v>1.7025920922761424</v>
      </c>
      <c r="AJ54" s="13">
        <v>340</v>
      </c>
      <c r="AK54" s="14"/>
      <c r="AL54" s="14"/>
    </row>
    <row r="55" spans="1:38" ht="11.25" customHeight="1" x14ac:dyDescent="0.25">
      <c r="A55" s="60">
        <f t="shared" si="0"/>
        <v>1.3896766027167831</v>
      </c>
      <c r="B55" s="60">
        <v>1.3896766027167831</v>
      </c>
      <c r="C55" s="60">
        <v>1.3898722221265631</v>
      </c>
      <c r="D55" s="60">
        <v>1.390198330602108</v>
      </c>
      <c r="E55" s="60">
        <v>1.390589785790439</v>
      </c>
      <c r="F55" s="60">
        <v>1.3908508313003587</v>
      </c>
      <c r="G55" s="60">
        <v>1.3921569542130128</v>
      </c>
      <c r="H55" s="60">
        <v>1.3934645466657103</v>
      </c>
      <c r="I55" s="60">
        <v>1.3947735774486976</v>
      </c>
      <c r="J55" s="60">
        <v>1.3954286223890644</v>
      </c>
      <c r="K55" s="60">
        <v>1.3960840150893918</v>
      </c>
      <c r="L55" s="60">
        <v>1.4026561865516833</v>
      </c>
      <c r="M55" s="60">
        <v>1.4158872288766553</v>
      </c>
      <c r="N55" s="60">
        <v>1.4425734091701272</v>
      </c>
      <c r="O55" s="60">
        <v>1.4957742761938437</v>
      </c>
      <c r="P55" s="60">
        <v>1.5216507367260621</v>
      </c>
      <c r="Q55" s="60">
        <v>1.5342699826134409</v>
      </c>
      <c r="R55" s="60">
        <v>1.5466271758123817</v>
      </c>
      <c r="S55" s="60">
        <v>1.5586877745134904</v>
      </c>
      <c r="T55" s="60">
        <v>1.5704197056335563</v>
      </c>
      <c r="U55" s="60">
        <v>1.5817936906106271</v>
      </c>
      <c r="V55" s="60">
        <v>1.5927835124800911</v>
      </c>
      <c r="W55" s="60">
        <v>1.6033662207628419</v>
      </c>
      <c r="X55" s="60">
        <v>1.6135222725004847</v>
      </c>
      <c r="Y55" s="60">
        <v>1.623235609519103</v>
      </c>
      <c r="Z55" s="60">
        <v>1.632493673665802</v>
      </c>
      <c r="AA55" s="60">
        <v>1.6412873633091518</v>
      </c>
      <c r="AB55" s="60">
        <v>1.6496109357863289</v>
      </c>
      <c r="AC55" s="60">
        <v>1.6574618616710344</v>
      </c>
      <c r="AD55" s="60">
        <v>1.6648406376822908</v>
      </c>
      <c r="AE55" s="60">
        <v>1.6717505657173681</v>
      </c>
      <c r="AF55" s="60">
        <v>1.6781975058487397</v>
      </c>
      <c r="AG55" s="60">
        <v>1.6841896111702936</v>
      </c>
      <c r="AH55" s="60">
        <v>1.6897370521274717</v>
      </c>
      <c r="AI55" s="60">
        <f t="shared" si="1"/>
        <v>1.6897370521274717</v>
      </c>
      <c r="AJ55" s="13">
        <v>345</v>
      </c>
      <c r="AK55" s="14"/>
      <c r="AL55" s="14"/>
    </row>
    <row r="56" spans="1:38" ht="11.25" customHeight="1" x14ac:dyDescent="0.25">
      <c r="A56" s="60">
        <f t="shared" si="0"/>
        <v>1.3890140059088356</v>
      </c>
      <c r="B56" s="60">
        <v>1.3890140059088356</v>
      </c>
      <c r="C56" s="60">
        <v>1.3892027659681978</v>
      </c>
      <c r="D56" s="60">
        <v>1.389517430505061</v>
      </c>
      <c r="E56" s="60">
        <v>1.3898951337121948</v>
      </c>
      <c r="F56" s="60">
        <v>1.3901469995849369</v>
      </c>
      <c r="G56" s="60">
        <v>1.3914070849966798</v>
      </c>
      <c r="H56" s="60">
        <v>1.3926684089518084</v>
      </c>
      <c r="I56" s="60">
        <v>1.3939309419015227</v>
      </c>
      <c r="J56" s="60">
        <v>1.394562652454121</v>
      </c>
      <c r="K56" s="60">
        <v>1.3951946540733555</v>
      </c>
      <c r="L56" s="60">
        <v>1.4015298458971632</v>
      </c>
      <c r="M56" s="60">
        <v>1.4142709447404147</v>
      </c>
      <c r="N56" s="60">
        <v>1.439921289578439</v>
      </c>
      <c r="O56" s="60">
        <v>1.4909080745276357</v>
      </c>
      <c r="P56" s="60">
        <v>1.5156617314245795</v>
      </c>
      <c r="Q56" s="60">
        <v>1.5277288083520002</v>
      </c>
      <c r="R56" s="60">
        <v>1.5395450078714983</v>
      </c>
      <c r="S56" s="60">
        <v>1.5510794013902047</v>
      </c>
      <c r="T56" s="60">
        <v>1.5623033315659778</v>
      </c>
      <c r="U56" s="60">
        <v>1.5731906813470342</v>
      </c>
      <c r="V56" s="60">
        <v>1.5837180917364904</v>
      </c>
      <c r="W56" s="60">
        <v>1.5938651260493044</v>
      </c>
      <c r="X56" s="60">
        <v>1.6036143798999185</v>
      </c>
      <c r="Y56" s="60">
        <v>1.6129515375443495</v>
      </c>
      <c r="Z56" s="60">
        <v>1.6218653764849202</v>
      </c>
      <c r="AA56" s="60">
        <v>1.6303477234123407</v>
      </c>
      <c r="AB56" s="60">
        <v>1.6383933655873513</v>
      </c>
      <c r="AC56" s="60">
        <v>1.6459999226279514</v>
      </c>
      <c r="AD56" s="60">
        <v>1.6531676843428047</v>
      </c>
      <c r="AE56" s="60">
        <v>1.6598994207150475</v>
      </c>
      <c r="AF56" s="60">
        <v>1.6662001703796889</v>
      </c>
      <c r="AG56" s="60">
        <v>1.6720770139500234</v>
      </c>
      <c r="AH56" s="60">
        <v>1.6775388383447132</v>
      </c>
      <c r="AI56" s="60">
        <f t="shared" si="1"/>
        <v>1.6775388383447132</v>
      </c>
      <c r="AJ56" s="13">
        <v>350</v>
      </c>
      <c r="AK56" s="14"/>
      <c r="AL56" s="14"/>
    </row>
    <row r="57" spans="1:38" ht="11.25" customHeight="1" x14ac:dyDescent="0.25">
      <c r="A57" s="60">
        <f t="shared" si="0"/>
        <v>1.3883348726076814</v>
      </c>
      <c r="B57" s="60">
        <v>1.3883348726076814</v>
      </c>
      <c r="C57" s="60">
        <v>1.3885170910412694</v>
      </c>
      <c r="D57" s="60">
        <v>1.3888208424594974</v>
      </c>
      <c r="E57" s="60">
        <v>1.3891854327792506</v>
      </c>
      <c r="F57" s="60">
        <v>1.3894285463556315</v>
      </c>
      <c r="G57" s="60">
        <v>1.3906447463002631</v>
      </c>
      <c r="H57" s="60">
        <v>1.3918619793154678</v>
      </c>
      <c r="I57" s="60">
        <v>1.393080217474264</v>
      </c>
      <c r="J57" s="60">
        <v>1.3936897047033945</v>
      </c>
      <c r="K57" s="60">
        <v>1.3942994326599916</v>
      </c>
      <c r="L57" s="60">
        <v>1.4004091669477601</v>
      </c>
      <c r="M57" s="60">
        <v>1.4126852339514229</v>
      </c>
      <c r="N57" s="60">
        <v>1.437356591878538</v>
      </c>
      <c r="O57" s="60">
        <v>1.4862646859018476</v>
      </c>
      <c r="P57" s="60">
        <v>1.5099687100118999</v>
      </c>
      <c r="Q57" s="60">
        <v>1.521520128715087</v>
      </c>
      <c r="R57" s="60">
        <v>1.5328312042531878</v>
      </c>
      <c r="S57" s="60">
        <v>1.5438741827118279</v>
      </c>
      <c r="T57" s="60">
        <v>1.5546234010395334</v>
      </c>
      <c r="U57" s="60">
        <v>1.5650555096563854</v>
      </c>
      <c r="V57" s="60">
        <v>1.5751496502183342</v>
      </c>
      <c r="W57" s="60">
        <v>1.584887587194445</v>
      </c>
      <c r="X57" s="60">
        <v>1.5942537931172647</v>
      </c>
      <c r="Y57" s="60">
        <v>1.6032354884713955</v>
      </c>
      <c r="Z57" s="60">
        <v>1.6118226381838443</v>
      </c>
      <c r="AA57" s="60">
        <v>1.620007907564172</v>
      </c>
      <c r="AB57" s="60">
        <v>1.6277865813035253</v>
      </c>
      <c r="AC57" s="60">
        <v>1.6351564497672557</v>
      </c>
      <c r="AD57" s="60">
        <v>1.6421176672932758</v>
      </c>
      <c r="AE57" s="60">
        <v>1.648672587526002</v>
      </c>
      <c r="AF57" s="60">
        <v>1.6548255809670507</v>
      </c>
      <c r="AG57" s="60">
        <v>1.6605828399086591</v>
      </c>
      <c r="AH57" s="60">
        <v>1.6659521757424469</v>
      </c>
      <c r="AI57" s="60">
        <f t="shared" si="1"/>
        <v>1.6659521757424469</v>
      </c>
      <c r="AJ57" s="13">
        <v>355</v>
      </c>
      <c r="AK57" s="14"/>
      <c r="AL57" s="14"/>
    </row>
    <row r="58" spans="1:38" ht="11.25" customHeight="1" x14ac:dyDescent="0.25">
      <c r="A58" s="60">
        <f t="shared" si="0"/>
        <v>1.3876400202091763</v>
      </c>
      <c r="B58" s="60">
        <v>1.3876400202091763</v>
      </c>
      <c r="C58" s="60">
        <v>1.3878159963138983</v>
      </c>
      <c r="D58" s="60">
        <v>1.3881093345821491</v>
      </c>
      <c r="E58" s="60">
        <v>1.3884614138579179</v>
      </c>
      <c r="F58" s="60">
        <v>1.3886961775063511</v>
      </c>
      <c r="G58" s="60">
        <v>1.3898705174866608</v>
      </c>
      <c r="H58" s="60">
        <v>1.3910457077985663</v>
      </c>
      <c r="I58" s="60">
        <v>1.3922217220868998</v>
      </c>
      <c r="J58" s="60">
        <v>1.3928100299423627</v>
      </c>
      <c r="K58" s="60">
        <v>1.3933985338362753</v>
      </c>
      <c r="L58" s="60">
        <v>1.3992936155476221</v>
      </c>
      <c r="M58" s="60">
        <v>1.4111279133205299</v>
      </c>
      <c r="N58" s="60">
        <v>1.4348729795773538</v>
      </c>
      <c r="O58" s="60">
        <v>1.481826526086903</v>
      </c>
      <c r="P58" s="60">
        <v>1.5045475732927938</v>
      </c>
      <c r="Q58" s="60">
        <v>1.5156165463843441</v>
      </c>
      <c r="R58" s="60">
        <v>1.5264551232354513</v>
      </c>
      <c r="S58" s="60">
        <v>1.5370383478694041</v>
      </c>
      <c r="T58" s="60">
        <v>1.5473431903525032</v>
      </c>
      <c r="U58" s="60">
        <v>1.5573487312742711</v>
      </c>
      <c r="V58" s="60">
        <v>1.567036306947555</v>
      </c>
      <c r="W58" s="60">
        <v>1.5763896146228418</v>
      </c>
      <c r="X58" s="60">
        <v>1.5853947779977269</v>
      </c>
      <c r="Y58" s="60">
        <v>1.5940403741873288</v>
      </c>
      <c r="Z58" s="60">
        <v>1.6023174241028673</v>
      </c>
      <c r="AA58" s="60">
        <v>1.6102193488581822</v>
      </c>
      <c r="AB58" s="60">
        <v>1.617741895389798</v>
      </c>
      <c r="AC58" s="60">
        <v>1.6248830349276022</v>
      </c>
      <c r="AD58" s="60">
        <v>1.6316428382874637</v>
      </c>
      <c r="AE58" s="60">
        <v>1.6380233321687441</v>
      </c>
      <c r="AF58" s="60">
        <v>1.6440283407265663</v>
      </c>
      <c r="AG58" s="60">
        <v>1.6496633166525121</v>
      </c>
      <c r="AH58" s="60">
        <v>1.6549351658448059</v>
      </c>
      <c r="AI58" s="60">
        <f t="shared" si="1"/>
        <v>1.6549351658448059</v>
      </c>
      <c r="AJ58" s="13">
        <v>360</v>
      </c>
      <c r="AK58" s="14"/>
      <c r="AL58" s="14"/>
    </row>
    <row r="59" spans="1:38" ht="11.25" customHeight="1" x14ac:dyDescent="0.25">
      <c r="A59" s="60">
        <f t="shared" si="0"/>
        <v>1.386930283395124</v>
      </c>
      <c r="B59" s="60">
        <v>1.386930283395124</v>
      </c>
      <c r="C59" s="60">
        <v>1.3871002993534194</v>
      </c>
      <c r="D59" s="60">
        <v>1.3873836957935821</v>
      </c>
      <c r="E59" s="60">
        <v>1.3877238312900921</v>
      </c>
      <c r="F59" s="60">
        <v>1.387950624203681</v>
      </c>
      <c r="G59" s="60">
        <v>1.3890850123690111</v>
      </c>
      <c r="H59" s="60">
        <v>1.3902200883934079</v>
      </c>
      <c r="I59" s="60">
        <v>1.3913558274359092</v>
      </c>
      <c r="J59" s="60">
        <v>1.3919239377892516</v>
      </c>
      <c r="K59" s="60">
        <v>1.3924922045208408</v>
      </c>
      <c r="L59" s="60">
        <v>1.3981827772908613</v>
      </c>
      <c r="M59" s="60">
        <v>1.4095970573204537</v>
      </c>
      <c r="N59" s="60">
        <v>1.4324647606862797</v>
      </c>
      <c r="O59" s="60">
        <v>1.4775778485820059</v>
      </c>
      <c r="P59" s="60">
        <v>1.4993767968998817</v>
      </c>
      <c r="Q59" s="60">
        <v>1.5099936161747318</v>
      </c>
      <c r="R59" s="60">
        <v>1.5203894456633187</v>
      </c>
      <c r="S59" s="60">
        <v>1.5305418023796231</v>
      </c>
      <c r="T59" s="60">
        <v>1.5404299787360125</v>
      </c>
      <c r="U59" s="60">
        <v>1.5500351956051146</v>
      </c>
      <c r="V59" s="60">
        <v>1.5593407209235166</v>
      </c>
      <c r="W59" s="60">
        <v>1.5683319535838998</v>
      </c>
      <c r="X59" s="60">
        <v>1.5769964731732664</v>
      </c>
      <c r="Y59" s="60">
        <v>1.5853240568272544</v>
      </c>
      <c r="Z59" s="60">
        <v>1.5933066650834791</v>
      </c>
      <c r="AA59" s="60">
        <v>1.600938399132164</v>
      </c>
      <c r="AB59" s="60">
        <v>1.6082154322819555</v>
      </c>
      <c r="AC59" s="60">
        <v>1.6151359187837213</v>
      </c>
      <c r="AD59" s="60">
        <v>1.6216998833851684</v>
      </c>
      <c r="AE59" s="60">
        <v>1.6279090951240767</v>
      </c>
      <c r="AF59" s="60">
        <v>1.6337669289083323</v>
      </c>
      <c r="AG59" s="60">
        <v>1.6392782183796386</v>
      </c>
      <c r="AH59" s="60">
        <v>1.6444491034204167</v>
      </c>
      <c r="AI59" s="60">
        <f t="shared" si="1"/>
        <v>1.6444491034204167</v>
      </c>
      <c r="AJ59" s="13">
        <v>365</v>
      </c>
      <c r="AK59" s="14"/>
      <c r="AL59" s="14"/>
    </row>
    <row r="60" spans="1:38" ht="11.25" customHeight="1" x14ac:dyDescent="0.25">
      <c r="A60" s="60">
        <f t="shared" si="0"/>
        <v>1.3862065092140117</v>
      </c>
      <c r="B60" s="60">
        <v>1.3862065092140117</v>
      </c>
      <c r="C60" s="60">
        <v>1.3863708312942591</v>
      </c>
      <c r="D60" s="60">
        <v>1.3866447305960259</v>
      </c>
      <c r="E60" s="60">
        <v>1.3869734574397876</v>
      </c>
      <c r="F60" s="60">
        <v>1.3871926372772494</v>
      </c>
      <c r="G60" s="60">
        <v>1.3882888727963782</v>
      </c>
      <c r="H60" s="60">
        <v>1.3893856517834522</v>
      </c>
      <c r="I60" s="60">
        <v>1.3904829508490739</v>
      </c>
      <c r="J60" s="60">
        <v>1.3910317880712904</v>
      </c>
      <c r="K60" s="60">
        <v>1.3915807464911869</v>
      </c>
      <c r="L60" s="60">
        <v>1.3970763431619659</v>
      </c>
      <c r="M60" s="60">
        <v>1.4080909696551678</v>
      </c>
      <c r="N60" s="60">
        <v>1.4301268153901918</v>
      </c>
      <c r="O60" s="60">
        <v>1.4735045191200029</v>
      </c>
      <c r="P60" s="60">
        <v>1.4944371056428369</v>
      </c>
      <c r="Q60" s="60">
        <v>1.5046294677518135</v>
      </c>
      <c r="R60" s="60">
        <v>1.5146097472655071</v>
      </c>
      <c r="S60" s="60">
        <v>1.5243576528629694</v>
      </c>
      <c r="T60" s="60">
        <v>1.53385453087886</v>
      </c>
      <c r="U60" s="60">
        <v>1.5430834923953718</v>
      </c>
      <c r="V60" s="60">
        <v>1.5520295100609602</v>
      </c>
      <c r="W60" s="60">
        <v>1.560679484699544</v>
      </c>
      <c r="X60" s="60">
        <v>1.5690222824421003</v>
      </c>
      <c r="Y60" s="60">
        <v>1.5770487436878382</v>
      </c>
      <c r="Z60" s="60">
        <v>1.5847516656855232</v>
      </c>
      <c r="AA60" s="60">
        <v>1.5921257609208788</v>
      </c>
      <c r="AB60" s="60">
        <v>1.5991675938076571</v>
      </c>
      <c r="AC60" s="60">
        <v>1.6058754984117105</v>
      </c>
      <c r="AD60" s="60">
        <v>1.6122494800920071</v>
      </c>
      <c r="AE60" s="60">
        <v>1.6182911040223762</v>
      </c>
      <c r="AF60" s="60">
        <v>1.6240033735652475</v>
      </c>
      <c r="AG60" s="60">
        <v>1.6293906014071911</v>
      </c>
      <c r="AH60" s="60">
        <v>1.6344582762407729</v>
      </c>
      <c r="AI60" s="60">
        <f t="shared" si="1"/>
        <v>1.6344582762407729</v>
      </c>
      <c r="AJ60" s="13">
        <v>370</v>
      </c>
      <c r="AK60" s="14"/>
      <c r="AL60" s="14"/>
    </row>
    <row r="61" spans="1:38" ht="11.25" customHeight="1" x14ac:dyDescent="0.25">
      <c r="A61" s="60">
        <f t="shared" si="0"/>
        <v>1.3854695524764242</v>
      </c>
      <c r="B61" s="60">
        <v>1.3854695524764242</v>
      </c>
      <c r="C61" s="60">
        <v>1.385628432131838</v>
      </c>
      <c r="D61" s="60">
        <v>1.3858932541963931</v>
      </c>
      <c r="E61" s="60">
        <v>1.3862110776082983</v>
      </c>
      <c r="F61" s="60">
        <v>1.3864229819946097</v>
      </c>
      <c r="G61" s="60">
        <v>1.3874827627066024</v>
      </c>
      <c r="H61" s="60">
        <v>1.3885429586393214</v>
      </c>
      <c r="I61" s="60">
        <v>1.3896035477892652</v>
      </c>
      <c r="J61" s="60">
        <v>1.3901339829189494</v>
      </c>
      <c r="K61" s="60">
        <v>1.3906645080593159</v>
      </c>
      <c r="L61" s="60">
        <v>1.3959740965129728</v>
      </c>
      <c r="M61" s="60">
        <v>1.4066081578512597</v>
      </c>
      <c r="N61" s="60">
        <v>1.4278545325667438</v>
      </c>
      <c r="O61" s="60">
        <v>1.4695938218711782</v>
      </c>
      <c r="P61" s="60">
        <v>1.4897111952749535</v>
      </c>
      <c r="Q61" s="60">
        <v>1.4995044838968807</v>
      </c>
      <c r="R61" s="60">
        <v>1.5090941343784412</v>
      </c>
      <c r="S61" s="60">
        <v>1.5184618026451355</v>
      </c>
      <c r="T61" s="60">
        <v>1.5275906562751189</v>
      </c>
      <c r="U61" s="60">
        <v>1.5364654800641524</v>
      </c>
      <c r="V61" s="60">
        <v>1.5450727549550292</v>
      </c>
      <c r="W61" s="60">
        <v>1.5534007106130898</v>
      </c>
      <c r="X61" s="60">
        <v>1.5614393524812802</v>
      </c>
      <c r="Y61" s="60">
        <v>1.5691804646141689</v>
      </c>
      <c r="Z61" s="60">
        <v>1.5766175899729433</v>
      </c>
      <c r="AA61" s="60">
        <v>1.5837459901674145</v>
      </c>
      <c r="AB61" s="60">
        <v>1.5905625868621136</v>
      </c>
      <c r="AC61" s="60">
        <v>1.5970658872268735</v>
      </c>
      <c r="AD61" s="60">
        <v>1.6032558959124246</v>
      </c>
      <c r="AE61" s="60">
        <v>1.6091340160721201</v>
      </c>
      <c r="AF61" s="60">
        <v>1.6147029419356009</v>
      </c>
      <c r="AG61" s="60">
        <v>1.6199665453727137</v>
      </c>
      <c r="AH61" s="60">
        <v>1.6249297587708382</v>
      </c>
      <c r="AI61" s="60">
        <f t="shared" si="1"/>
        <v>1.6249297587708382</v>
      </c>
      <c r="AJ61" s="13">
        <v>375</v>
      </c>
      <c r="AK61" s="14"/>
      <c r="AL61" s="14"/>
    </row>
    <row r="62" spans="1:38" ht="11.25" customHeight="1" x14ac:dyDescent="0.25">
      <c r="A62" s="60">
        <f t="shared" si="0"/>
        <v>1.3847202714745794</v>
      </c>
      <c r="B62" s="60">
        <v>1.3847202714745794</v>
      </c>
      <c r="C62" s="60">
        <v>1.3848739463506468</v>
      </c>
      <c r="D62" s="60">
        <v>1.3851300879804569</v>
      </c>
      <c r="E62" s="60">
        <v>1.3854374853212628</v>
      </c>
      <c r="F62" s="60">
        <v>1.3856424332220874</v>
      </c>
      <c r="G62" s="60">
        <v>1.3866673626381405</v>
      </c>
      <c r="H62" s="60">
        <v>1.3876925934514737</v>
      </c>
      <c r="I62" s="60">
        <v>1.3887181049773445</v>
      </c>
      <c r="J62" s="60">
        <v>1.3892309595223402</v>
      </c>
      <c r="K62" s="60">
        <v>1.3897438764538146</v>
      </c>
      <c r="L62" s="60">
        <v>1.3948759012607128</v>
      </c>
      <c r="M62" s="60">
        <v>1.4051473105254737</v>
      </c>
      <c r="N62" s="60">
        <v>1.4256437539306879</v>
      </c>
      <c r="O62" s="60">
        <v>1.4658342922650496</v>
      </c>
      <c r="P62" s="60">
        <v>1.4851834938191342</v>
      </c>
      <c r="Q62" s="60">
        <v>1.4946010250256609</v>
      </c>
      <c r="R62" s="60">
        <v>1.5038229324143517</v>
      </c>
      <c r="S62" s="60">
        <v>1.5128326060997739</v>
      </c>
      <c r="T62" s="60">
        <v>1.5216148325274717</v>
      </c>
      <c r="U62" s="60">
        <v>1.5301558821495362</v>
      </c>
      <c r="V62" s="60">
        <v>1.538443573631286</v>
      </c>
      <c r="W62" s="60">
        <v>1.5464673150161898</v>
      </c>
      <c r="X62" s="60">
        <v>1.5542181227326537</v>
      </c>
      <c r="Y62" s="60">
        <v>1.5616886197048503</v>
      </c>
      <c r="Z62" s="60">
        <v>1.568873014133475</v>
      </c>
      <c r="AA62" s="60">
        <v>1.5757670607464012</v>
      </c>
      <c r="AB62" s="60">
        <v>1.58236800648986</v>
      </c>
      <c r="AC62" s="60">
        <v>1.5886745227438803</v>
      </c>
      <c r="AD62" s="60">
        <v>1.5946866262065411</v>
      </c>
      <c r="AE62" s="60">
        <v>1.6004055906046895</v>
      </c>
      <c r="AF62" s="60">
        <v>1.6058338513581627</v>
      </c>
      <c r="AG62" s="60">
        <v>1.610974905254124</v>
      </c>
      <c r="AH62" s="60">
        <v>1.6158332070820369</v>
      </c>
      <c r="AI62" s="60">
        <f t="shared" si="1"/>
        <v>1.6158332070820369</v>
      </c>
      <c r="AJ62" s="13">
        <v>380</v>
      </c>
      <c r="AK62" s="14"/>
      <c r="AL62" s="14"/>
    </row>
    <row r="63" spans="1:38" ht="11.25" customHeight="1" x14ac:dyDescent="0.25">
      <c r="A63" s="60">
        <f t="shared" si="0"/>
        <v>1.3839595240306783</v>
      </c>
      <c r="B63" s="60">
        <v>1.3839595240306783</v>
      </c>
      <c r="C63" s="60">
        <v>1.3841082188900602</v>
      </c>
      <c r="D63" s="60">
        <v>1.3843560553398331</v>
      </c>
      <c r="E63" s="60">
        <v>1.3846534779869293</v>
      </c>
      <c r="F63" s="60">
        <v>1.3848517709692767</v>
      </c>
      <c r="G63" s="60">
        <v>1.3858433646902035</v>
      </c>
      <c r="H63" s="60">
        <v>1.3868351588798049</v>
      </c>
      <c r="I63" s="60">
        <v>1.3878271341046897</v>
      </c>
      <c r="J63" s="60">
        <v>1.3883231835151388</v>
      </c>
      <c r="K63" s="60">
        <v>1.3888192708684097</v>
      </c>
      <c r="L63" s="60">
        <v>1.3937816912003171</v>
      </c>
      <c r="M63" s="60">
        <v>1.4037072770291765</v>
      </c>
      <c r="N63" s="60">
        <v>1.4234907247732038</v>
      </c>
      <c r="O63" s="60">
        <v>1.4622155722671715</v>
      </c>
      <c r="P63" s="60">
        <v>1.4808399560557326</v>
      </c>
      <c r="Q63" s="60">
        <v>1.4899031924066046</v>
      </c>
      <c r="R63" s="60">
        <v>1.4987784184119961</v>
      </c>
      <c r="S63" s="60">
        <v>1.5074505720758999</v>
      </c>
      <c r="T63" s="60">
        <v>1.515905882129845</v>
      </c>
      <c r="U63" s="60">
        <v>1.5241319408083995</v>
      </c>
      <c r="V63" s="60">
        <v>1.5321177559164096</v>
      </c>
      <c r="W63" s="60">
        <v>1.5398537827077836</v>
      </c>
      <c r="X63" s="60">
        <v>1.5473319364738745</v>
      </c>
      <c r="Y63" s="60">
        <v>1.5545455870477933</v>
      </c>
      <c r="Z63" s="60">
        <v>1.5614895366726333</v>
      </c>
      <c r="AA63" s="60">
        <v>1.5681599828619273</v>
      </c>
      <c r="AB63" s="60">
        <v>1.5745544680059425</v>
      </c>
      <c r="AC63" s="60">
        <v>1.5806718175536401</v>
      </c>
      <c r="AD63" s="60">
        <v>1.5865120686328771</v>
      </c>
      <c r="AE63" s="60">
        <v>1.5920763909655176</v>
      </c>
      <c r="AF63" s="60">
        <v>1.5973670018937167</v>
      </c>
      <c r="AG63" s="60">
        <v>1.602387077262688</v>
      </c>
      <c r="AH63" s="60">
        <v>1.6071406598074338</v>
      </c>
      <c r="AI63" s="60">
        <f t="shared" si="1"/>
        <v>1.6071406598074338</v>
      </c>
      <c r="AJ63" s="13">
        <v>385</v>
      </c>
      <c r="AK63" s="14"/>
      <c r="AL63" s="14"/>
    </row>
    <row r="64" spans="1:38" ht="11.25" customHeight="1" x14ac:dyDescent="0.25">
      <c r="A64" s="60">
        <f t="shared" si="0"/>
        <v>1.3831881638745545</v>
      </c>
      <c r="B64" s="60">
        <v>1.3831881638745545</v>
      </c>
      <c r="C64" s="60">
        <v>1.3833320914473968</v>
      </c>
      <c r="D64" s="60">
        <v>1.3835719778495981</v>
      </c>
      <c r="E64" s="60">
        <v>1.3838598529214066</v>
      </c>
      <c r="F64" s="60">
        <v>1.3840517763115976</v>
      </c>
      <c r="G64" s="60">
        <v>1.3850114679182768</v>
      </c>
      <c r="H64" s="60">
        <v>1.3859712705993625</v>
      </c>
      <c r="I64" s="60">
        <v>1.3869311661060519</v>
      </c>
      <c r="J64" s="60">
        <v>1.3874111429522846</v>
      </c>
      <c r="K64" s="60">
        <v>1.3878911361386399</v>
      </c>
      <c r="L64" s="60">
        <v>1.3926914603415188</v>
      </c>
      <c r="M64" s="60">
        <v>1.4022870492108135</v>
      </c>
      <c r="N64" s="60">
        <v>1.4213920504262847</v>
      </c>
      <c r="O64" s="60">
        <v>1.4587282846820835</v>
      </c>
      <c r="P64" s="60">
        <v>1.4766678859365974</v>
      </c>
      <c r="Q64" s="60">
        <v>1.4853966239063487</v>
      </c>
      <c r="R64" s="60">
        <v>1.4939445905976734</v>
      </c>
      <c r="S64" s="60">
        <v>1.5022981085221603</v>
      </c>
      <c r="T64" s="60">
        <v>1.5104446941588074</v>
      </c>
      <c r="U64" s="60">
        <v>1.5183731182943341</v>
      </c>
      <c r="V64" s="60">
        <v>1.5260734480655049</v>
      </c>
      <c r="W64" s="60">
        <v>1.5335370712774936</v>
      </c>
      <c r="X64" s="60">
        <v>1.5407567038862799</v>
      </c>
      <c r="Y64" s="60">
        <v>1.5477263817846245</v>
      </c>
      <c r="Z64" s="60">
        <v>1.5544414382237839</v>
      </c>
      <c r="AA64" s="60">
        <v>1.5608984683420069</v>
      </c>
      <c r="AB64" s="60">
        <v>1.567095282361934</v>
      </c>
      <c r="AC64" s="60">
        <v>1.5730308490682821</v>
      </c>
      <c r="AD64" s="60">
        <v>1.5787052311900085</v>
      </c>
      <c r="AE64" s="60">
        <v>1.5841195142924733</v>
      </c>
      <c r="AF64" s="60">
        <v>1.5892757307389369</v>
      </c>
      <c r="AG64" s="60">
        <v>1.5941767802109326</v>
      </c>
      <c r="AH64" s="60">
        <v>1.5988263481869516</v>
      </c>
      <c r="AI64" s="60">
        <f t="shared" si="1"/>
        <v>1.5988263481869516</v>
      </c>
      <c r="AJ64" s="13">
        <v>390</v>
      </c>
      <c r="AK64" s="14"/>
      <c r="AL64" s="14"/>
    </row>
    <row r="65" spans="1:38" ht="11.25" customHeight="1" x14ac:dyDescent="0.25">
      <c r="A65" s="60">
        <f t="shared" si="0"/>
        <v>1.3824070373475184</v>
      </c>
      <c r="B65" s="60">
        <v>1.3824070373475184</v>
      </c>
      <c r="C65" s="60">
        <v>1.3825463991142315</v>
      </c>
      <c r="D65" s="60">
        <v>1.3827786717910886</v>
      </c>
      <c r="E65" s="60">
        <v>1.3830574037336387</v>
      </c>
      <c r="F65" s="60">
        <v>1.3832432276824032</v>
      </c>
      <c r="G65" s="60">
        <v>1.3841723741501255</v>
      </c>
      <c r="H65" s="60">
        <v>1.3851015526204136</v>
      </c>
      <c r="I65" s="60">
        <v>1.3860307459636179</v>
      </c>
      <c r="J65" s="60">
        <v>1.3864953428484412</v>
      </c>
      <c r="K65" s="60">
        <v>1.3869599370096179</v>
      </c>
      <c r="L65" s="60">
        <v>1.3916052541831658</v>
      </c>
      <c r="M65" s="60">
        <v>1.4008857450702712</v>
      </c>
      <c r="N65" s="60">
        <v>1.4193446577137541</v>
      </c>
      <c r="O65" s="60">
        <v>1.4553639236447506</v>
      </c>
      <c r="P65" s="60">
        <v>1.472655782616668</v>
      </c>
      <c r="Q65" s="60">
        <v>1.4810683171931673</v>
      </c>
      <c r="R65" s="60">
        <v>1.4893069691528273</v>
      </c>
      <c r="S65" s="60">
        <v>1.4973593018337663</v>
      </c>
      <c r="T65" s="60">
        <v>1.5052139838302552</v>
      </c>
      <c r="U65" s="60">
        <v>1.5128608389368583</v>
      </c>
      <c r="V65" s="60">
        <v>1.5202908799019643</v>
      </c>
      <c r="W65" s="60">
        <v>1.5274963265913093</v>
      </c>
      <c r="X65" s="60">
        <v>1.5344706094230174</v>
      </c>
      <c r="Y65" s="60">
        <v>1.541208359141327</v>
      </c>
      <c r="Z65" s="60">
        <v>1.5477053841499206</v>
      </c>
      <c r="AA65" s="60">
        <v>1.5539586367324878</v>
      </c>
      <c r="AB65" s="60">
        <v>1.559966169553507</v>
      </c>
      <c r="AC65" s="60">
        <v>1.5657270838617681</v>
      </c>
      <c r="AD65" s="60">
        <v>1.5712414708180864</v>
      </c>
      <c r="AE65" s="60">
        <v>1.576510347341652</v>
      </c>
      <c r="AF65" s="60">
        <v>1.5815355878204416</v>
      </c>
      <c r="AG65" s="60">
        <v>1.5863198529636364</v>
      </c>
      <c r="AH65" s="60">
        <v>1.5908665169911367</v>
      </c>
      <c r="AI65" s="60">
        <f t="shared" si="1"/>
        <v>1.5908665169911367</v>
      </c>
      <c r="AJ65" s="13">
        <v>395</v>
      </c>
      <c r="AK65" s="14"/>
      <c r="AL65" s="14"/>
    </row>
    <row r="66" spans="1:38" ht="11.25" customHeight="1" x14ac:dyDescent="0.25">
      <c r="A66" s="60">
        <f t="shared" ref="A66:A129" si="2">B66</f>
        <v>1.3816169804261578</v>
      </c>
      <c r="B66" s="60">
        <v>1.3816169804261578</v>
      </c>
      <c r="C66" s="60">
        <v>1.3817519673389829</v>
      </c>
      <c r="D66" s="60">
        <v>1.3819769450116102</v>
      </c>
      <c r="E66" s="60">
        <v>1.3822469170602523</v>
      </c>
      <c r="F66" s="60">
        <v>1.3824268975237373</v>
      </c>
      <c r="G66" s="60">
        <v>1.3833267842057713</v>
      </c>
      <c r="H66" s="60">
        <v>1.3842266330603228</v>
      </c>
      <c r="I66" s="60">
        <v>1.3851264280132931</v>
      </c>
      <c r="J66" s="60">
        <v>1.3855763002448693</v>
      </c>
      <c r="K66" s="60">
        <v>1.3860261529590496</v>
      </c>
      <c r="L66" s="60">
        <v>1.3905231618489293</v>
      </c>
      <c r="M66" s="60">
        <v>1.3995025941070602</v>
      </c>
      <c r="N66" s="60">
        <v>1.4173457607604014</v>
      </c>
      <c r="O66" s="60">
        <v>1.4521147589393659</v>
      </c>
      <c r="P66" s="60">
        <v>1.4687932065428464</v>
      </c>
      <c r="Q66" s="60">
        <v>1.4769064762149062</v>
      </c>
      <c r="R66" s="60">
        <v>1.4848524234026657</v>
      </c>
      <c r="S66" s="60">
        <v>1.4926197255833384</v>
      </c>
      <c r="T66" s="60">
        <v>1.5001980841071505</v>
      </c>
      <c r="U66" s="60">
        <v>1.507578265436943</v>
      </c>
      <c r="V66" s="60">
        <v>1.5147521280423988</v>
      </c>
      <c r="W66" s="60">
        <v>1.5217126355562696</v>
      </c>
      <c r="X66" s="60">
        <v>1.5284538570171551</v>
      </c>
      <c r="Y66" s="60">
        <v>1.5349709551917299</v>
      </c>
      <c r="Z66" s="60">
        <v>1.5412601640920867</v>
      </c>
      <c r="AA66" s="60">
        <v>1.5473187568856557</v>
      </c>
      <c r="AB66" s="60">
        <v>1.5531450054410698</v>
      </c>
      <c r="AC66" s="60">
        <v>1.5587381327685843</v>
      </c>
      <c r="AD66" s="60">
        <v>1.564098259603093</v>
      </c>
      <c r="AE66" s="60">
        <v>1.569226346345693</v>
      </c>
      <c r="AF66" s="60">
        <v>1.574124131529903</v>
      </c>
      <c r="AG66" s="60">
        <v>1.5787940679143184</v>
      </c>
      <c r="AH66" s="60">
        <v>1.5832392572273706</v>
      </c>
      <c r="AI66" s="60">
        <f t="shared" ref="AI66:AI129" si="3">AH66</f>
        <v>1.5832392572273706</v>
      </c>
      <c r="AJ66" s="13">
        <v>400</v>
      </c>
      <c r="AK66" s="14"/>
      <c r="AL66" s="14"/>
    </row>
    <row r="67" spans="1:38" ht="11.25" customHeight="1" x14ac:dyDescent="0.25">
      <c r="A67" s="60">
        <f t="shared" si="2"/>
        <v>1.3808188160572969</v>
      </c>
      <c r="B67" s="60">
        <v>1.3808188160572969</v>
      </c>
      <c r="C67" s="60">
        <v>1.3809496092062896</v>
      </c>
      <c r="D67" s="60">
        <v>1.3811675941104353</v>
      </c>
      <c r="E67" s="60">
        <v>1.3814291696382679</v>
      </c>
      <c r="F67" s="60">
        <v>1.3816035492827734</v>
      </c>
      <c r="G67" s="60">
        <v>1.3824753945035533</v>
      </c>
      <c r="H67" s="60">
        <v>1.3833471403440956</v>
      </c>
      <c r="I67" s="60">
        <v>1.3842187717244443</v>
      </c>
      <c r="J67" s="60">
        <v>1.3846545397729906</v>
      </c>
      <c r="K67" s="60">
        <v>1.3850902735407447</v>
      </c>
      <c r="L67" s="60">
        <v>1.3894453090137076</v>
      </c>
      <c r="M67" s="60">
        <v>1.3981369241879169</v>
      </c>
      <c r="N67" s="60">
        <v>1.4153928306196613</v>
      </c>
      <c r="O67" s="60">
        <v>1.4489737521740789</v>
      </c>
      <c r="P67" s="60">
        <v>1.4650706626417258</v>
      </c>
      <c r="Q67" s="60">
        <v>1.4729003774827374</v>
      </c>
      <c r="R67" s="60">
        <v>1.4805690214615497</v>
      </c>
      <c r="S67" s="60">
        <v>1.4880662742135107</v>
      </c>
      <c r="T67" s="60">
        <v>1.4953827645382611</v>
      </c>
      <c r="U67" s="60">
        <v>1.502510104342079</v>
      </c>
      <c r="V67" s="60">
        <v>1.5094409098528088</v>
      </c>
      <c r="W67" s="60">
        <v>1.5161688107076647</v>
      </c>
      <c r="X67" s="60">
        <v>1.522688447695141</v>
      </c>
      <c r="Y67" s="60">
        <v>1.52899546007024</v>
      </c>
      <c r="Z67" s="60">
        <v>1.5350864634602885</v>
      </c>
      <c r="AA67" s="60">
        <v>1.5409590194409712</v>
      </c>
      <c r="AB67" s="60">
        <v>1.5466115978934751</v>
      </c>
      <c r="AC67" s="60">
        <v>1.5520435332586331</v>
      </c>
      <c r="AD67" s="60">
        <v>1.5572549757870293</v>
      </c>
      <c r="AE67" s="60">
        <v>1.5622468388491988</v>
      </c>
      <c r="AF67" s="60">
        <v>1.5670207433208303</v>
      </c>
      <c r="AG67" s="60">
        <v>1.5715789599971028</v>
      </c>
      <c r="AH67" s="60">
        <v>1.5759243509206036</v>
      </c>
      <c r="AI67" s="60">
        <f t="shared" si="3"/>
        <v>1.5759243509206036</v>
      </c>
      <c r="AJ67" s="13">
        <v>405</v>
      </c>
      <c r="AK67" s="14"/>
      <c r="AL67" s="14"/>
    </row>
    <row r="68" spans="1:38" ht="11.25" customHeight="1" x14ac:dyDescent="0.25">
      <c r="A68" s="60">
        <f t="shared" si="2"/>
        <v>1.3800133517931703</v>
      </c>
      <c r="B68" s="60">
        <v>1.3800133517931703</v>
      </c>
      <c r="C68" s="60">
        <v>1.3801401230216477</v>
      </c>
      <c r="D68" s="60">
        <v>1.380351401938559</v>
      </c>
      <c r="E68" s="60">
        <v>1.3806049257019228</v>
      </c>
      <c r="F68" s="60">
        <v>1.3807739347393553</v>
      </c>
      <c r="G68" s="60">
        <v>1.3816188940333649</v>
      </c>
      <c r="H68" s="60">
        <v>1.3824636998100515</v>
      </c>
      <c r="I68" s="60">
        <v>1.3833083379246309</v>
      </c>
      <c r="J68" s="60">
        <v>1.3837305896835994</v>
      </c>
      <c r="K68" s="60">
        <v>1.3841527942149312</v>
      </c>
      <c r="L68" s="60">
        <v>1.3883718515559549</v>
      </c>
      <c r="M68" s="60">
        <v>1.396788149779598</v>
      </c>
      <c r="N68" s="60">
        <v>1.4134835682579934</v>
      </c>
      <c r="O68" s="60">
        <v>1.4459344831562553</v>
      </c>
      <c r="P68" s="60">
        <v>1.4614794981386461</v>
      </c>
      <c r="Q68" s="60">
        <v>1.4690402532718634</v>
      </c>
      <c r="R68" s="60">
        <v>1.4764458990367897</v>
      </c>
      <c r="S68" s="60">
        <v>1.483687018012537</v>
      </c>
      <c r="T68" s="60">
        <v>1.4907550733155042</v>
      </c>
      <c r="U68" s="60">
        <v>1.4976424364181118</v>
      </c>
      <c r="V68" s="60">
        <v>1.5043424036607858</v>
      </c>
      <c r="W68" s="60">
        <v>1.5108492020408655</v>
      </c>
      <c r="X68" s="60">
        <v>1.5171579850130095</v>
      </c>
      <c r="Y68" s="60">
        <v>1.5232648191488649</v>
      </c>
      <c r="Z68" s="60">
        <v>1.529166662582031</v>
      </c>
      <c r="AA68" s="60">
        <v>1.534861336211546</v>
      </c>
      <c r="AB68" s="60">
        <v>1.540347488657418</v>
      </c>
      <c r="AC68" s="60">
        <v>1.545624555959384</v>
      </c>
      <c r="AD68" s="60">
        <v>1.5506927169891707</v>
      </c>
      <c r="AE68" s="60">
        <v>1.555552845510604</v>
      </c>
      <c r="AF68" s="60">
        <v>1.560206459774202</v>
      </c>
      <c r="AG68" s="60">
        <v>1.5646556704759813</v>
      </c>
      <c r="AH68" s="60">
        <v>1.568903127846482</v>
      </c>
      <c r="AI68" s="60">
        <f t="shared" si="3"/>
        <v>1.568903127846482</v>
      </c>
      <c r="AJ68" s="13">
        <v>410</v>
      </c>
      <c r="AK68" s="14"/>
      <c r="AL68" s="14"/>
    </row>
    <row r="69" spans="1:38" ht="11.25" customHeight="1" x14ac:dyDescent="0.25">
      <c r="A69" s="60">
        <f t="shared" si="2"/>
        <v>1.3792013777141727</v>
      </c>
      <c r="B69" s="60">
        <v>1.3792013777141727</v>
      </c>
      <c r="C69" s="60">
        <v>1.3793242901881471</v>
      </c>
      <c r="D69" s="60">
        <v>1.3795291353981685</v>
      </c>
      <c r="E69" s="60">
        <v>1.37977493468847</v>
      </c>
      <c r="F69" s="60">
        <v>1.3799387916487775</v>
      </c>
      <c r="G69" s="60">
        <v>1.38075796167739</v>
      </c>
      <c r="H69" s="60">
        <v>1.3815769306968821</v>
      </c>
      <c r="I69" s="60">
        <v>1.3823956854412669</v>
      </c>
      <c r="J69" s="60">
        <v>1.3828049783114027</v>
      </c>
      <c r="K69" s="60">
        <v>1.3832142126327032</v>
      </c>
      <c r="L69" s="60">
        <v>1.3873029698761741</v>
      </c>
      <c r="M69" s="60">
        <v>1.3954557614099299</v>
      </c>
      <c r="N69" s="60">
        <v>1.4116158804961676</v>
      </c>
      <c r="O69" s="60">
        <v>1.4429910850737593</v>
      </c>
      <c r="P69" s="60">
        <v>1.458011812940387</v>
      </c>
      <c r="Q69" s="60">
        <v>1.465317189322898</v>
      </c>
      <c r="R69" s="60">
        <v>1.4724731446348358</v>
      </c>
      <c r="S69" s="60">
        <v>1.4794710762999062</v>
      </c>
      <c r="T69" s="60">
        <v>1.486303199196461</v>
      </c>
      <c r="U69" s="60">
        <v>1.4929625683336614</v>
      </c>
      <c r="V69" s="60">
        <v>1.4994430914700618</v>
      </c>
      <c r="W69" s="60">
        <v>1.505739532235316</v>
      </c>
      <c r="X69" s="60">
        <v>1.5118475044417119</v>
      </c>
      <c r="Y69" s="60">
        <v>1.5177634583651047</v>
      </c>
      <c r="Z69" s="60">
        <v>1.5234846598372453</v>
      </c>
      <c r="AA69" s="60">
        <v>1.5290091630268239</v>
      </c>
      <c r="AB69" s="60">
        <v>1.5343357777986373</v>
      </c>
      <c r="AC69" s="60">
        <v>1.539464032532855</v>
      </c>
      <c r="AD69" s="60">
        <v>1.5443941332631088</v>
      </c>
      <c r="AE69" s="60">
        <v>1.5491269199562727</v>
      </c>
      <c r="AF69" s="60">
        <v>1.5536638207111888</v>
      </c>
      <c r="AG69" s="60">
        <v>1.5580068046006783</v>
      </c>
      <c r="AH69" s="60">
        <v>1.562158333822963</v>
      </c>
      <c r="AI69" s="60">
        <f t="shared" si="3"/>
        <v>1.562158333822963</v>
      </c>
      <c r="AJ69" s="13">
        <v>415</v>
      </c>
      <c r="AK69" s="14"/>
      <c r="AL69" s="14"/>
    </row>
    <row r="70" spans="1:38" ht="11.25" customHeight="1" x14ac:dyDescent="0.25">
      <c r="A70" s="60">
        <f t="shared" si="2"/>
        <v>1.378383664625231</v>
      </c>
      <c r="B70" s="60">
        <v>1.378383664625231</v>
      </c>
      <c r="C70" s="60">
        <v>1.3785028733608822</v>
      </c>
      <c r="D70" s="60">
        <v>1.3787015435266232</v>
      </c>
      <c r="E70" s="60">
        <v>1.3789399292368041</v>
      </c>
      <c r="F70" s="60">
        <v>1.3790988416829999</v>
      </c>
      <c r="G70" s="60">
        <v>1.3798932638581669</v>
      </c>
      <c r="H70" s="60">
        <v>1.3806874434883465</v>
      </c>
      <c r="I70" s="60">
        <v>1.3814813681326543</v>
      </c>
      <c r="J70" s="60">
        <v>1.3818782309453439</v>
      </c>
      <c r="K70" s="60">
        <v>1.3822750253430411</v>
      </c>
      <c r="L70" s="60">
        <v>1.3862388638263321</v>
      </c>
      <c r="M70" s="60">
        <v>1.3941393162350895</v>
      </c>
      <c r="N70" s="60">
        <v>1.4097878585616512</v>
      </c>
      <c r="O70" s="60">
        <v>1.4401381873022399</v>
      </c>
      <c r="P70" s="60">
        <v>1.4546603808419423</v>
      </c>
      <c r="Q70" s="60">
        <v>1.4617230350146069</v>
      </c>
      <c r="R70" s="60">
        <v>1.4686416988576712</v>
      </c>
      <c r="S70" s="60">
        <v>1.4754085062447539</v>
      </c>
      <c r="T70" s="60">
        <v>1.4820163504786319</v>
      </c>
      <c r="U70" s="60">
        <v>1.4884589026466339</v>
      </c>
      <c r="V70" s="60">
        <v>1.4947306210182929</v>
      </c>
      <c r="W70" s="60">
        <v>1.5008267520190466</v>
      </c>
      <c r="X70" s="60">
        <v>1.5067433234190435</v>
      </c>
      <c r="Y70" s="60">
        <v>1.5124771304523179</v>
      </c>
      <c r="Z70" s="60">
        <v>1.5180257156312655</v>
      </c>
      <c r="AA70" s="60">
        <v>1.5233873430474518</v>
      </c>
      <c r="AB70" s="60">
        <v>1.5285609679557135</v>
      </c>
      <c r="AC70" s="60">
        <v>1.5335462024276436</v>
      </c>
      <c r="AD70" s="60">
        <v>1.5383432778361898</v>
      </c>
      <c r="AE70" s="60">
        <v>1.5429530048980165</v>
      </c>
      <c r="AF70" s="60">
        <v>1.5473767319572223</v>
      </c>
      <c r="AG70" s="60">
        <v>1.5516163021449665</v>
      </c>
      <c r="AH70" s="60">
        <v>1.5556740099964923</v>
      </c>
      <c r="AI70" s="60">
        <f t="shared" si="3"/>
        <v>1.5556740099964923</v>
      </c>
      <c r="AJ70" s="13">
        <v>420</v>
      </c>
      <c r="AK70" s="14"/>
      <c r="AL70" s="14"/>
    </row>
    <row r="71" spans="1:38" ht="11.25" customHeight="1" x14ac:dyDescent="0.25">
      <c r="A71" s="60">
        <f t="shared" si="2"/>
        <v>1.377560962510878</v>
      </c>
      <c r="B71" s="60">
        <v>1.377560962510878</v>
      </c>
      <c r="C71" s="60">
        <v>1.3776766148637181</v>
      </c>
      <c r="D71" s="60">
        <v>1.3778693558489219</v>
      </c>
      <c r="E71" s="60">
        <v>1.3781006234620403</v>
      </c>
      <c r="F71" s="60">
        <v>1.3782547886528564</v>
      </c>
      <c r="G71" s="60">
        <v>1.3790254524935681</v>
      </c>
      <c r="H71" s="60">
        <v>1.3797958375920267</v>
      </c>
      <c r="I71" s="60">
        <v>1.3805659322814692</v>
      </c>
      <c r="J71" s="60">
        <v>1.3809508670760446</v>
      </c>
      <c r="K71" s="60">
        <v>1.3813357248919262</v>
      </c>
      <c r="L71" s="60">
        <v>1.3851797481990067</v>
      </c>
      <c r="M71" s="60">
        <v>1.3928384296040179</v>
      </c>
      <c r="N71" s="60">
        <v>1.4079977589516204</v>
      </c>
      <c r="O71" s="60">
        <v>1.437370864836182</v>
      </c>
      <c r="P71" s="60">
        <v>1.4514185800880899</v>
      </c>
      <c r="Q71" s="60">
        <v>1.4582503242969695</v>
      </c>
      <c r="R71" s="60">
        <v>1.4649432658419999</v>
      </c>
      <c r="S71" s="60">
        <v>1.4714902051473506</v>
      </c>
      <c r="T71" s="60">
        <v>1.4778846486562385</v>
      </c>
      <c r="U71" s="60">
        <v>1.4841208235552523</v>
      </c>
      <c r="V71" s="60">
        <v>1.4901936845106096</v>
      </c>
      <c r="W71" s="60">
        <v>1.4960989129209818</v>
      </c>
      <c r="X71" s="60">
        <v>1.501832909279496</v>
      </c>
      <c r="Y71" s="60">
        <v>1.507392779300067</v>
      </c>
      <c r="Z71" s="60">
        <v>1.512776314502625</v>
      </c>
      <c r="AA71" s="60">
        <v>1.5179819679706468</v>
      </c>
      <c r="AB71" s="60">
        <v>1.5230088259958288</v>
      </c>
      <c r="AC71" s="60">
        <v>1.5278565763116447</v>
      </c>
      <c r="AD71" s="60">
        <v>1.532525473592844</v>
      </c>
      <c r="AE71" s="60">
        <v>1.5370163028642569</v>
      </c>
      <c r="AF71" s="60">
        <v>1.5413303414218533</v>
      </c>
      <c r="AG71" s="60">
        <v>1.5454693198238121</v>
      </c>
      <c r="AH71" s="60">
        <v>1.5494353824610061</v>
      </c>
      <c r="AI71" s="60">
        <f t="shared" si="3"/>
        <v>1.5494353824610061</v>
      </c>
      <c r="AJ71" s="13">
        <v>425</v>
      </c>
      <c r="AK71" s="14"/>
      <c r="AL71" s="14"/>
    </row>
    <row r="72" spans="1:38" ht="11.25" customHeight="1" x14ac:dyDescent="0.25">
      <c r="A72" s="60">
        <f t="shared" si="2"/>
        <v>1.3767339992334522</v>
      </c>
      <c r="B72" s="60">
        <v>1.3767339992334522</v>
      </c>
      <c r="C72" s="60">
        <v>1.3768462353524635</v>
      </c>
      <c r="D72" s="60">
        <v>1.3770332809821084</v>
      </c>
      <c r="E72" s="60">
        <v>1.377257711488747</v>
      </c>
      <c r="F72" s="60">
        <v>1.3774073169934429</v>
      </c>
      <c r="G72" s="60">
        <v>1.3781551632382427</v>
      </c>
      <c r="H72" s="60">
        <v>1.3789026993289017</v>
      </c>
      <c r="I72" s="60">
        <v>1.3796499143245016</v>
      </c>
      <c r="J72" s="60">
        <v>1.3800233979926275</v>
      </c>
      <c r="K72" s="60">
        <v>1.3803967972842424</v>
      </c>
      <c r="L72" s="60">
        <v>1.3841258487287751</v>
      </c>
      <c r="M72" s="60">
        <v>1.391552767522048</v>
      </c>
      <c r="N72" s="60">
        <v>1.406243986344462</v>
      </c>
      <c r="O72" s="60">
        <v>1.434684593489328</v>
      </c>
      <c r="P72" s="60">
        <v>1.4482803320440709</v>
      </c>
      <c r="Q72" s="60">
        <v>1.4548922059364731</v>
      </c>
      <c r="R72" s="60">
        <v>1.461370235194895</v>
      </c>
      <c r="S72" s="60">
        <v>1.4677078243503296</v>
      </c>
      <c r="T72" s="60">
        <v>1.4738990347573764</v>
      </c>
      <c r="U72" s="60">
        <v>1.4799385962673532</v>
      </c>
      <c r="V72" s="60">
        <v>1.4858219117693858</v>
      </c>
      <c r="W72" s="60">
        <v>1.491545055073952</v>
      </c>
      <c r="X72" s="60">
        <v>1.4971047626868947</v>
      </c>
      <c r="Y72" s="60">
        <v>1.5024984200732752</v>
      </c>
      <c r="Z72" s="60">
        <v>1.5077240430414827</v>
      </c>
      <c r="AA72" s="60">
        <v>1.5127802548913269</v>
      </c>
      <c r="AB72" s="60">
        <v>1.5176662599678807</v>
      </c>
      <c r="AC72" s="60">
        <v>1.5223818142484626</v>
      </c>
      <c r="AD72" s="60">
        <v>1.52692719356573</v>
      </c>
      <c r="AE72" s="60">
        <v>1.5313031600378442</v>
      </c>
      <c r="AF72" s="60">
        <v>1.5355109272389869</v>
      </c>
      <c r="AG72" s="60">
        <v>1.5395521246019823</v>
      </c>
      <c r="AH72" s="60">
        <v>1.5434287615007449</v>
      </c>
      <c r="AI72" s="60">
        <f t="shared" si="3"/>
        <v>1.5434287615007449</v>
      </c>
      <c r="AJ72" s="13">
        <v>430</v>
      </c>
      <c r="AK72" s="14"/>
      <c r="AL72" s="14"/>
    </row>
    <row r="73" spans="1:38" ht="11.25" customHeight="1" x14ac:dyDescent="0.25">
      <c r="A73" s="60">
        <f t="shared" si="2"/>
        <v>1.3759034794584588</v>
      </c>
      <c r="B73" s="60">
        <v>1.3759034794584588</v>
      </c>
      <c r="C73" s="60">
        <v>1.3760124327081644</v>
      </c>
      <c r="D73" s="60">
        <v>1.3761940054747719</v>
      </c>
      <c r="E73" s="60">
        <v>1.3764118662253224</v>
      </c>
      <c r="F73" s="60">
        <v>1.376557090494734</v>
      </c>
      <c r="G73" s="60">
        <v>1.3772830139912384</v>
      </c>
      <c r="H73" s="60">
        <v>1.3780086002109853</v>
      </c>
      <c r="I73" s="60">
        <v>1.3787338388932826</v>
      </c>
      <c r="J73" s="60">
        <v>1.3790963247021937</v>
      </c>
      <c r="K73" s="60">
        <v>1.3794587197803385</v>
      </c>
      <c r="L73" s="60">
        <v>1.3830773985617522</v>
      </c>
      <c r="M73" s="60">
        <v>1.3902820399259812</v>
      </c>
      <c r="N73" s="60">
        <v>1.4045250783305054</v>
      </c>
      <c r="O73" s="60">
        <v>1.4320752101335577</v>
      </c>
      <c r="P73" s="60">
        <v>1.4452400469154636</v>
      </c>
      <c r="Q73" s="60">
        <v>1.4516423818436064</v>
      </c>
      <c r="R73" s="60">
        <v>1.4579156130291107</v>
      </c>
      <c r="S73" s="60">
        <v>1.4640536932250094</v>
      </c>
      <c r="T73" s="60">
        <v>1.470051186663609</v>
      </c>
      <c r="U73" s="60">
        <v>1.4759032781666612</v>
      </c>
      <c r="V73" s="60">
        <v>1.4816057758802286</v>
      </c>
      <c r="W73" s="60">
        <v>1.4871551080784331</v>
      </c>
      <c r="X73" s="60">
        <v>1.4925483145418061</v>
      </c>
      <c r="Y73" s="60">
        <v>1.4977830330580331</v>
      </c>
      <c r="Z73" s="60">
        <v>1.5028574816172666</v>
      </c>
      <c r="AA73" s="60">
        <v>1.5077704368830969</v>
      </c>
      <c r="AB73" s="60">
        <v>1.5125212095159457</v>
      </c>
      <c r="AC73" s="60">
        <v>1.5171096169105789</v>
      </c>
      <c r="AD73" s="60">
        <v>1.5215359538857309</v>
      </c>
      <c r="AE73" s="60">
        <v>1.5258009618336406</v>
      </c>
      <c r="AF73" s="60">
        <v>1.5299057968023764</v>
      </c>
      <c r="AG73" s="60">
        <v>1.5338519969457154</v>
      </c>
      <c r="AH73" s="60">
        <v>1.5376414497353468</v>
      </c>
      <c r="AI73" s="60">
        <f t="shared" si="3"/>
        <v>1.5376414497353468</v>
      </c>
      <c r="AJ73" s="13">
        <v>435</v>
      </c>
      <c r="AK73" s="14"/>
      <c r="AL73" s="14"/>
    </row>
    <row r="74" spans="1:38" ht="11.25" customHeight="1" x14ac:dyDescent="0.25">
      <c r="A74" s="60">
        <f t="shared" si="2"/>
        <v>1.3750700837909844</v>
      </c>
      <c r="B74" s="60">
        <v>1.3750700837909844</v>
      </c>
      <c r="C74" s="60">
        <v>1.3751758811441226</v>
      </c>
      <c r="D74" s="60">
        <v>1.3753521928647663</v>
      </c>
      <c r="E74" s="60">
        <v>1.3755637383620509</v>
      </c>
      <c r="F74" s="60">
        <v>1.3757047512595519</v>
      </c>
      <c r="G74" s="60">
        <v>1.3764096036498548</v>
      </c>
      <c r="H74" s="60">
        <v>1.3771140954848788</v>
      </c>
      <c r="I74" s="60">
        <v>1.3778182171411402</v>
      </c>
      <c r="J74" s="60">
        <v>1.3781701361463019</v>
      </c>
      <c r="K74" s="60">
        <v>1.3785219590003654</v>
      </c>
      <c r="L74" s="60">
        <v>1.3820346351523247</v>
      </c>
      <c r="M74" s="60">
        <v>1.3890259946911163</v>
      </c>
      <c r="N74" s="60">
        <v>1.4028396917608461</v>
      </c>
      <c r="O74" s="60">
        <v>1.429538877348838</v>
      </c>
      <c r="P74" s="60">
        <v>1.4422925756122806</v>
      </c>
      <c r="Q74" s="60">
        <v>1.4484950524341766</v>
      </c>
      <c r="R74" s="60">
        <v>1.4545729609088953</v>
      </c>
      <c r="S74" s="60">
        <v>1.460520751910072</v>
      </c>
      <c r="T74" s="60">
        <v>1.4663334459674</v>
      </c>
      <c r="U74" s="60">
        <v>1.4720066402255998</v>
      </c>
      <c r="V74" s="60">
        <v>1.4775365096978268</v>
      </c>
      <c r="W74" s="60">
        <v>1.482919803227964</v>
      </c>
      <c r="X74" s="60">
        <v>1.4881538346276961</v>
      </c>
      <c r="Y74" s="60">
        <v>1.4932364694887035</v>
      </c>
      <c r="Z74" s="60">
        <v>1.4981661081893032</v>
      </c>
      <c r="AA74" s="60">
        <v>1.5029416656203809</v>
      </c>
      <c r="AB74" s="60">
        <v>1.5075625481494757</v>
      </c>
      <c r="AC74" s="60">
        <v>1.5120286283265922</v>
      </c>
      <c r="AD74" s="60">
        <v>1.516340217812576</v>
      </c>
      <c r="AE74" s="60">
        <v>1.5204980389826164</v>
      </c>
      <c r="AF74" s="60">
        <v>1.5245031956251813</v>
      </c>
      <c r="AG74" s="60">
        <v>1.5283571431217882</v>
      </c>
      <c r="AH74" s="60">
        <v>1.5320616584566753</v>
      </c>
      <c r="AI74" s="60">
        <f t="shared" si="3"/>
        <v>1.5320616584566753</v>
      </c>
      <c r="AJ74" s="13">
        <v>440</v>
      </c>
      <c r="AK74" s="14"/>
      <c r="AL74" s="14"/>
    </row>
    <row r="75" spans="1:38" ht="11.25" customHeight="1" x14ac:dyDescent="0.25">
      <c r="A75" s="60">
        <f t="shared" si="2"/>
        <v>1.3742344681070993</v>
      </c>
      <c r="B75" s="60">
        <v>1.3742344681070993</v>
      </c>
      <c r="C75" s="60">
        <v>1.3743372305103172</v>
      </c>
      <c r="D75" s="60">
        <v>1.3745084829383933</v>
      </c>
      <c r="E75" s="60">
        <v>1.3747139555755465</v>
      </c>
      <c r="F75" s="60">
        <v>1.3748509188712514</v>
      </c>
      <c r="G75" s="60">
        <v>1.3755355110902374</v>
      </c>
      <c r="H75" s="60">
        <v>1.376219722919819</v>
      </c>
      <c r="I75" s="60">
        <v>1.3769035453332139</v>
      </c>
      <c r="J75" s="60">
        <v>1.3772453076899005</v>
      </c>
      <c r="K75" s="60">
        <v>1.3775869693107554</v>
      </c>
      <c r="L75" s="60">
        <v>1.3809977975490479</v>
      </c>
      <c r="M75" s="60">
        <v>1.3877844122988507</v>
      </c>
      <c r="N75" s="60">
        <v>1.4011865905373051</v>
      </c>
      <c r="O75" s="60">
        <v>1.4270720519439819</v>
      </c>
      <c r="P75" s="60">
        <v>1.4394331669820859</v>
      </c>
      <c r="Q75" s="60">
        <v>1.4454448681279182</v>
      </c>
      <c r="R75" s="60">
        <v>1.45133634169057</v>
      </c>
      <c r="S75" s="60">
        <v>1.4571024916734667</v>
      </c>
      <c r="T75" s="60">
        <v>1.4627387531343543</v>
      </c>
      <c r="U75" s="60">
        <v>1.4682410973406739</v>
      </c>
      <c r="V75" s="60">
        <v>1.4736060318129021</v>
      </c>
      <c r="W75" s="60">
        <v>1.4788305956415067</v>
      </c>
      <c r="X75" s="60">
        <v>1.4839123505061789</v>
      </c>
      <c r="Y75" s="60">
        <v>1.4888493678541401</v>
      </c>
      <c r="Z75" s="60">
        <v>1.4936402127089818</v>
      </c>
      <c r="AA75" s="60">
        <v>1.4982839245843536</v>
      </c>
      <c r="AB75" s="60">
        <v>1.5027799959697534</v>
      </c>
      <c r="AC75" s="60">
        <v>1.5071283488404699</v>
      </c>
      <c r="AD75" s="60">
        <v>1.5113293096221476</v>
      </c>
      <c r="AE75" s="60">
        <v>1.5153835830140836</v>
      </c>
      <c r="AF75" s="60">
        <v>1.5192922250456531</v>
      </c>
      <c r="AG75" s="60">
        <v>1.5230566157083674</v>
      </c>
      <c r="AH75" s="60">
        <v>1.5266784314730442</v>
      </c>
      <c r="AI75" s="60">
        <f t="shared" si="3"/>
        <v>1.5266784314730442</v>
      </c>
      <c r="AJ75" s="13">
        <v>445</v>
      </c>
      <c r="AK75" s="14"/>
      <c r="AL75" s="14"/>
    </row>
    <row r="76" spans="1:38" ht="11.25" customHeight="1" x14ac:dyDescent="0.25">
      <c r="A76" s="60">
        <f t="shared" si="2"/>
        <v>1.3733972630644167</v>
      </c>
      <c r="B76" s="60">
        <v>1.3733972630644167</v>
      </c>
      <c r="C76" s="60">
        <v>1.3734971057791696</v>
      </c>
      <c r="D76" s="60">
        <v>1.3736634911745988</v>
      </c>
      <c r="E76" s="60">
        <v>1.3738631219226742</v>
      </c>
      <c r="F76" s="60">
        <v>1.3739961897538773</v>
      </c>
      <c r="G76" s="60">
        <v>1.3746612943558436</v>
      </c>
      <c r="H76" s="60">
        <v>1.3753260018196034</v>
      </c>
      <c r="I76" s="60">
        <v>1.3759903036769894</v>
      </c>
      <c r="J76" s="60">
        <v>1.3763222998593458</v>
      </c>
      <c r="K76" s="60">
        <v>1.3766541914685066</v>
      </c>
      <c r="L76" s="60">
        <v>1.3799671240344069</v>
      </c>
      <c r="M76" s="60">
        <v>1.3865571011001028</v>
      </c>
      <c r="N76" s="60">
        <v>1.3995646346874724</v>
      </c>
      <c r="O76" s="60">
        <v>1.424671456881599</v>
      </c>
      <c r="P76" s="60">
        <v>1.4366574297459627</v>
      </c>
      <c r="Q76" s="60">
        <v>1.4424868862152884</v>
      </c>
      <c r="R76" s="60">
        <v>1.4482002713875248</v>
      </c>
      <c r="S76" s="60">
        <v>1.4537929019306803</v>
      </c>
      <c r="T76" s="60">
        <v>1.4592605899145958</v>
      </c>
      <c r="U76" s="60">
        <v>1.4645996464565139</v>
      </c>
      <c r="V76" s="60">
        <v>1.4698068807812428</v>
      </c>
      <c r="W76" s="60">
        <v>1.4748795950539939</v>
      </c>
      <c r="X76" s="60">
        <v>1.4798155753799205</v>
      </c>
      <c r="Y76" s="60">
        <v>1.4846130793873205</v>
      </c>
      <c r="Z76" s="60">
        <v>1.4892708208225851</v>
      </c>
      <c r="AA76" s="60">
        <v>1.4937879515858832</v>
      </c>
      <c r="AB76" s="60">
        <v>1.4981640416287314</v>
      </c>
      <c r="AC76" s="60">
        <v>1.5023990571198045</v>
      </c>
      <c r="AD76" s="60">
        <v>1.5064933372649425</v>
      </c>
      <c r="AE76" s="60">
        <v>1.510447570142873</v>
      </c>
      <c r="AF76" s="60">
        <v>1.5142627678908382</v>
      </c>
      <c r="AG76" s="60">
        <v>1.5179402415451977</v>
      </c>
      <c r="AH76" s="60">
        <v>1.521481575812113</v>
      </c>
      <c r="AI76" s="60">
        <f t="shared" si="3"/>
        <v>1.521481575812113</v>
      </c>
      <c r="AJ76" s="13">
        <v>450</v>
      </c>
      <c r="AK76" s="14"/>
      <c r="AL76" s="14"/>
    </row>
    <row r="77" spans="1:38" ht="11.25" customHeight="1" x14ac:dyDescent="0.25">
      <c r="A77" s="60">
        <f t="shared" si="2"/>
        <v>1.3725590737763318</v>
      </c>
      <c r="B77" s="60">
        <v>1.3725590737763318</v>
      </c>
      <c r="C77" s="60">
        <v>1.3726561066969676</v>
      </c>
      <c r="D77" s="60">
        <v>1.3728178083581608</v>
      </c>
      <c r="E77" s="60">
        <v>1.3730118174074981</v>
      </c>
      <c r="F77" s="60">
        <v>1.3731411367080735</v>
      </c>
      <c r="G77" s="60">
        <v>1.3737874900355798</v>
      </c>
      <c r="H77" s="60">
        <v>1.3744334322386635</v>
      </c>
      <c r="I77" s="60">
        <v>1.3750789553720049</v>
      </c>
      <c r="J77" s="60">
        <v>1.3754015573073093</v>
      </c>
      <c r="K77" s="60">
        <v>1.3757240515002098</v>
      </c>
      <c r="L77" s="60">
        <v>1.3789428500856893</v>
      </c>
      <c r="M77" s="60">
        <v>1.3853438931159994</v>
      </c>
      <c r="N77" s="60">
        <v>1.3979727705868725</v>
      </c>
      <c r="O77" s="60">
        <v>1.4223340562030113</v>
      </c>
      <c r="P77" s="60">
        <v>1.4339612985631682</v>
      </c>
      <c r="Q77" s="60">
        <v>1.4396165324306589</v>
      </c>
      <c r="R77" s="60">
        <v>1.4451596763116155</v>
      </c>
      <c r="S77" s="60">
        <v>1.4505864230889707</v>
      </c>
      <c r="T77" s="60">
        <v>1.4558929280968163</v>
      </c>
      <c r="U77" s="60">
        <v>1.4610758115046703</v>
      </c>
      <c r="V77" s="60">
        <v>1.4661321565841976</v>
      </c>
      <c r="W77" s="60">
        <v>1.4710595041902697</v>
      </c>
      <c r="X77" s="60">
        <v>1.4758558438183067</v>
      </c>
      <c r="Y77" s="60">
        <v>1.480519601618467</v>
      </c>
      <c r="Z77" s="60">
        <v>1.485049625755549</v>
      </c>
      <c r="AA77" s="60">
        <v>1.4894451695028306</v>
      </c>
      <c r="AB77" s="60">
        <v>1.4937058724498651</v>
      </c>
      <c r="AC77" s="60">
        <v>1.4978317401899355</v>
      </c>
      <c r="AD77" s="60">
        <v>1.5018231228337511</v>
      </c>
      <c r="AE77" s="60">
        <v>1.5056806926733428</v>
      </c>
      <c r="AF77" s="60">
        <v>1.5094054212950485</v>
      </c>
      <c r="AG77" s="60">
        <v>1.5129985564139241</v>
      </c>
      <c r="AH77" s="60">
        <v>1.5164615986746746</v>
      </c>
      <c r="AI77" s="60">
        <f t="shared" si="3"/>
        <v>1.5164615986746746</v>
      </c>
      <c r="AJ77" s="13">
        <v>455</v>
      </c>
      <c r="AK77" s="14"/>
      <c r="AL77" s="14"/>
    </row>
    <row r="78" spans="1:38" ht="11.25" customHeight="1" x14ac:dyDescent="0.25">
      <c r="A78" s="60">
        <f t="shared" si="2"/>
        <v>1.3717204796349529</v>
      </c>
      <c r="B78" s="60">
        <v>1.3717204796349529</v>
      </c>
      <c r="C78" s="60">
        <v>1.3718148075857783</v>
      </c>
      <c r="D78" s="60">
        <v>1.371972000346384</v>
      </c>
      <c r="E78" s="60">
        <v>1.3721605977054003</v>
      </c>
      <c r="F78" s="60">
        <v>1.3722863086066319</v>
      </c>
      <c r="G78" s="60">
        <v>1.3729146128141922</v>
      </c>
      <c r="H78" s="60">
        <v>1.3735424943834902</v>
      </c>
      <c r="I78" s="60">
        <v>1.3741699458584928</v>
      </c>
      <c r="J78" s="60">
        <v>1.3744835079835973</v>
      </c>
      <c r="K78" s="60">
        <v>1.3747969597940921</v>
      </c>
      <c r="L78" s="60">
        <v>1.3779252066266316</v>
      </c>
      <c r="M78" s="60">
        <v>1.3841446403227711</v>
      </c>
      <c r="N78" s="60">
        <v>1.3964100222060347</v>
      </c>
      <c r="O78" s="60">
        <v>1.4200570326020301</v>
      </c>
      <c r="P78" s="60">
        <v>1.4313410037281917</v>
      </c>
      <c r="Q78" s="60">
        <v>1.4368295666608268</v>
      </c>
      <c r="R78" s="60">
        <v>1.4422098548462072</v>
      </c>
      <c r="S78" s="60">
        <v>1.4474779045023287</v>
      </c>
      <c r="T78" s="60">
        <v>1.4526301838244293</v>
      </c>
      <c r="U78" s="60">
        <v>1.4576635943183385</v>
      </c>
      <c r="V78" s="60">
        <v>1.4625754684323877</v>
      </c>
      <c r="W78" s="60">
        <v>1.4673635637950992</v>
      </c>
      <c r="X78" s="60">
        <v>1.4720260543909585</v>
      </c>
      <c r="Y78" s="60">
        <v>1.4765615190216228</v>
      </c>
      <c r="Z78" s="60">
        <v>1.480968927405967</v>
      </c>
      <c r="AA78" s="60">
        <v>1.4852476242705681</v>
      </c>
      <c r="AB78" s="60">
        <v>1.4893973117738597</v>
      </c>
      <c r="AC78" s="60">
        <v>1.4934180305934839</v>
      </c>
      <c r="AD78" s="60">
        <v>1.497310139988506</v>
      </c>
      <c r="AE78" s="60">
        <v>1.5010742971272797</v>
      </c>
      <c r="AF78" s="60">
        <v>1.504711435948761</v>
      </c>
      <c r="AG78" s="60">
        <v>1.5082227458008861</v>
      </c>
      <c r="AH78" s="60">
        <v>1.5116096500748673</v>
      </c>
      <c r="AI78" s="60">
        <f t="shared" si="3"/>
        <v>1.5116096500748673</v>
      </c>
      <c r="AJ78" s="13">
        <v>460</v>
      </c>
      <c r="AK78" s="14"/>
      <c r="AL78" s="14"/>
    </row>
    <row r="79" spans="1:38" ht="11.25" customHeight="1" x14ac:dyDescent="0.25">
      <c r="A79" s="60">
        <f t="shared" si="2"/>
        <v>1.3708820342682992</v>
      </c>
      <c r="B79" s="60">
        <v>1.3708820342682992</v>
      </c>
      <c r="C79" s="60">
        <v>1.3709737572812652</v>
      </c>
      <c r="D79" s="60">
        <v>1.3711266079744409</v>
      </c>
      <c r="E79" s="60">
        <v>1.3713099940291753</v>
      </c>
      <c r="F79" s="60">
        <v>1.3714322302342459</v>
      </c>
      <c r="G79" s="60">
        <v>1.3720431551783181</v>
      </c>
      <c r="H79" s="60">
        <v>1.3726536481815883</v>
      </c>
      <c r="I79" s="60">
        <v>1.3732637022458516</v>
      </c>
      <c r="J79" s="60">
        <v>1.3735685624921046</v>
      </c>
      <c r="K79" s="60">
        <v>1.3738733103846061</v>
      </c>
      <c r="L79" s="60">
        <v>1.3769144185417441</v>
      </c>
      <c r="M79" s="60">
        <v>1.3829592113727214</v>
      </c>
      <c r="N79" s="60">
        <v>1.3948754832739918</v>
      </c>
      <c r="O79" s="60">
        <v>1.4178377673418123</v>
      </c>
      <c r="P79" s="60">
        <v>1.4287930440700394</v>
      </c>
      <c r="Q79" s="60">
        <v>1.4341220522946483</v>
      </c>
      <c r="R79" s="60">
        <v>1.4393464432935998</v>
      </c>
      <c r="S79" s="60">
        <v>1.4444625669193989</v>
      </c>
      <c r="T79" s="60">
        <v>1.4494671767998546</v>
      </c>
      <c r="U79" s="60">
        <v>1.4543574307986751</v>
      </c>
      <c r="V79" s="60">
        <v>1.4591308881451774</v>
      </c>
      <c r="W79" s="60">
        <v>1.4637855035171623</v>
      </c>
      <c r="X79" s="60">
        <v>1.4683196183819562</v>
      </c>
      <c r="Y79" s="60">
        <v>1.4727319499127218</v>
      </c>
      <c r="Z79" s="60">
        <v>1.4770215778013591</v>
      </c>
      <c r="AA79" s="60">
        <v>1.4811879292866694</v>
      </c>
      <c r="AB79" s="60">
        <v>1.4852307627081116</v>
      </c>
      <c r="AC79" s="60">
        <v>1.4891501498824065</v>
      </c>
      <c r="AD79" s="60">
        <v>1.4929464575836739</v>
      </c>
      <c r="AE79" s="60">
        <v>1.4966203283884942</v>
      </c>
      <c r="AF79" s="60">
        <v>1.5001726611262802</v>
      </c>
      <c r="AG79" s="60">
        <v>1.5036045911532832</v>
      </c>
      <c r="AH79" s="60">
        <v>1.5069174706460757</v>
      </c>
      <c r="AI79" s="60">
        <f t="shared" si="3"/>
        <v>1.5069174706460757</v>
      </c>
      <c r="AJ79" s="13">
        <v>465</v>
      </c>
      <c r="AK79" s="14"/>
      <c r="AL79" s="14"/>
    </row>
    <row r="80" spans="1:38" ht="11.25" customHeight="1" x14ac:dyDescent="0.25">
      <c r="A80" s="60">
        <f t="shared" si="2"/>
        <v>1.3700442656179981</v>
      </c>
      <c r="B80" s="60">
        <v>1.3700442656179981</v>
      </c>
      <c r="C80" s="60">
        <v>1.370133479192486</v>
      </c>
      <c r="D80" s="60">
        <v>1.370282147085192</v>
      </c>
      <c r="E80" s="60">
        <v>1.3704605131226233</v>
      </c>
      <c r="F80" s="60">
        <v>1.3705794022568074</v>
      </c>
      <c r="G80" s="60">
        <v>1.3711735872624726</v>
      </c>
      <c r="H80" s="60">
        <v>1.3717673330011422</v>
      </c>
      <c r="I80" s="60">
        <v>1.3723606329029705</v>
      </c>
      <c r="J80" s="60">
        <v>1.3726571136153434</v>
      </c>
      <c r="K80" s="60">
        <v>1.3729534804104053</v>
      </c>
      <c r="L80" s="60">
        <v>1.3759107034273672</v>
      </c>
      <c r="M80" s="60">
        <v>1.3817874887076149</v>
      </c>
      <c r="N80" s="60">
        <v>1.3933683102617447</v>
      </c>
      <c r="O80" s="60">
        <v>1.4156738222478384</v>
      </c>
      <c r="P80" s="60">
        <v>1.4263141626799558</v>
      </c>
      <c r="Q80" s="60">
        <v>1.4314903287850493</v>
      </c>
      <c r="R80" s="60">
        <v>1.4365653853138769</v>
      </c>
      <c r="S80" s="60">
        <v>1.44153596888941</v>
      </c>
      <c r="T80" s="60">
        <v>1.4463990937934748</v>
      </c>
      <c r="U80" s="60">
        <v>1.4511521517055732</v>
      </c>
      <c r="V80" s="60">
        <v>1.4557929084411378</v>
      </c>
      <c r="W80" s="60">
        <v>1.4603194979516778</v>
      </c>
      <c r="X80" s="60">
        <v>1.4647304138666972</v>
      </c>
      <c r="Y80" s="60">
        <v>1.4690244988669372</v>
      </c>
      <c r="Z80" s="60">
        <v>1.4732009321812611</v>
      </c>
      <c r="AA80" s="60">
        <v>1.4772592154962503</v>
      </c>
      <c r="AB80" s="60">
        <v>1.4811991575593326</v>
      </c>
      <c r="AC80" s="60">
        <v>1.4850208577439519</v>
      </c>
      <c r="AD80" s="60">
        <v>1.4887246888298444</v>
      </c>
      <c r="AE80" s="60">
        <v>1.492311279233778</v>
      </c>
      <c r="AF80" s="60">
        <v>1.4957814949068788</v>
      </c>
      <c r="AG80" s="60">
        <v>1.499136421094559</v>
      </c>
      <c r="AH80" s="60">
        <v>1.5023773441346497</v>
      </c>
      <c r="AI80" s="60">
        <f t="shared" si="3"/>
        <v>1.5023773441346497</v>
      </c>
      <c r="AJ80" s="13">
        <v>470</v>
      </c>
      <c r="AK80" s="14"/>
      <c r="AL80" s="14"/>
    </row>
    <row r="81" spans="1:38" ht="11.25" customHeight="1" x14ac:dyDescent="0.25">
      <c r="A81" s="60">
        <f t="shared" si="2"/>
        <v>1.369207676124389</v>
      </c>
      <c r="B81" s="60">
        <v>1.369207676124389</v>
      </c>
      <c r="C81" s="60">
        <v>1.3692944714704538</v>
      </c>
      <c r="D81" s="60">
        <v>1.3694391086700397</v>
      </c>
      <c r="E81" s="60">
        <v>1.3696126373679376</v>
      </c>
      <c r="F81" s="60">
        <v>1.3697283013063473</v>
      </c>
      <c r="G81" s="60">
        <v>1.3703063568201426</v>
      </c>
      <c r="H81" s="60">
        <v>1.3708839675055766</v>
      </c>
      <c r="I81" s="60">
        <v>1.3714611271935764</v>
      </c>
      <c r="J81" s="60">
        <v>1.3717495359891714</v>
      </c>
      <c r="K81" s="60">
        <v>1.3720378297277904</v>
      </c>
      <c r="L81" s="60">
        <v>1.3749142705554915</v>
      </c>
      <c r="M81" s="60">
        <v>1.380629366024859</v>
      </c>
      <c r="N81" s="60">
        <v>1.3918877160997964</v>
      </c>
      <c r="O81" s="60">
        <v>1.413562923543414</v>
      </c>
      <c r="P81" s="60">
        <v>1.423901325141937</v>
      </c>
      <c r="Q81" s="60">
        <v>1.4289309870504681</v>
      </c>
      <c r="R81" s="60">
        <v>1.433862904535617</v>
      </c>
      <c r="S81" s="60">
        <v>1.4386939766616731</v>
      </c>
      <c r="T81" s="60">
        <v>1.4434214559509344</v>
      </c>
      <c r="U81" s="60">
        <v>1.448042947528672</v>
      </c>
      <c r="V81" s="60">
        <v>1.4525564055623517</v>
      </c>
      <c r="W81" s="60">
        <v>1.4569601272374495</v>
      </c>
      <c r="X81" s="60">
        <v>1.4612527445266947</v>
      </c>
      <c r="Y81" s="60">
        <v>1.4654332140172053</v>
      </c>
      <c r="Z81" s="60">
        <v>1.4695008050616249</v>
      </c>
      <c r="AA81" s="60">
        <v>1.4734550865156659</v>
      </c>
      <c r="AB81" s="60">
        <v>1.4772959123164462</v>
      </c>
      <c r="AC81" s="60">
        <v>1.4810234061444141</v>
      </c>
      <c r="AD81" s="60">
        <v>1.4846379453973473</v>
      </c>
      <c r="AE81" s="60">
        <v>1.4881401446886191</v>
      </c>
      <c r="AF81" s="60">
        <v>1.4915308390643645</v>
      </c>
      <c r="AG81" s="60">
        <v>1.4948110671158246</v>
      </c>
      <c r="AH81" s="60">
        <v>1.4979820541446396</v>
      </c>
      <c r="AI81" s="60">
        <f t="shared" si="3"/>
        <v>1.4979820541446396</v>
      </c>
      <c r="AJ81" s="13">
        <v>475</v>
      </c>
      <c r="AK81" s="14"/>
      <c r="AL81" s="14"/>
    </row>
    <row r="82" spans="1:38" ht="11.25" customHeight="1" x14ac:dyDescent="0.25">
      <c r="A82" s="60">
        <f t="shared" si="2"/>
        <v>1.3683727430066923</v>
      </c>
      <c r="B82" s="60">
        <v>1.3683727430066923</v>
      </c>
      <c r="C82" s="60">
        <v>1.3684572072729984</v>
      </c>
      <c r="D82" s="60">
        <v>1.3685979591081563</v>
      </c>
      <c r="E82" s="60">
        <v>1.368766824993974</v>
      </c>
      <c r="F82" s="60">
        <v>1.3688793801685446</v>
      </c>
      <c r="G82" s="60">
        <v>1.3694418893060682</v>
      </c>
      <c r="H82" s="60">
        <v>1.3700039496282164</v>
      </c>
      <c r="I82" s="60">
        <v>1.3705655553408749</v>
      </c>
      <c r="J82" s="60">
        <v>1.3708461859115348</v>
      </c>
      <c r="K82" s="60">
        <v>1.3711267006629455</v>
      </c>
      <c r="L82" s="60">
        <v>1.3739253200282429</v>
      </c>
      <c r="M82" s="60">
        <v>1.379484746060518</v>
      </c>
      <c r="N82" s="60">
        <v>1.3904329645531324</v>
      </c>
      <c r="O82" s="60">
        <v>1.4115029473227985</v>
      </c>
      <c r="P82" s="60">
        <v>1.4215516999816942</v>
      </c>
      <c r="Q82" s="60">
        <v>1.4264408473905954</v>
      </c>
      <c r="R82" s="60">
        <v>1.431235479973036</v>
      </c>
      <c r="S82" s="60">
        <v>1.4359327371744852</v>
      </c>
      <c r="T82" s="60">
        <v>1.4405300894582798</v>
      </c>
      <c r="U82" s="60">
        <v>1.4450253369651302</v>
      </c>
      <c r="V82" s="60">
        <v>1.4494166057303053</v>
      </c>
      <c r="W82" s="60">
        <v>1.4537023416821613</v>
      </c>
      <c r="X82" s="60">
        <v>1.4578813026576998</v>
      </c>
      <c r="Y82" s="60">
        <v>1.4619525486768246</v>
      </c>
      <c r="Z82" s="60">
        <v>1.4659154307176641</v>
      </c>
      <c r="AA82" s="60">
        <v>1.4697695782313831</v>
      </c>
      <c r="AB82" s="60">
        <v>1.4735148856271332</v>
      </c>
      <c r="AC82" s="60">
        <v>1.4771514979469373</v>
      </c>
      <c r="AD82" s="60">
        <v>1.4806797959370495</v>
      </c>
      <c r="AE82" s="60">
        <v>1.4841003807073787</v>
      </c>
      <c r="AF82" s="60">
        <v>1.4874140581544966</v>
      </c>
      <c r="AG82" s="60">
        <v>1.4906218233070541</v>
      </c>
      <c r="AH82" s="60">
        <v>1.4937248447355662</v>
      </c>
      <c r="AI82" s="60">
        <f t="shared" si="3"/>
        <v>1.4937248447355662</v>
      </c>
      <c r="AJ82" s="13">
        <v>480</v>
      </c>
      <c r="AK82" s="14"/>
      <c r="AL82" s="14"/>
    </row>
    <row r="83" spans="1:38" ht="11.25" customHeight="1" x14ac:dyDescent="0.25">
      <c r="A83" s="60">
        <f t="shared" si="2"/>
        <v>1.3675399186266395</v>
      </c>
      <c r="B83" s="60">
        <v>1.3675399186266395</v>
      </c>
      <c r="C83" s="60">
        <v>1.3676221351142168</v>
      </c>
      <c r="D83" s="60">
        <v>1.367759140492194</v>
      </c>
      <c r="E83" s="60">
        <v>1.367923510373295</v>
      </c>
      <c r="F83" s="60">
        <v>1.3680330680605557</v>
      </c>
      <c r="G83" s="60">
        <v>1.3685805880567006</v>
      </c>
      <c r="H83" s="60">
        <v>1.3691276566532355</v>
      </c>
      <c r="I83" s="60">
        <v>1.3696742684068637</v>
      </c>
      <c r="J83" s="60">
        <v>1.3699474012701567</v>
      </c>
      <c r="K83" s="60">
        <v>1.3702204178874813</v>
      </c>
      <c r="L83" s="60">
        <v>1.3729440421028027</v>
      </c>
      <c r="M83" s="60">
        <v>1.3783535386565133</v>
      </c>
      <c r="N83" s="60">
        <v>1.389003365185252</v>
      </c>
      <c r="O83" s="60">
        <v>1.409491906481936</v>
      </c>
      <c r="P83" s="60">
        <v>1.4192626410852283</v>
      </c>
      <c r="Q83" s="60">
        <v>1.4240169396322744</v>
      </c>
      <c r="R83" s="60">
        <v>1.4286798239306091</v>
      </c>
      <c r="S83" s="60">
        <v>1.4332486537808877</v>
      </c>
      <c r="T83" s="60">
        <v>1.437721099180888</v>
      </c>
      <c r="U83" s="60">
        <v>1.442095138591392</v>
      </c>
      <c r="V83" s="60">
        <v>1.4463690549953532</v>
      </c>
      <c r="W83" s="60">
        <v>1.4505414299567498</v>
      </c>
      <c r="X83" s="60">
        <v>1.454611135895417</v>
      </c>
      <c r="Y83" s="60">
        <v>1.4585773267987894</v>
      </c>
      <c r="Z83" s="60">
        <v>1.4624394275914627</v>
      </c>
      <c r="AA83" s="60">
        <v>1.4661971223793571</v>
      </c>
      <c r="AB83" s="60">
        <v>1.4698503417778401</v>
      </c>
      <c r="AC83" s="60">
        <v>1.473399249522978</v>
      </c>
      <c r="AD83" s="60">
        <v>1.4768442285528558</v>
      </c>
      <c r="AE83" s="60">
        <v>1.4801858667321834</v>
      </c>
      <c r="AF83" s="60">
        <v>1.4834249423786945</v>
      </c>
      <c r="AG83" s="60">
        <v>1.4865624097346621</v>
      </c>
      <c r="AH83" s="60">
        <v>1.4895993845114888</v>
      </c>
      <c r="AI83" s="60">
        <f t="shared" si="3"/>
        <v>1.4895993845114888</v>
      </c>
      <c r="AJ83" s="13">
        <v>485</v>
      </c>
      <c r="AK83" s="14"/>
      <c r="AL83" s="14"/>
    </row>
    <row r="84" spans="1:38" ht="11.25" customHeight="1" x14ac:dyDescent="0.25">
      <c r="A84" s="60">
        <f t="shared" si="2"/>
        <v>1.3667096309247315</v>
      </c>
      <c r="B84" s="60">
        <v>1.3667096309247315</v>
      </c>
      <c r="C84" s="60">
        <v>1.3667896792875818</v>
      </c>
      <c r="D84" s="60">
        <v>1.3669230710293834</v>
      </c>
      <c r="E84" s="60">
        <v>1.367083104396698</v>
      </c>
      <c r="F84" s="60">
        <v>1.3671897709877316</v>
      </c>
      <c r="G84" s="60">
        <v>1.3677228345567287</v>
      </c>
      <c r="H84" s="60">
        <v>1.3682554453900846</v>
      </c>
      <c r="I84" s="60">
        <v>1.3687875983727482</v>
      </c>
      <c r="J84" s="60">
        <v>1.3690535015752394</v>
      </c>
      <c r="K84" s="60">
        <v>1.3693192884029433</v>
      </c>
      <c r="L84" s="60">
        <v>1.3719706166680159</v>
      </c>
      <c r="M84" s="60">
        <v>1.3772356590824091</v>
      </c>
      <c r="N84" s="60">
        <v>1.3875982688500785</v>
      </c>
      <c r="O84" s="60">
        <v>1.4075279389482134</v>
      </c>
      <c r="P84" s="60">
        <v>1.4170316718687734</v>
      </c>
      <c r="Q84" s="60">
        <v>1.4216564852567208</v>
      </c>
      <c r="R84" s="60">
        <v>1.426192862116118</v>
      </c>
      <c r="S84" s="60">
        <v>1.430638364403094</v>
      </c>
      <c r="T84" s="60">
        <v>1.4349908449405728</v>
      </c>
      <c r="U84" s="60">
        <v>1.4392484453682624</v>
      </c>
      <c r="V84" s="60">
        <v>1.4434095920969254</v>
      </c>
      <c r="W84" s="60">
        <v>1.4474729904573265</v>
      </c>
      <c r="X84" s="60">
        <v>1.4514376172424102</v>
      </c>
      <c r="Y84" s="60">
        <v>1.4553027118447903</v>
      </c>
      <c r="Z84" s="60">
        <v>1.4590677661910123</v>
      </c>
      <c r="AA84" s="60">
        <v>1.4627325136698848</v>
      </c>
      <c r="AB84" s="60">
        <v>1.4662969172450695</v>
      </c>
      <c r="AC84" s="60">
        <v>1.4697611569326163</v>
      </c>
      <c r="AD84" s="60">
        <v>1.4731256168128426</v>
      </c>
      <c r="AE84" s="60">
        <v>1.476390871733348</v>
      </c>
      <c r="AF84" s="60">
        <v>1.479557673846531</v>
      </c>
      <c r="AG84" s="60">
        <v>1.4826269391111118</v>
      </c>
      <c r="AH84" s="60">
        <v>1.4855997338732059</v>
      </c>
      <c r="AI84" s="60">
        <f t="shared" si="3"/>
        <v>1.4855997338732059</v>
      </c>
      <c r="AJ84" s="13">
        <v>490</v>
      </c>
      <c r="AK84" s="14"/>
      <c r="AL84" s="14"/>
    </row>
    <row r="85" spans="1:38" ht="11.25" customHeight="1" x14ac:dyDescent="0.25">
      <c r="A85" s="60">
        <f t="shared" si="2"/>
        <v>1.3658822839190483</v>
      </c>
      <c r="B85" s="60">
        <v>1.3658822839190483</v>
      </c>
      <c r="C85" s="60">
        <v>1.3659602403525464</v>
      </c>
      <c r="D85" s="60">
        <v>1.3660901455077117</v>
      </c>
      <c r="E85" s="60">
        <v>1.3662459949147414</v>
      </c>
      <c r="F85" s="60">
        <v>1.3663498721686231</v>
      </c>
      <c r="G85" s="60">
        <v>1.3668689887804539</v>
      </c>
      <c r="H85" s="60">
        <v>1.3673876524295279</v>
      </c>
      <c r="I85" s="60">
        <v>1.3679058583079438</v>
      </c>
      <c r="J85" s="60">
        <v>1.3681647880843089</v>
      </c>
      <c r="K85" s="60">
        <v>1.3684236016210745</v>
      </c>
      <c r="L85" s="60">
        <v>1.3710052128556709</v>
      </c>
      <c r="M85" s="60">
        <v>1.3761310265849129</v>
      </c>
      <c r="N85" s="60">
        <v>1.3862170636570423</v>
      </c>
      <c r="O85" s="60">
        <v>1.4056092970694138</v>
      </c>
      <c r="P85" s="60">
        <v>1.41485647100835</v>
      </c>
      <c r="Q85" s="60">
        <v>1.4193568812897273</v>
      </c>
      <c r="R85" s="60">
        <v>1.4237717157175167</v>
      </c>
      <c r="S85" s="60">
        <v>1.4280987218456227</v>
      </c>
      <c r="T85" s="60">
        <v>1.4323359201369936</v>
      </c>
      <c r="U85" s="60">
        <v>1.4364816016635065</v>
      </c>
      <c r="V85" s="60">
        <v>1.440534323999249</v>
      </c>
      <c r="W85" s="60">
        <v>1.4444929054828328</v>
      </c>
      <c r="X85" s="60">
        <v>1.4483564180310751</v>
      </c>
      <c r="Y85" s="60">
        <v>1.4521241786889489</v>
      </c>
      <c r="Z85" s="60">
        <v>1.4557957400996813</v>
      </c>
      <c r="AA85" s="60">
        <v>1.4593708800747021</v>
      </c>
      <c r="AB85" s="60">
        <v>1.462849590436381</v>
      </c>
      <c r="AC85" s="60">
        <v>1.4662320652976508</v>
      </c>
      <c r="AD85" s="60">
        <v>1.4695186889321823</v>
      </c>
      <c r="AE85" s="60">
        <v>1.4727100233772297</v>
      </c>
      <c r="AF85" s="60">
        <v>1.4758067958989738</v>
      </c>
      <c r="AG85" s="60">
        <v>1.4788098864375634</v>
      </c>
      <c r="AH85" s="60">
        <v>1.4817203151363341</v>
      </c>
      <c r="AI85" s="60">
        <f t="shared" si="3"/>
        <v>1.4817203151363341</v>
      </c>
      <c r="AJ85" s="13">
        <v>495</v>
      </c>
      <c r="AK85" s="14"/>
      <c r="AL85" s="14"/>
    </row>
    <row r="86" spans="1:38" ht="11.25" customHeight="1" x14ac:dyDescent="0.25">
      <c r="A86" s="60">
        <f t="shared" si="2"/>
        <v>1.3650582582572806</v>
      </c>
      <c r="B86" s="60">
        <v>1.3650582582572806</v>
      </c>
      <c r="C86" s="60">
        <v>1.3651341956752385</v>
      </c>
      <c r="D86" s="60">
        <v>1.3652607358176407</v>
      </c>
      <c r="E86" s="60">
        <v>1.3654125472365666</v>
      </c>
      <c r="F86" s="60">
        <v>1.3655137325184645</v>
      </c>
      <c r="G86" s="60">
        <v>1.36601938959765</v>
      </c>
      <c r="H86" s="60">
        <v>1.3665245944703535</v>
      </c>
      <c r="I86" s="60">
        <v>1.3670293426161111</v>
      </c>
      <c r="J86" s="60">
        <v>1.367281544007344</v>
      </c>
      <c r="K86" s="60">
        <v>1.3675336295276621</v>
      </c>
      <c r="L86" s="60">
        <v>1.3700479887707986</v>
      </c>
      <c r="M86" s="60">
        <v>1.3750395631407517</v>
      </c>
      <c r="N86" s="60">
        <v>1.3848591713603147</v>
      </c>
      <c r="O86" s="60">
        <v>1.4037343380382443</v>
      </c>
      <c r="P86" s="60">
        <v>1.4127348595600673</v>
      </c>
      <c r="Q86" s="60">
        <v>1.4171156857628222</v>
      </c>
      <c r="R86" s="60">
        <v>1.42141368522874</v>
      </c>
      <c r="S86" s="60">
        <v>1.4256267760301369</v>
      </c>
      <c r="T86" s="60">
        <v>1.4297531324555146</v>
      </c>
      <c r="U86" s="60">
        <v>1.4337911825149174</v>
      </c>
      <c r="V86" s="60">
        <v>1.4377396038083963</v>
      </c>
      <c r="W86" s="60">
        <v>1.4415973179195893</v>
      </c>
      <c r="X86" s="60">
        <v>1.4453634835018987</v>
      </c>
      <c r="Y86" s="60">
        <v>1.4490374882265684</v>
      </c>
      <c r="Z86" s="60">
        <v>1.4526189397605924</v>
      </c>
      <c r="AA86" s="60">
        <v>1.4561076559382726</v>
      </c>
      <c r="AB86" s="60">
        <v>1.459503654283826</v>
      </c>
      <c r="AC86" s="60">
        <v>1.4628071410342232</v>
      </c>
      <c r="AD86" s="60">
        <v>1.4660184998018178</v>
      </c>
      <c r="AE86" s="60">
        <v>1.4691382800057238</v>
      </c>
      <c r="AF86" s="60">
        <v>1.472167185189674</v>
      </c>
      <c r="AG86" s="60">
        <v>1.4751060613325597</v>
      </c>
      <c r="AH86" s="60">
        <v>1.4779558852462735</v>
      </c>
      <c r="AI86" s="60">
        <f t="shared" si="3"/>
        <v>1.4779558852462735</v>
      </c>
      <c r="AJ86" s="13">
        <v>500</v>
      </c>
      <c r="AK86" s="14"/>
      <c r="AL86" s="14"/>
    </row>
    <row r="87" spans="1:38" ht="11.25" customHeight="1" x14ac:dyDescent="0.25">
      <c r="A87" s="60">
        <f t="shared" si="2"/>
        <v>1.3642379118134058</v>
      </c>
      <c r="B87" s="60">
        <v>1.3642379118134058</v>
      </c>
      <c r="C87" s="60">
        <v>1.3643119000145916</v>
      </c>
      <c r="D87" s="60">
        <v>1.3644351915205977</v>
      </c>
      <c r="E87" s="60">
        <v>1.3645831046771009</v>
      </c>
      <c r="F87" s="60">
        <v>1.364681691182114</v>
      </c>
      <c r="G87" s="60">
        <v>1.3651743552343889</v>
      </c>
      <c r="H87" s="60">
        <v>1.3656665687067158</v>
      </c>
      <c r="I87" s="60">
        <v>1.3661583273476501</v>
      </c>
      <c r="J87" s="60">
        <v>1.3664040347813389</v>
      </c>
      <c r="K87" s="60">
        <v>1.3666496269188251</v>
      </c>
      <c r="L87" s="60">
        <v>1.3690990913267338</v>
      </c>
      <c r="M87" s="60">
        <v>1.3739611923908603</v>
      </c>
      <c r="N87" s="60">
        <v>1.3835240441282946</v>
      </c>
      <c r="O87" s="60">
        <v>1.4019015152430505</v>
      </c>
      <c r="P87" s="60">
        <v>1.4106647893222588</v>
      </c>
      <c r="Q87" s="60">
        <v>1.4149306045762791</v>
      </c>
      <c r="R87" s="60">
        <v>1.4191162358353557</v>
      </c>
      <c r="S87" s="60">
        <v>1.4232197579436041</v>
      </c>
      <c r="T87" s="60">
        <v>1.4272394864348392</v>
      </c>
      <c r="U87" s="60">
        <v>1.4311739748903312</v>
      </c>
      <c r="V87" s="60">
        <v>1.435022010812087</v>
      </c>
      <c r="W87" s="60">
        <v>1.4387826101611378</v>
      </c>
      <c r="X87" s="60">
        <v>1.4424550107147196</v>
      </c>
      <c r="Y87" s="60">
        <v>1.446038664397451</v>
      </c>
      <c r="Z87" s="60">
        <v>1.4495332287399927</v>
      </c>
      <c r="AA87" s="60">
        <v>1.4529385576146445</v>
      </c>
      <c r="AB87" s="60">
        <v>1.4562546913912733</v>
      </c>
      <c r="AC87" s="60">
        <v>1.459481846649336</v>
      </c>
      <c r="AD87" s="60">
        <v>1.4626204055728711</v>
      </c>
      <c r="AE87" s="60">
        <v>1.4656709051456251</v>
      </c>
      <c r="AF87" s="60">
        <v>1.4686340262531976</v>
      </c>
      <c r="AG87" s="60">
        <v>1.4715105827885766</v>
      </c>
      <c r="AH87" s="60">
        <v>1.4743015108468696</v>
      </c>
      <c r="AI87" s="60">
        <f t="shared" si="3"/>
        <v>1.4743015108468696</v>
      </c>
      <c r="AJ87" s="13">
        <v>505</v>
      </c>
      <c r="AK87" s="14"/>
      <c r="AL87" s="14"/>
    </row>
    <row r="88" spans="1:38" ht="11.25" customHeight="1" x14ac:dyDescent="0.25">
      <c r="A88" s="60">
        <f t="shared" si="2"/>
        <v>1.3634215803211203</v>
      </c>
      <c r="B88" s="60">
        <v>1.3634215803211203</v>
      </c>
      <c r="C88" s="60">
        <v>1.3634936861459608</v>
      </c>
      <c r="D88" s="60">
        <v>1.363613840456168</v>
      </c>
      <c r="E88" s="60">
        <v>1.363757989144448</v>
      </c>
      <c r="F88" s="60">
        <v>1.3638540661081819</v>
      </c>
      <c r="G88" s="60">
        <v>1.364334183780104</v>
      </c>
      <c r="H88" s="60">
        <v>1.3648138532669074</v>
      </c>
      <c r="I88" s="60">
        <v>1.3652930705689621</v>
      </c>
      <c r="J88" s="60">
        <v>1.3655325084043484</v>
      </c>
      <c r="K88" s="60">
        <v>1.3657718316995444</v>
      </c>
      <c r="L88" s="60">
        <v>1.3681586561719346</v>
      </c>
      <c r="M88" s="60">
        <v>1.3728958387359214</v>
      </c>
      <c r="N88" s="60">
        <v>1.3822111616539432</v>
      </c>
      <c r="O88" s="60">
        <v>1.4001093704477352</v>
      </c>
      <c r="P88" s="60">
        <v>1.4086443323078728</v>
      </c>
      <c r="Q88" s="60">
        <v>1.4127994796146974</v>
      </c>
      <c r="R88" s="60">
        <v>1.4168769841933471</v>
      </c>
      <c r="S88" s="60">
        <v>1.4208750651161248</v>
      </c>
      <c r="T88" s="60">
        <v>1.4247921676947746</v>
      </c>
      <c r="U88" s="60">
        <v>1.4286269607301525</v>
      </c>
      <c r="V88" s="60">
        <v>1.4323783324144763</v>
      </c>
      <c r="W88" s="60">
        <v>1.4360453850240775</v>
      </c>
      <c r="X88" s="60">
        <v>1.439627428544128</v>
      </c>
      <c r="Y88" s="60">
        <v>1.443123973367505</v>
      </c>
      <c r="Z88" s="60">
        <v>1.4465347222081926</v>
      </c>
      <c r="AA88" s="60">
        <v>1.4498595613656722</v>
      </c>
      <c r="AB88" s="60">
        <v>1.4530985514710686</v>
      </c>
      <c r="AC88" s="60">
        <v>1.4562519178387083</v>
      </c>
      <c r="AD88" s="60">
        <v>1.4593200405385756</v>
      </c>
      <c r="AE88" s="60">
        <v>1.4623034442962222</v>
      </c>
      <c r="AF88" s="60">
        <v>1.4652027883172924</v>
      </c>
      <c r="AG88" s="60">
        <v>1.4680188561242211</v>
      </c>
      <c r="AH88" s="60">
        <v>1.4707525454830248</v>
      </c>
      <c r="AI88" s="60">
        <f t="shared" si="3"/>
        <v>1.4707525454830248</v>
      </c>
      <c r="AJ88" s="13">
        <v>510</v>
      </c>
      <c r="AK88" s="14"/>
      <c r="AL88" s="14"/>
    </row>
    <row r="89" spans="1:38" ht="11.25" customHeight="1" x14ac:dyDescent="0.25">
      <c r="A89" s="60">
        <f t="shared" si="2"/>
        <v>1.3626095780368452</v>
      </c>
      <c r="B89" s="60">
        <v>1.3626095780368452</v>
      </c>
      <c r="C89" s="60">
        <v>1.3626798655149857</v>
      </c>
      <c r="D89" s="60">
        <v>1.3627969893806648</v>
      </c>
      <c r="E89" s="60">
        <v>1.3629375017600103</v>
      </c>
      <c r="F89" s="60">
        <v>1.3630311546567992</v>
      </c>
      <c r="G89" s="60">
        <v>1.3634991537329364</v>
      </c>
      <c r="H89" s="60">
        <v>1.3639667076951831</v>
      </c>
      <c r="I89" s="60">
        <v>1.3644338127796556</v>
      </c>
      <c r="J89" s="60">
        <v>1.3646671958199794</v>
      </c>
      <c r="K89" s="60">
        <v>1.3649004652351655</v>
      </c>
      <c r="L89" s="60">
        <v>1.3672268076967597</v>
      </c>
      <c r="M89" s="60">
        <v>1.3718434265751842</v>
      </c>
      <c r="N89" s="60">
        <v>1.3809200285706553</v>
      </c>
      <c r="O89" s="60">
        <v>1.3983565267147817</v>
      </c>
      <c r="P89" s="60">
        <v>1.4066716712106624</v>
      </c>
      <c r="Q89" s="60">
        <v>1.4107202779832382</v>
      </c>
      <c r="R89" s="60">
        <v>1.414693686453776</v>
      </c>
      <c r="S89" s="60">
        <v>1.4185902484663793</v>
      </c>
      <c r="T89" s="60">
        <v>1.4224085286479946</v>
      </c>
      <c r="U89" s="60">
        <v>1.4261473015832187</v>
      </c>
      <c r="V89" s="60">
        <v>1.4298055477650291</v>
      </c>
      <c r="W89" s="60">
        <v>1.4333824484487396</v>
      </c>
      <c r="X89" s="60">
        <v>1.4368773795392744</v>
      </c>
      <c r="Y89" s="60">
        <v>1.4402899046421749</v>
      </c>
      <c r="Z89" s="60">
        <v>1.4436197674068214</v>
      </c>
      <c r="AA89" s="60">
        <v>1.4468668832865896</v>
      </c>
      <c r="AB89" s="60">
        <v>1.450031330835277</v>
      </c>
      <c r="AC89" s="60">
        <v>1.4531133426525549</v>
      </c>
      <c r="AD89" s="60">
        <v>1.4561132960836576</v>
      </c>
      <c r="AE89" s="60">
        <v>1.4590317037703389</v>
      </c>
      <c r="AF89" s="60">
        <v>1.4618692041415098</v>
      </c>
      <c r="AG89" s="60">
        <v>1.4646265519232107</v>
      </c>
      <c r="AH89" s="60">
        <v>1.4673046087387656</v>
      </c>
      <c r="AI89" s="60">
        <f t="shared" si="3"/>
        <v>1.4673046087387656</v>
      </c>
      <c r="AJ89" s="13">
        <v>515</v>
      </c>
      <c r="AK89" s="14"/>
      <c r="AL89" s="14"/>
    </row>
    <row r="90" spans="1:38" ht="11.25" customHeight="1" x14ac:dyDescent="0.25">
      <c r="A90" s="60">
        <f t="shared" si="2"/>
        <v>1.3618021984257684</v>
      </c>
      <c r="B90" s="60">
        <v>1.3618021984257684</v>
      </c>
      <c r="C90" s="60">
        <v>1.3618707289151071</v>
      </c>
      <c r="D90" s="60">
        <v>1.3619849246303857</v>
      </c>
      <c r="E90" s="60">
        <v>1.3621219235045527</v>
      </c>
      <c r="F90" s="60">
        <v>1.3622132342341697</v>
      </c>
      <c r="G90" s="60">
        <v>1.3626695245761327</v>
      </c>
      <c r="H90" s="60">
        <v>1.3631253734690187</v>
      </c>
      <c r="I90" s="60">
        <v>1.3635807773696809</v>
      </c>
      <c r="J90" s="60">
        <v>1.363808311344096</v>
      </c>
      <c r="K90" s="60">
        <v>1.3640357327474268</v>
      </c>
      <c r="L90" s="60">
        <v>1.3663036591094906</v>
      </c>
      <c r="M90" s="60">
        <v>1.3708038796722524</v>
      </c>
      <c r="N90" s="60">
        <v>1.3796501721419432</v>
      </c>
      <c r="O90" s="60">
        <v>1.3966416819948608</v>
      </c>
      <c r="P90" s="60">
        <v>1.4047450907619821</v>
      </c>
      <c r="Q90" s="60">
        <v>1.4086910822476977</v>
      </c>
      <c r="R90" s="60">
        <v>1.412564227403083</v>
      </c>
      <c r="S90" s="60">
        <v>1.4163630003713994</v>
      </c>
      <c r="T90" s="60">
        <v>1.4200860755401485</v>
      </c>
      <c r="U90" s="60">
        <v>1.4237323246688607</v>
      </c>
      <c r="V90" s="60">
        <v>1.4273008129039328</v>
      </c>
      <c r="W90" s="60">
        <v>1.4307907937980306</v>
      </c>
      <c r="X90" s="60">
        <v>1.4342017034537533</v>
      </c>
      <c r="Y90" s="60">
        <v>1.4375331539112561</v>
      </c>
      <c r="Z90" s="60">
        <v>1.4407849258975201</v>
      </c>
      <c r="AA90" s="60">
        <v>1.4439569610513254</v>
      </c>
      <c r="AB90" s="60">
        <v>1.4470493537329565</v>
      </c>
      <c r="AC90" s="60">
        <v>1.4500623425215371</v>
      </c>
      <c r="AD90" s="60">
        <v>1.4529963014959553</v>
      </c>
      <c r="AE90" s="60">
        <v>1.4558517313878161</v>
      </c>
      <c r="AF90" s="60">
        <v>1.4586292506869789</v>
      </c>
      <c r="AG90" s="60">
        <v>1.4613295867722198</v>
      </c>
      <c r="AH90" s="60">
        <v>1.4639535671315191</v>
      </c>
      <c r="AI90" s="60">
        <f t="shared" si="3"/>
        <v>1.4639535671315191</v>
      </c>
      <c r="AJ90" s="13">
        <v>520</v>
      </c>
      <c r="AK90" s="14"/>
      <c r="AL90" s="14"/>
    </row>
    <row r="91" spans="1:38" ht="11.25" customHeight="1" x14ac:dyDescent="0.25">
      <c r="A91" s="60">
        <f t="shared" si="2"/>
        <v>1.3609997148650166</v>
      </c>
      <c r="B91" s="60">
        <v>1.3609997148650166</v>
      </c>
      <c r="C91" s="60">
        <v>1.3610665471827819</v>
      </c>
      <c r="D91" s="60">
        <v>1.3611779128035228</v>
      </c>
      <c r="E91" s="60">
        <v>1.3613115158840723</v>
      </c>
      <c r="F91" s="60">
        <v>1.3614005629477028</v>
      </c>
      <c r="G91" s="60">
        <v>1.3618455373789542</v>
      </c>
      <c r="H91" s="60">
        <v>1.3622900745449078</v>
      </c>
      <c r="I91" s="60">
        <v>1.3627341711091345</v>
      </c>
      <c r="J91" s="60">
        <v>1.3629560531262954</v>
      </c>
      <c r="K91" s="60">
        <v>1.3631778237473957</v>
      </c>
      <c r="L91" s="60">
        <v>1.3653893125719092</v>
      </c>
      <c r="M91" s="60">
        <v>1.3697771206330951</v>
      </c>
      <c r="N91" s="60">
        <v>1.3784011401964729</v>
      </c>
      <c r="O91" s="60">
        <v>1.3949636033148844</v>
      </c>
      <c r="P91" s="60">
        <v>1.4028629698865682</v>
      </c>
      <c r="Q91" s="60">
        <v>1.4067100815748352</v>
      </c>
      <c r="R91" s="60">
        <v>1.4104866106036105</v>
      </c>
      <c r="S91" s="60">
        <v>1.4141911438337911</v>
      </c>
      <c r="T91" s="60">
        <v>1.4178224566805191</v>
      </c>
      <c r="U91" s="60">
        <v>1.4213795102172215</v>
      </c>
      <c r="V91" s="60">
        <v>1.424861447266903</v>
      </c>
      <c r="W91" s="60">
        <v>1.4282675875892028</v>
      </c>
      <c r="X91" s="60">
        <v>1.4315974222734218</v>
      </c>
      <c r="Y91" s="60">
        <v>1.4348506074474205</v>
      </c>
      <c r="Z91" s="60">
        <v>1.4380269574102886</v>
      </c>
      <c r="AA91" s="60">
        <v>1.441126437293174</v>
      </c>
      <c r="AB91" s="60">
        <v>1.4441491553479613</v>
      </c>
      <c r="AC91" s="60">
        <v>1.4470953549577985</v>
      </c>
      <c r="AD91" s="60">
        <v>1.4499654064570833</v>
      </c>
      <c r="AE91" s="60">
        <v>1.4527597988415897</v>
      </c>
      <c r="AF91" s="60">
        <v>1.4554791314422195</v>
      </c>
      <c r="AG91" s="60">
        <v>1.4581241056285144</v>
      </c>
      <c r="AH91" s="60">
        <v>1.4606955166007269</v>
      </c>
      <c r="AI91" s="60">
        <f t="shared" si="3"/>
        <v>1.4606955166007269</v>
      </c>
      <c r="AJ91" s="13">
        <v>525</v>
      </c>
      <c r="AK91" s="14"/>
      <c r="AL91" s="14"/>
    </row>
    <row r="92" spans="1:38" ht="11.25" customHeight="1" x14ac:dyDescent="0.25">
      <c r="A92" s="60">
        <f t="shared" si="2"/>
        <v>1.3602023813586366</v>
      </c>
      <c r="B92" s="60">
        <v>1.3602023813586366</v>
      </c>
      <c r="C92" s="60">
        <v>1.3602675719050337</v>
      </c>
      <c r="D92" s="60">
        <v>1.3603762014552874</v>
      </c>
      <c r="E92" s="60">
        <v>1.3605065216099481</v>
      </c>
      <c r="F92" s="60">
        <v>1.3605933802761374</v>
      </c>
      <c r="G92" s="60">
        <v>1.361027415416203</v>
      </c>
      <c r="H92" s="60">
        <v>1.3614610179264901</v>
      </c>
      <c r="I92" s="60">
        <v>1.3618941846641961</v>
      </c>
      <c r="J92" s="60">
        <v>1.3621106036394581</v>
      </c>
      <c r="K92" s="60">
        <v>1.3623269124984261</v>
      </c>
      <c r="L92" s="60">
        <v>1.3644838593856841</v>
      </c>
      <c r="M92" s="60">
        <v>1.3687630704830007</v>
      </c>
      <c r="N92" s="60">
        <v>1.3771724992828811</v>
      </c>
      <c r="O92" s="60">
        <v>1.3933211215038228</v>
      </c>
      <c r="P92" s="60">
        <v>1.4010237745758956</v>
      </c>
      <c r="Q92" s="60">
        <v>1.4047755636809995</v>
      </c>
      <c r="R92" s="60">
        <v>1.4084589494319608</v>
      </c>
      <c r="S92" s="60">
        <v>1.4120726226338893</v>
      </c>
      <c r="T92" s="60">
        <v>1.4156154517410906</v>
      </c>
      <c r="U92" s="60">
        <v>1.419086479956712</v>
      </c>
      <c r="V92" s="60">
        <v>1.4224849214100888</v>
      </c>
      <c r="W92" s="60">
        <v>1.4258101565120211</v>
      </c>
      <c r="X92" s="60">
        <v>1.429061726589484</v>
      </c>
      <c r="Y92" s="60">
        <v>1.4322393279007672</v>
      </c>
      <c r="Z92" s="60">
        <v>1.435342805130019</v>
      </c>
      <c r="AA92" s="60">
        <v>1.4383721444568305</v>
      </c>
      <c r="AB92" s="60">
        <v>1.4413274662920785</v>
      </c>
      <c r="AC92" s="60">
        <v>1.4442090177659859</v>
      </c>
      <c r="AD92" s="60">
        <v>1.4470171650484467</v>
      </c>
      <c r="AE92" s="60">
        <v>1.4497523855753243</v>
      </c>
      <c r="AF92" s="60">
        <v>1.4524152602478022</v>
      </c>
      <c r="AG92" s="60">
        <v>1.4550064656651611</v>
      </c>
      <c r="AH92" s="60">
        <v>1.4575267664446396</v>
      </c>
      <c r="AI92" s="60">
        <f t="shared" si="3"/>
        <v>1.4575267664446396</v>
      </c>
      <c r="AJ92" s="13">
        <v>530</v>
      </c>
      <c r="AK92" s="14"/>
      <c r="AL92" s="14"/>
    </row>
    <row r="93" spans="1:38" ht="11.25" customHeight="1" x14ac:dyDescent="0.25">
      <c r="A93" s="60">
        <f t="shared" si="2"/>
        <v>1.3594104332596186</v>
      </c>
      <c r="B93" s="60">
        <v>1.3594104332596186</v>
      </c>
      <c r="C93" s="60">
        <v>1.3594740361345312</v>
      </c>
      <c r="D93" s="60">
        <v>1.3595800198013777</v>
      </c>
      <c r="E93" s="60">
        <v>1.3597071652884136</v>
      </c>
      <c r="F93" s="60">
        <v>1.3597919077496512</v>
      </c>
      <c r="G93" s="60">
        <v>1.3602153648010704</v>
      </c>
      <c r="H93" s="60">
        <v>1.3606383942494271</v>
      </c>
      <c r="I93" s="60">
        <v>1.3610609931333177</v>
      </c>
      <c r="J93" s="60">
        <v>1.3612721301913207</v>
      </c>
      <c r="K93" s="60">
        <v>1.361483158502947</v>
      </c>
      <c r="L93" s="60">
        <v>1.3635873802216956</v>
      </c>
      <c r="M93" s="60">
        <v>1.3677616483305004</v>
      </c>
      <c r="N93" s="60">
        <v>1.3759638330214232</v>
      </c>
      <c r="O93" s="60">
        <v>1.3917131264021216</v>
      </c>
      <c r="P93" s="60">
        <v>1.3992260514066239</v>
      </c>
      <c r="Q93" s="60">
        <v>1.402885907507252</v>
      </c>
      <c r="R93" s="60">
        <v>1.406479458924184</v>
      </c>
      <c r="S93" s="60">
        <v>1.4100054923669154</v>
      </c>
      <c r="T93" s="60">
        <v>1.4134629620155705</v>
      </c>
      <c r="U93" s="60">
        <v>1.416850986632189</v>
      </c>
      <c r="V93" s="60">
        <v>1.4201688458314157</v>
      </c>
      <c r="W93" s="60">
        <v>1.4234159756032205</v>
      </c>
      <c r="X93" s="60">
        <v>1.4265919631811843</v>
      </c>
      <c r="Y93" s="60">
        <v>1.4296965413492122</v>
      </c>
      <c r="Z93" s="60">
        <v>1.4327295822775479</v>
      </c>
      <c r="AA93" s="60">
        <v>1.4356910909757554</v>
      </c>
      <c r="AB93" s="60">
        <v>1.4385811984462247</v>
      </c>
      <c r="AC93" s="60">
        <v>1.4414001546168622</v>
      </c>
      <c r="AD93" s="60">
        <v>1.4441483211261987</v>
      </c>
      <c r="AE93" s="60">
        <v>1.4468261640282805</v>
      </c>
      <c r="AF93" s="60">
        <v>1.4494342464786771</v>
      </c>
      <c r="AG93" s="60">
        <v>1.4519732214567576</v>
      </c>
      <c r="AH93" s="60">
        <v>1.4544438245732607</v>
      </c>
      <c r="AI93" s="60">
        <f t="shared" si="3"/>
        <v>1.4544438245732607</v>
      </c>
      <c r="AJ93" s="13">
        <v>535</v>
      </c>
      <c r="AK93" s="14"/>
      <c r="AL93" s="14"/>
    </row>
    <row r="94" spans="1:38" ht="11.25" customHeight="1" x14ac:dyDescent="0.25">
      <c r="A94" s="60">
        <f t="shared" si="2"/>
        <v>1.3586240879947222</v>
      </c>
      <c r="B94" s="60">
        <v>1.3586240879947222</v>
      </c>
      <c r="C94" s="60">
        <v>1.3586861551079175</v>
      </c>
      <c r="D94" s="60">
        <v>1.3587895794254481</v>
      </c>
      <c r="E94" s="60">
        <v>1.3589136541149431</v>
      </c>
      <c r="F94" s="60">
        <v>1.3589963496354884</v>
      </c>
      <c r="G94" s="60">
        <v>1.3594095751265947</v>
      </c>
      <c r="H94" s="60">
        <v>1.3598223783780423</v>
      </c>
      <c r="I94" s="60">
        <v>1.3602347565984043</v>
      </c>
      <c r="J94" s="60">
        <v>1.3604407854526941</v>
      </c>
      <c r="K94" s="60">
        <v>1.3606467070075543</v>
      </c>
      <c r="L94" s="60">
        <v>1.3626999453852278</v>
      </c>
      <c r="M94" s="60">
        <v>1.3667727711074955</v>
      </c>
      <c r="N94" s="60">
        <v>1.3747747406318191</v>
      </c>
      <c r="O94" s="60">
        <v>1.3901385625063649</v>
      </c>
      <c r="P94" s="60">
        <v>1.3974684216395727</v>
      </c>
      <c r="Q94" s="60">
        <v>1.4010395765481736</v>
      </c>
      <c r="R94" s="60">
        <v>1.4045464483468386</v>
      </c>
      <c r="S94" s="60">
        <v>1.4079879122762531</v>
      </c>
      <c r="T94" s="60">
        <v>1.4113630015419425</v>
      </c>
      <c r="U94" s="60">
        <v>1.414670904450388</v>
      </c>
      <c r="V94" s="60">
        <v>1.4179109607784275</v>
      </c>
      <c r="W94" s="60">
        <v>1.4210826574615696</v>
      </c>
      <c r="X94" s="60">
        <v>1.4241856236874617</v>
      </c>
      <c r="Y94" s="60">
        <v>1.4272196254799612</v>
      </c>
      <c r="Z94" s="60">
        <v>1.4301845598572853</v>
      </c>
      <c r="AA94" s="60">
        <v>1.4330804486446829</v>
      </c>
      <c r="AB94" s="60">
        <v>1.4359074320182244</v>
      </c>
      <c r="AC94" s="60">
        <v>1.4386657618517591</v>
      </c>
      <c r="AD94" s="60">
        <v>1.4413557949340847</v>
      </c>
      <c r="AE94" s="60">
        <v>1.4439779861179909</v>
      </c>
      <c r="AF94" s="60">
        <v>1.4465328814572787</v>
      </c>
      <c r="AG94" s="60">
        <v>1.4490211113822036</v>
      </c>
      <c r="AH94" s="60">
        <v>1.4514433839581971</v>
      </c>
      <c r="AI94" s="60">
        <f t="shared" si="3"/>
        <v>1.4514433839581971</v>
      </c>
      <c r="AJ94" s="13">
        <v>540</v>
      </c>
      <c r="AK94" s="14"/>
      <c r="AL94" s="14"/>
    </row>
    <row r="95" spans="1:38" ht="11.25" customHeight="1" x14ac:dyDescent="0.25">
      <c r="A95" s="60">
        <f t="shared" si="2"/>
        <v>1.3578435457883393</v>
      </c>
      <c r="B95" s="60">
        <v>1.3578435457883393</v>
      </c>
      <c r="C95" s="60">
        <v>1.3579041269635916</v>
      </c>
      <c r="D95" s="60">
        <v>1.3580050749867285</v>
      </c>
      <c r="E95" s="60">
        <v>1.3581261785696204</v>
      </c>
      <c r="F95" s="60">
        <v>1.3582068936251388</v>
      </c>
      <c r="G95" s="60">
        <v>1.3586102201115264</v>
      </c>
      <c r="H95" s="60">
        <v>1.3590131300092898</v>
      </c>
      <c r="I95" s="60">
        <v>1.3594156206863091</v>
      </c>
      <c r="J95" s="60">
        <v>1.3596167079975039</v>
      </c>
      <c r="K95" s="60">
        <v>1.3598176895214522</v>
      </c>
      <c r="L95" s="60">
        <v>1.3618216151106972</v>
      </c>
      <c r="M95" s="60">
        <v>1.3657963533759188</v>
      </c>
      <c r="N95" s="60">
        <v>1.3736048356187853</v>
      </c>
      <c r="O95" s="60">
        <v>1.3885964250059599</v>
      </c>
      <c r="P95" s="60">
        <v>1.3957495758416016</v>
      </c>
      <c r="Q95" s="60">
        <v>1.3992351127694374</v>
      </c>
      <c r="R95" s="60">
        <v>1.4026583144217848</v>
      </c>
      <c r="S95" s="60">
        <v>1.4060181378037016</v>
      </c>
      <c r="T95" s="60">
        <v>1.4093136890027049</v>
      </c>
      <c r="U95" s="60">
        <v>1.4125442203604825</v>
      </c>
      <c r="V95" s="60">
        <v>1.415709126944763</v>
      </c>
      <c r="W95" s="60">
        <v>1.4188079424005238</v>
      </c>
      <c r="X95" s="60">
        <v>1.4218403342601007</v>
      </c>
      <c r="Y95" s="60">
        <v>1.4248060987908793</v>
      </c>
      <c r="Z95" s="60">
        <v>1.4277051554572984</v>
      </c>
      <c r="AA95" s="60">
        <v>1.4305375410710468</v>
      </c>
      <c r="AB95" s="60">
        <v>1.4333034036997196</v>
      </c>
      <c r="AC95" s="60">
        <v>1.4360029963999865</v>
      </c>
      <c r="AD95" s="60">
        <v>1.4386366708367226</v>
      </c>
      <c r="AE95" s="60">
        <v>1.4412048708445664</v>
      </c>
      <c r="AF95" s="60">
        <v>1.4437081259832978</v>
      </c>
      <c r="AG95" s="60">
        <v>1.4461470451332259</v>
      </c>
      <c r="AH95" s="60">
        <v>1.4485223101716398</v>
      </c>
      <c r="AI95" s="60">
        <f t="shared" si="3"/>
        <v>1.4485223101716398</v>
      </c>
      <c r="AJ95" s="13">
        <v>545</v>
      </c>
      <c r="AK95" s="14"/>
      <c r="AL95" s="14"/>
    </row>
    <row r="96" spans="1:38" ht="11.25" customHeight="1" x14ac:dyDescent="0.25">
      <c r="A96" s="60">
        <f t="shared" si="2"/>
        <v>1.3570689903820903</v>
      </c>
      <c r="B96" s="60">
        <v>1.3570689903820903</v>
      </c>
      <c r="C96" s="60">
        <v>1.3571281334556091</v>
      </c>
      <c r="D96" s="60">
        <v>1.3572266849243986</v>
      </c>
      <c r="E96" s="60">
        <v>1.3573449131100519</v>
      </c>
      <c r="F96" s="60">
        <v>1.3574237115195753</v>
      </c>
      <c r="G96" s="60">
        <v>1.3578174582468912</v>
      </c>
      <c r="H96" s="60">
        <v>1.3582107942801191</v>
      </c>
      <c r="I96" s="60">
        <v>1.3586037171364809</v>
      </c>
      <c r="J96" s="60">
        <v>1.3588000228503831</v>
      </c>
      <c r="K96" s="60">
        <v>1.3589962243438669</v>
      </c>
      <c r="L96" s="60">
        <v>1.3609524398802688</v>
      </c>
      <c r="M96" s="60">
        <v>1.3648323071922479</v>
      </c>
      <c r="N96" s="60">
        <v>1.3724537445986125</v>
      </c>
      <c r="O96" s="60">
        <v>1.3870857561731629</v>
      </c>
      <c r="P96" s="60">
        <v>1.3940682689789461</v>
      </c>
      <c r="Q96" s="60">
        <v>1.397471131056212</v>
      </c>
      <c r="R96" s="60">
        <v>1.4008135351403643</v>
      </c>
      <c r="S96" s="60">
        <v>1.4040945137861216</v>
      </c>
      <c r="T96" s="60">
        <v>1.4073132403262643</v>
      </c>
      <c r="U96" s="60">
        <v>1.4104690260876611</v>
      </c>
      <c r="V96" s="60">
        <v>1.4135613169680199</v>
      </c>
      <c r="W96" s="60">
        <v>1.4165896894466263</v>
      </c>
      <c r="X96" s="60">
        <v>1.4195538461025117</v>
      </c>
      <c r="Y96" s="60">
        <v>1.4224536107125305</v>
      </c>
      <c r="Z96" s="60">
        <v>1.4252889229999559</v>
      </c>
      <c r="AA96" s="60">
        <v>1.428059833101474</v>
      </c>
      <c r="AB96" s="60">
        <v>1.4307664958170994</v>
      </c>
      <c r="AC96" s="60">
        <v>1.433409164703632</v>
      </c>
      <c r="AD96" s="60">
        <v>1.4359881860679993</v>
      </c>
      <c r="AE96" s="60">
        <v>1.4385039929122669</v>
      </c>
      <c r="AF96" s="60">
        <v>1.4409570988774243</v>
      </c>
      <c r="AG96" s="60">
        <v>1.4433480922282771</v>
      </c>
      <c r="AH96" s="60">
        <v>1.4456776299170748</v>
      </c>
      <c r="AI96" s="60">
        <f t="shared" si="3"/>
        <v>1.4456776299170748</v>
      </c>
      <c r="AJ96" s="13">
        <v>550</v>
      </c>
      <c r="AK96" s="14"/>
      <c r="AL96" s="14"/>
    </row>
    <row r="97" spans="1:38" ht="11.25" customHeight="1" x14ac:dyDescent="0.25">
      <c r="A97" s="60">
        <f t="shared" si="2"/>
        <v>1.3563005897472462</v>
      </c>
      <c r="B97" s="60">
        <v>1.3563005897472462</v>
      </c>
      <c r="C97" s="60">
        <v>1.3563583406607667</v>
      </c>
      <c r="D97" s="60">
        <v>1.3564545721557553</v>
      </c>
      <c r="E97" s="60">
        <v>1.3565700168587829</v>
      </c>
      <c r="F97" s="60">
        <v>1.3566469599094848</v>
      </c>
      <c r="G97" s="60">
        <v>1.3570314334399929</v>
      </c>
      <c r="H97" s="60">
        <v>1.3574155023747814</v>
      </c>
      <c r="I97" s="60">
        <v>1.3577991643711005</v>
      </c>
      <c r="J97" s="60">
        <v>1.3579908420380526</v>
      </c>
      <c r="K97" s="60">
        <v>1.3581824170965506</v>
      </c>
      <c r="L97" s="60">
        <v>1.3600924607613272</v>
      </c>
      <c r="M97" s="60">
        <v>1.3638805420221023</v>
      </c>
      <c r="N97" s="60">
        <v>1.3713211062518549</v>
      </c>
      <c r="O97" s="60">
        <v>1.3856056420718157</v>
      </c>
      <c r="P97" s="60">
        <v>1.3924233159359953</v>
      </c>
      <c r="Q97" s="60">
        <v>1.3957463141406077</v>
      </c>
      <c r="R97" s="60">
        <v>1.3990106641094939</v>
      </c>
      <c r="S97" s="60">
        <v>1.4022154682354637</v>
      </c>
      <c r="T97" s="60">
        <v>1.4053599619211745</v>
      </c>
      <c r="U97" s="60">
        <v>1.4084435108464346</v>
      </c>
      <c r="V97" s="60">
        <v>1.4114656076511398</v>
      </c>
      <c r="W97" s="60">
        <v>1.4144258681016697</v>
      </c>
      <c r="X97" s="60">
        <v>1.417324026808555</v>
      </c>
      <c r="Y97" s="60">
        <v>1.4201599325622563</v>
      </c>
      <c r="Z97" s="60">
        <v>1.4229335433520445</v>
      </c>
      <c r="AA97" s="60">
        <v>1.425644921130419</v>
      </c>
      <c r="AB97" s="60">
        <v>1.4282942263823624</v>
      </c>
      <c r="AC97" s="60">
        <v>1.4308817125550886</v>
      </c>
      <c r="AD97" s="60">
        <v>1.433407720400022</v>
      </c>
      <c r="AE97" s="60">
        <v>1.4358726722745216</v>
      </c>
      <c r="AF97" s="60">
        <v>1.4382770664465676</v>
      </c>
      <c r="AG97" s="60">
        <v>1.4406214714412604</v>
      </c>
      <c r="AH97" s="60">
        <v>1.4429065204636271</v>
      </c>
      <c r="AI97" s="60">
        <f t="shared" si="3"/>
        <v>1.4429065204636271</v>
      </c>
      <c r="AJ97" s="13">
        <v>555</v>
      </c>
      <c r="AK97" s="14"/>
      <c r="AL97" s="14"/>
    </row>
    <row r="98" spans="1:38" ht="11.25" customHeight="1" x14ac:dyDescent="0.25">
      <c r="A98" s="60">
        <f t="shared" si="2"/>
        <v>1.3555384967874808</v>
      </c>
      <c r="B98" s="60">
        <v>1.3555384967874808</v>
      </c>
      <c r="C98" s="60">
        <v>1.3555948996763412</v>
      </c>
      <c r="D98" s="60">
        <v>1.3556888847655835</v>
      </c>
      <c r="E98" s="60">
        <v>1.3558016342825896</v>
      </c>
      <c r="F98" s="60">
        <v>1.3558767808478205</v>
      </c>
      <c r="G98" s="60">
        <v>1.356252275653012</v>
      </c>
      <c r="H98" s="60">
        <v>1.3566273721290425</v>
      </c>
      <c r="I98" s="60">
        <v>1.3570020680644901</v>
      </c>
      <c r="J98" s="60">
        <v>1.3571892651411666</v>
      </c>
      <c r="K98" s="60">
        <v>1.3573763612579635</v>
      </c>
      <c r="L98" s="60">
        <v>1.3592417097583429</v>
      </c>
      <c r="M98" s="60">
        <v>1.3629409646979742</v>
      </c>
      <c r="N98" s="60">
        <v>1.3702065703887114</v>
      </c>
      <c r="O98" s="60">
        <v>1.3841552095537519</v>
      </c>
      <c r="P98" s="60">
        <v>1.3908135874183392</v>
      </c>
      <c r="Q98" s="60">
        <v>1.3940594079618638</v>
      </c>
      <c r="R98" s="60">
        <v>1.3972483253782801</v>
      </c>
      <c r="S98" s="60">
        <v>1.4003795066458551</v>
      </c>
      <c r="T98" s="60">
        <v>1.4034522444821733</v>
      </c>
      <c r="U98" s="60">
        <v>1.4064659546681884</v>
      </c>
      <c r="V98" s="60">
        <v>1.4094201728377382</v>
      </c>
      <c r="W98" s="60">
        <v>1.4123145507953321</v>
      </c>
      <c r="X98" s="60">
        <v>1.4151488524248772</v>
      </c>
      <c r="Y98" s="60">
        <v>1.4179229492509944</v>
      </c>
      <c r="Z98" s="60">
        <v>1.4206368157128153</v>
      </c>
      <c r="AA98" s="60">
        <v>1.4232905242077167</v>
      </c>
      <c r="AB98" s="60">
        <v>1.4258842399595266</v>
      </c>
      <c r="AC98" s="60">
        <v>1.4284182157623686</v>
      </c>
      <c r="AD98" s="60">
        <v>1.4308927866476655</v>
      </c>
      <c r="AE98" s="60">
        <v>1.4333083645179563</v>
      </c>
      <c r="AF98" s="60">
        <v>1.4356654327872092</v>
      </c>
      <c r="AG98" s="60">
        <v>1.4379645410632991</v>
      </c>
      <c r="AH98" s="60">
        <v>1.4402062999043419</v>
      </c>
      <c r="AI98" s="60">
        <f t="shared" si="3"/>
        <v>1.4402062999043419</v>
      </c>
      <c r="AJ98" s="13">
        <v>560</v>
      </c>
      <c r="AK98" s="14"/>
      <c r="AL98" s="14"/>
    </row>
    <row r="99" spans="1:38" ht="11.25" customHeight="1" x14ac:dyDescent="0.25">
      <c r="A99" s="60">
        <f t="shared" si="2"/>
        <v>1.3547828500297774</v>
      </c>
      <c r="B99" s="60">
        <v>1.3547828500297774</v>
      </c>
      <c r="C99" s="60">
        <v>1.3548379473063004</v>
      </c>
      <c r="D99" s="60">
        <v>1.3549297566845095</v>
      </c>
      <c r="E99" s="60">
        <v>1.3550398958613823</v>
      </c>
      <c r="F99" s="60">
        <v>1.3551133025123774</v>
      </c>
      <c r="G99" s="60">
        <v>1.3554801015337279</v>
      </c>
      <c r="H99" s="60">
        <v>1.3558465086286715</v>
      </c>
      <c r="I99" s="60">
        <v>1.3562125217089824</v>
      </c>
      <c r="J99" s="60">
        <v>1.3563953798437338</v>
      </c>
      <c r="K99" s="60">
        <v>1.356578138696148</v>
      </c>
      <c r="L99" s="60">
        <v>1.3584002101751953</v>
      </c>
      <c r="M99" s="60">
        <v>1.3620134794138863</v>
      </c>
      <c r="N99" s="60">
        <v>1.3691097971150659</v>
      </c>
      <c r="O99" s="60">
        <v>1.3827336235150385</v>
      </c>
      <c r="P99" s="60">
        <v>1.3892380062031848</v>
      </c>
      <c r="Q99" s="60">
        <v>1.3924092174177989</v>
      </c>
      <c r="R99" s="60">
        <v>1.3955252086991625</v>
      </c>
      <c r="S99" s="60">
        <v>1.3985852067773454</v>
      </c>
      <c r="T99" s="60">
        <v>1.4015885573134026</v>
      </c>
      <c r="U99" s="60">
        <v>1.404534722284392</v>
      </c>
      <c r="V99" s="60">
        <v>1.4074232768791091</v>
      </c>
      <c r="W99" s="60">
        <v>1.4102539059627206</v>
      </c>
      <c r="X99" s="60">
        <v>1.4130264001682522</v>
      </c>
      <c r="Y99" s="60">
        <v>1.4157406516718354</v>
      </c>
      <c r="Z99" s="60">
        <v>1.4183966497069249</v>
      </c>
      <c r="AA99" s="60">
        <v>1.4209944758704229</v>
      </c>
      <c r="AB99" s="60">
        <v>1.4235342992708866</v>
      </c>
      <c r="AC99" s="60">
        <v>1.4260163715659033</v>
      </c>
      <c r="AD99" s="60">
        <v>1.4284410219323125</v>
      </c>
      <c r="AE99" s="60">
        <v>1.4308086520094281</v>
      </c>
      <c r="AF99" s="60">
        <v>1.4331197308517123</v>
      </c>
      <c r="AG99" s="60">
        <v>1.435374789923699</v>
      </c>
      <c r="AH99" s="60">
        <v>1.4375744181662864</v>
      </c>
      <c r="AI99" s="60">
        <f t="shared" si="3"/>
        <v>1.4375744181662864</v>
      </c>
      <c r="AJ99" s="13">
        <v>565</v>
      </c>
      <c r="AK99" s="14"/>
      <c r="AL99" s="14"/>
    </row>
    <row r="100" spans="1:38" ht="11.25" customHeight="1" x14ac:dyDescent="0.25">
      <c r="A100" s="60">
        <f t="shared" si="2"/>
        <v>1.3540337743016571</v>
      </c>
      <c r="B100" s="60">
        <v>1.3540337743016571</v>
      </c>
      <c r="C100" s="60">
        <v>1.3540876067341161</v>
      </c>
      <c r="D100" s="60">
        <v>1.3541773083544411</v>
      </c>
      <c r="E100" s="60">
        <v>1.3542849187447579</v>
      </c>
      <c r="F100" s="60">
        <v>1.3543566398564137</v>
      </c>
      <c r="G100" s="60">
        <v>1.3547150150362475</v>
      </c>
      <c r="H100" s="60">
        <v>1.3550730047999262</v>
      </c>
      <c r="I100" s="60">
        <v>1.3554306071748203</v>
      </c>
      <c r="J100" s="60">
        <v>1.3556092624775953</v>
      </c>
      <c r="K100" s="60">
        <v>1.3557878201977001</v>
      </c>
      <c r="L100" s="60">
        <v>1.357567976984474</v>
      </c>
      <c r="M100" s="60">
        <v>1.3610979877514493</v>
      </c>
      <c r="N100" s="60">
        <v>1.368030456088372</v>
      </c>
      <c r="O100" s="60">
        <v>1.3813400843870598</v>
      </c>
      <c r="P100" s="60">
        <v>1.3876955437040726</v>
      </c>
      <c r="Q100" s="60">
        <v>1.3907946024703468</v>
      </c>
      <c r="R100" s="60">
        <v>1.3938400651823655</v>
      </c>
      <c r="S100" s="60">
        <v>1.3968312138711545</v>
      </c>
      <c r="T100" s="60">
        <v>1.3997674431198832</v>
      </c>
      <c r="U100" s="60">
        <v>1.4026482575129875</v>
      </c>
      <c r="V100" s="60">
        <v>1.4054732686371514</v>
      </c>
      <c r="W100" s="60">
        <v>1.4082421916880588</v>
      </c>
      <c r="X100" s="60">
        <v>1.4109548417365372</v>
      </c>
      <c r="Y100" s="60">
        <v>1.4136111297066565</v>
      </c>
      <c r="Z100" s="60">
        <v>1.4162110581167238</v>
      </c>
      <c r="AA100" s="60">
        <v>1.4187547166319618</v>
      </c>
      <c r="AB100" s="60">
        <v>1.421242277475099</v>
      </c>
      <c r="AC100" s="60">
        <v>1.4236739907382077</v>
      </c>
      <c r="AD100" s="60">
        <v>1.4260501796360028</v>
      </c>
      <c r="AE100" s="60">
        <v>1.4283712357375222</v>
      </c>
      <c r="AF100" s="60">
        <v>1.4306376142097477</v>
      </c>
      <c r="AG100" s="60">
        <v>1.4328498291033176</v>
      </c>
      <c r="AH100" s="60">
        <v>1.4350084487071293</v>
      </c>
      <c r="AI100" s="60">
        <f t="shared" si="3"/>
        <v>1.4350084487071293</v>
      </c>
      <c r="AJ100" s="13">
        <v>570</v>
      </c>
      <c r="AK100" s="14"/>
      <c r="AL100" s="14"/>
    </row>
    <row r="101" spans="1:38" ht="11.25" customHeight="1" x14ac:dyDescent="0.25">
      <c r="A101" s="60">
        <f t="shared" si="2"/>
        <v>1.3532913813931808</v>
      </c>
      <c r="B101" s="60">
        <v>1.3532913813931808</v>
      </c>
      <c r="C101" s="60">
        <v>1.3533439881806157</v>
      </c>
      <c r="D101" s="60">
        <v>1.3534316473794896</v>
      </c>
      <c r="E101" s="60">
        <v>1.3535368073945875</v>
      </c>
      <c r="F101" s="60">
        <v>1.3536068952456561</v>
      </c>
      <c r="G101" s="60">
        <v>1.3539571080299337</v>
      </c>
      <c r="H101" s="60">
        <v>1.3543069419900942</v>
      </c>
      <c r="I101" s="60">
        <v>1.3546563952619983</v>
      </c>
      <c r="J101" s="60">
        <v>1.3548309785597954</v>
      </c>
      <c r="K101" s="60">
        <v>1.355005465990599</v>
      </c>
      <c r="L101" s="60">
        <v>1.3567450172007234</v>
      </c>
      <c r="M101" s="60">
        <v>1.3601943887324037</v>
      </c>
      <c r="N101" s="60">
        <v>1.3669682258536997</v>
      </c>
      <c r="O101" s="60">
        <v>1.3799738258400036</v>
      </c>
      <c r="P101" s="60">
        <v>1.3861852168201847</v>
      </c>
      <c r="Q101" s="60">
        <v>1.3892144745718329</v>
      </c>
      <c r="R101" s="60">
        <v>1.3921917033066851</v>
      </c>
      <c r="S101" s="60">
        <v>1.3951162362559379</v>
      </c>
      <c r="T101" s="60">
        <v>1.3979875132233848</v>
      </c>
      <c r="U101" s="60">
        <v>1.4008050781009023</v>
      </c>
      <c r="V101" s="60">
        <v>1.4035685759731988</v>
      </c>
      <c r="W101" s="60">
        <v>1.4062777498618424</v>
      </c>
      <c r="X101" s="60">
        <v>1.4089324371581735</v>
      </c>
      <c r="Y101" s="60">
        <v>1.4115325657937112</v>
      </c>
      <c r="Z101" s="60">
        <v>1.4140781501950686</v>
      </c>
      <c r="AA101" s="60">
        <v>1.4165692870683932</v>
      </c>
      <c r="AB101" s="60">
        <v>1.419006151055934</v>
      </c>
      <c r="AC101" s="60">
        <v>1.4213889903046681</v>
      </c>
      <c r="AD101" s="60">
        <v>1.4237181219840285</v>
      </c>
      <c r="AE101" s="60">
        <v>1.4259939277867233</v>
      </c>
      <c r="AF101" s="60">
        <v>1.4282168494435468</v>
      </c>
      <c r="AG101" s="60">
        <v>1.4303873842799506</v>
      </c>
      <c r="AH101" s="60">
        <v>1.432506080839032</v>
      </c>
      <c r="AI101" s="60">
        <f t="shared" si="3"/>
        <v>1.432506080839032</v>
      </c>
      <c r="AJ101" s="13">
        <v>575</v>
      </c>
      <c r="AK101" s="14"/>
      <c r="AL101" s="14"/>
    </row>
    <row r="102" spans="1:38" ht="11.25" customHeight="1" x14ac:dyDescent="0.25">
      <c r="A102" s="60">
        <f t="shared" si="2"/>
        <v>1.3525557707024392</v>
      </c>
      <c r="B102" s="60">
        <v>1.3525557707024392</v>
      </c>
      <c r="C102" s="60">
        <v>1.3526071895455736</v>
      </c>
      <c r="D102" s="60">
        <v>1.3526928691610449</v>
      </c>
      <c r="E102" s="60">
        <v>1.3527956542122448</v>
      </c>
      <c r="F102" s="60">
        <v>1.3528641590802888</v>
      </c>
      <c r="G102" s="60">
        <v>1.3532064608950116</v>
      </c>
      <c r="H102" s="60">
        <v>1.3535483905364296</v>
      </c>
      <c r="I102" s="60">
        <v>1.35388994624225</v>
      </c>
      <c r="J102" s="60">
        <v>1.3540605833209967</v>
      </c>
      <c r="K102" s="60">
        <v>1.3542311262589704</v>
      </c>
      <c r="L102" s="60">
        <v>1.3559313302549776</v>
      </c>
      <c r="M102" s="60">
        <v>1.359302578893286</v>
      </c>
      <c r="N102" s="60">
        <v>1.365922793251231</v>
      </c>
      <c r="O102" s="60">
        <v>1.3786341126785846</v>
      </c>
      <c r="P102" s="60">
        <v>1.384706085043593</v>
      </c>
      <c r="Q102" s="60">
        <v>1.3876677933820261</v>
      </c>
      <c r="R102" s="60">
        <v>1.3905789852534192</v>
      </c>
      <c r="S102" s="60">
        <v>1.3934390413087063</v>
      </c>
      <c r="T102" s="60">
        <v>1.3962474431633052</v>
      </c>
      <c r="U102" s="60">
        <v>1.3990037709804537</v>
      </c>
      <c r="V102" s="60">
        <v>1.4017077006778726</v>
      </c>
      <c r="W102" s="60">
        <v>1.4043590008041429</v>
      </c>
      <c r="X102" s="60">
        <v>1.4069575291307619</v>
      </c>
      <c r="Y102" s="60">
        <v>1.4095032290048199</v>
      </c>
      <c r="Z102" s="60">
        <v>1.4119961255057445</v>
      </c>
      <c r="AA102" s="60">
        <v>1.4144363214476581</v>
      </c>
      <c r="AB102" s="60">
        <v>1.4168239932666544</v>
      </c>
      <c r="AC102" s="60">
        <v>1.419159386829816</v>
      </c>
      <c r="AD102" s="60">
        <v>1.421442813200104</v>
      </c>
      <c r="AE102" s="60">
        <v>1.4236746443884647</v>
      </c>
      <c r="AF102" s="60">
        <v>1.4258553091216088</v>
      </c>
      <c r="AG102" s="60">
        <v>1.4279852886510571</v>
      </c>
      <c r="AH102" s="60">
        <v>1.430065112626181</v>
      </c>
      <c r="AI102" s="60">
        <f t="shared" si="3"/>
        <v>1.430065112626181</v>
      </c>
      <c r="AJ102" s="13">
        <v>580</v>
      </c>
      <c r="AK102" s="14"/>
      <c r="AL102" s="14"/>
    </row>
    <row r="103" spans="1:38" ht="11.25" customHeight="1" x14ac:dyDescent="0.25">
      <c r="A103" s="60">
        <f t="shared" si="2"/>
        <v>1.3518270298634893</v>
      </c>
      <c r="B103" s="60">
        <v>1.3518270298634893</v>
      </c>
      <c r="C103" s="60">
        <v>1.3518772970319766</v>
      </c>
      <c r="D103" s="60">
        <v>1.3519610575159131</v>
      </c>
      <c r="E103" s="60">
        <v>1.3520615401493694</v>
      </c>
      <c r="F103" s="60">
        <v>1.352128510400785</v>
      </c>
      <c r="G103" s="60">
        <v>1.3524631431035945</v>
      </c>
      <c r="H103" s="60">
        <v>1.3527974103221156</v>
      </c>
      <c r="I103" s="60">
        <v>1.3531313103896918</v>
      </c>
      <c r="J103" s="60">
        <v>1.353298122223366</v>
      </c>
      <c r="K103" s="60">
        <v>1.3534648416481585</v>
      </c>
      <c r="L103" s="60">
        <v>1.3551269083682822</v>
      </c>
      <c r="M103" s="60">
        <v>1.3584224523783499</v>
      </c>
      <c r="N103" s="60">
        <v>1.3648938528874273</v>
      </c>
      <c r="O103" s="60">
        <v>1.3773202389118515</v>
      </c>
      <c r="P103" s="60">
        <v>1.3832572478004492</v>
      </c>
      <c r="Q103" s="60">
        <v>1.3861535637490487</v>
      </c>
      <c r="R103" s="60">
        <v>1.3890008235336078</v>
      </c>
      <c r="S103" s="60">
        <v>1.3917984517377548</v>
      </c>
      <c r="T103" s="60">
        <v>1.3945459686471831</v>
      </c>
      <c r="U103" s="60">
        <v>1.3972429879016997</v>
      </c>
      <c r="V103" s="60">
        <v>1.3998892138016104</v>
      </c>
      <c r="W103" s="60">
        <v>1.4024844383115391</v>
      </c>
      <c r="X103" s="60">
        <v>1.4050285378042389</v>
      </c>
      <c r="Y103" s="60">
        <v>1.4075214695860176</v>
      </c>
      <c r="Z103" s="60">
        <v>1.4099632682439203</v>
      </c>
      <c r="AA103" s="60">
        <v>1.4123540418530656</v>
      </c>
      <c r="AB103" s="60">
        <v>1.4146939680804111</v>
      </c>
      <c r="AC103" s="60">
        <v>1.416983290218927</v>
      </c>
      <c r="AD103" s="60">
        <v>1.4192223131836679</v>
      </c>
      <c r="AE103" s="60">
        <v>1.4214113994986446</v>
      </c>
      <c r="AF103" s="60">
        <v>1.4235509653007468</v>
      </c>
      <c r="AG103" s="60">
        <v>1.4256414763843115</v>
      </c>
      <c r="AH103" s="60">
        <v>1.4276834443073014</v>
      </c>
      <c r="AI103" s="60">
        <f t="shared" si="3"/>
        <v>1.4276834443073014</v>
      </c>
      <c r="AJ103" s="13">
        <v>585</v>
      </c>
      <c r="AK103" s="14"/>
      <c r="AL103" s="14"/>
    </row>
    <row r="104" spans="1:38" ht="11.25" customHeight="1" x14ac:dyDescent="0.25">
      <c r="A104" s="60">
        <f t="shared" si="2"/>
        <v>1.3511052353559114</v>
      </c>
      <c r="B104" s="60">
        <v>1.3511052353559114</v>
      </c>
      <c r="C104" s="60">
        <v>1.3511543857521293</v>
      </c>
      <c r="D104" s="60">
        <v>1.3512362852766513</v>
      </c>
      <c r="E104" s="60">
        <v>1.3513345353012576</v>
      </c>
      <c r="F104" s="60">
        <v>1.3514000174766592</v>
      </c>
      <c r="G104" s="60">
        <v>1.3517272137850942</v>
      </c>
      <c r="H104" s="60">
        <v>1.352054051318107</v>
      </c>
      <c r="I104" s="60">
        <v>1.3523805284988653</v>
      </c>
      <c r="J104" s="60">
        <v>1.352543631466631</v>
      </c>
      <c r="K104" s="60">
        <v>1.3527066437587403</v>
      </c>
      <c r="L104" s="60">
        <v>1.3543317369222223</v>
      </c>
      <c r="M104" s="60">
        <v>1.3575539010473403</v>
      </c>
      <c r="N104" s="60">
        <v>1.3638811066628689</v>
      </c>
      <c r="O104" s="60">
        <v>1.3760315259807694</v>
      </c>
      <c r="P104" s="60">
        <v>1.3818378420045536</v>
      </c>
      <c r="Q104" s="60">
        <v>1.384670832929922</v>
      </c>
      <c r="R104" s="60">
        <v>1.3874561778817442</v>
      </c>
      <c r="S104" s="60">
        <v>1.390193342158198</v>
      </c>
      <c r="T104" s="60">
        <v>1.3928818818190201</v>
      </c>
      <c r="U104" s="60">
        <v>1.3955214414065786</v>
      </c>
      <c r="V104" s="60">
        <v>1.3981117513495811</v>
      </c>
      <c r="W104" s="60">
        <v>1.4006526250894193</v>
      </c>
      <c r="X104" s="60">
        <v>1.4031439559686432</v>
      </c>
      <c r="Y104" s="60">
        <v>1.4055857139200802</v>
      </c>
      <c r="Z104" s="60">
        <v>1.4079779419937555</v>
      </c>
      <c r="AA104" s="60">
        <v>1.4103207527570953</v>
      </c>
      <c r="AB104" s="60">
        <v>1.4126143246019305</v>
      </c>
      <c r="AC104" s="60">
        <v>1.4148588979896783</v>
      </c>
      <c r="AD104" s="60">
        <v>1.4170547716637758</v>
      </c>
      <c r="AE104" s="60">
        <v>1.4192022988560307</v>
      </c>
      <c r="AF104" s="60">
        <v>1.4213018835111335</v>
      </c>
      <c r="AG104" s="60">
        <v>1.423353976551097</v>
      </c>
      <c r="AH104" s="60">
        <v>1.4253590721989706</v>
      </c>
      <c r="AI104" s="60">
        <f t="shared" si="3"/>
        <v>1.4253590721989706</v>
      </c>
      <c r="AJ104" s="13">
        <v>590</v>
      </c>
      <c r="AK104" s="14"/>
      <c r="AL104" s="14"/>
    </row>
    <row r="105" spans="1:38" ht="11.25" customHeight="1" x14ac:dyDescent="0.25">
      <c r="A105" s="60">
        <f t="shared" si="2"/>
        <v>1.3503904530953492</v>
      </c>
      <c r="B105" s="60">
        <v>1.3503904530953492</v>
      </c>
      <c r="C105" s="60">
        <v>1.3504385203149381</v>
      </c>
      <c r="D105" s="60">
        <v>1.3505186148734212</v>
      </c>
      <c r="E105" s="60">
        <v>1.3506146994821828</v>
      </c>
      <c r="F105" s="60">
        <v>1.3506787383774175</v>
      </c>
      <c r="G105" s="60">
        <v>1.3509987222752049</v>
      </c>
      <c r="H105" s="60">
        <v>1.3513183541099305</v>
      </c>
      <c r="I105" s="60">
        <v>1.3516376323891515</v>
      </c>
      <c r="J105" s="60">
        <v>1.3517971384812235</v>
      </c>
      <c r="K105" s="60">
        <v>1.3519565556283442</v>
      </c>
      <c r="L105" s="60">
        <v>1.353545794824758</v>
      </c>
      <c r="M105" s="60">
        <v>1.3566968145951119</v>
      </c>
      <c r="N105" s="60">
        <v>1.3628842633505196</v>
      </c>
      <c r="O105" s="60">
        <v>1.3747673211288678</v>
      </c>
      <c r="P105" s="60">
        <v>1.3804470398038686</v>
      </c>
      <c r="Q105" s="60">
        <v>1.3832186880289357</v>
      </c>
      <c r="R105" s="60">
        <v>1.3859440523918043</v>
      </c>
      <c r="S105" s="60">
        <v>1.3886226359336844</v>
      </c>
      <c r="T105" s="60">
        <v>1.3912540278167538</v>
      </c>
      <c r="U105" s="60">
        <v>1.3938379011141335</v>
      </c>
      <c r="V105" s="60">
        <v>1.3963740103083142</v>
      </c>
      <c r="W105" s="60">
        <v>1.3988621885351979</v>
      </c>
      <c r="X105" s="60">
        <v>1.4013023446103967</v>
      </c>
      <c r="Y105" s="60">
        <v>1.4036944598734702</v>
      </c>
      <c r="Z105" s="60">
        <v>1.4060385848845112</v>
      </c>
      <c r="AA105" s="60">
        <v>1.4083348360058863</v>
      </c>
      <c r="AB105" s="60">
        <v>1.4105833919001265</v>
      </c>
      <c r="AC105" s="60">
        <v>1.4127844899729687</v>
      </c>
      <c r="AD105" s="60">
        <v>1.4149384227883928</v>
      </c>
      <c r="AE105" s="60">
        <v>1.4170455344803055</v>
      </c>
      <c r="AF105" s="60">
        <v>1.419106217183248</v>
      </c>
      <c r="AG105" s="60">
        <v>1.4211209075022364</v>
      </c>
      <c r="AH105" s="60">
        <v>1.423090083039614</v>
      </c>
      <c r="AI105" s="60">
        <f t="shared" si="3"/>
        <v>1.423090083039614</v>
      </c>
      <c r="AJ105" s="13">
        <v>595</v>
      </c>
      <c r="AK105" s="14"/>
      <c r="AL105" s="14"/>
    </row>
    <row r="106" spans="1:38" ht="11.25" customHeight="1" x14ac:dyDescent="0.25">
      <c r="A106" s="60">
        <f t="shared" si="2"/>
        <v>1.3496827390045785</v>
      </c>
      <c r="B106" s="60">
        <v>1.3496827390045785</v>
      </c>
      <c r="C106" s="60">
        <v>1.3497297553939154</v>
      </c>
      <c r="D106" s="60">
        <v>1.3498080988968726</v>
      </c>
      <c r="E106" s="60">
        <v>1.3499020827821189</v>
      </c>
      <c r="F106" s="60">
        <v>1.3499647215251667</v>
      </c>
      <c r="G106" s="60">
        <v>1.350277708647821</v>
      </c>
      <c r="H106" s="60">
        <v>1.3505903504087262</v>
      </c>
      <c r="I106" s="60">
        <v>1.3509026453947393</v>
      </c>
      <c r="J106" s="60">
        <v>1.3510586624076453</v>
      </c>
      <c r="K106" s="60">
        <v>1.3512145922003675</v>
      </c>
      <c r="L106" s="60">
        <v>1.3527690548699292</v>
      </c>
      <c r="M106" s="60">
        <v>1.3558510806804551</v>
      </c>
      <c r="N106" s="60">
        <v>1.3619030382188055</v>
      </c>
      <c r="O106" s="60">
        <v>1.3735269959027219</v>
      </c>
      <c r="P106" s="60">
        <v>1.3790840465024745</v>
      </c>
      <c r="Q106" s="60">
        <v>1.3817962536341855</v>
      </c>
      <c r="R106" s="60">
        <v>1.384463492873812</v>
      </c>
      <c r="S106" s="60">
        <v>1.3870853022604372</v>
      </c>
      <c r="T106" s="60">
        <v>1.3896613015930812</v>
      </c>
      <c r="U106" s="60">
        <v>1.3921911902890987</v>
      </c>
      <c r="V106" s="60">
        <v>1.3946747449745884</v>
      </c>
      <c r="W106" s="60">
        <v>1.3971118168413819</v>
      </c>
      <c r="X106" s="60">
        <v>1.3995023288046065</v>
      </c>
      <c r="Y106" s="60">
        <v>1.4018462724939202</v>
      </c>
      <c r="Z106" s="60">
        <v>1.4041437051102819</v>
      </c>
      <c r="AA106" s="60">
        <v>1.4063947461786301</v>
      </c>
      <c r="AB106" s="60">
        <v>1.4085995742251476</v>
      </c>
      <c r="AC106" s="60">
        <v>1.4107584234059189</v>
      </c>
      <c r="AD106" s="60">
        <v>1.4128715801118199</v>
      </c>
      <c r="AE106" s="60">
        <v>1.4149393795724037</v>
      </c>
      <c r="AF106" s="60">
        <v>1.4169622024794892</v>
      </c>
      <c r="AG106" s="60">
        <v>1.4189404716490175</v>
      </c>
      <c r="AH106" s="60">
        <v>1.4208746487377288</v>
      </c>
      <c r="AI106" s="60">
        <f t="shared" si="3"/>
        <v>1.4208746487377288</v>
      </c>
      <c r="AJ106" s="13">
        <v>600</v>
      </c>
      <c r="AK106" s="14"/>
      <c r="AL106" s="14"/>
    </row>
    <row r="107" spans="1:38" ht="11.25" customHeight="1" x14ac:dyDescent="0.25">
      <c r="A107" s="60">
        <f t="shared" si="2"/>
        <v>1.3489821395647879</v>
      </c>
      <c r="B107" s="60">
        <v>1.3489821395647879</v>
      </c>
      <c r="C107" s="60">
        <v>1.3490281362755712</v>
      </c>
      <c r="D107" s="60">
        <v>1.3491047806417131</v>
      </c>
      <c r="E107" s="60">
        <v>1.3491967261045026</v>
      </c>
      <c r="F107" s="60">
        <v>1.3492580062285002</v>
      </c>
      <c r="G107" s="60">
        <v>1.349564204229426</v>
      </c>
      <c r="H107" s="60">
        <v>1.349870063545962</v>
      </c>
      <c r="I107" s="60">
        <v>1.3501755828395077</v>
      </c>
      <c r="J107" s="60">
        <v>1.3503282145613651</v>
      </c>
      <c r="K107" s="60">
        <v>1.350480760778846</v>
      </c>
      <c r="L107" s="60">
        <v>1.3520014840902166</v>
      </c>
      <c r="M107" s="60">
        <v>1.3550165850618254</v>
      </c>
      <c r="N107" s="60">
        <v>1.3609371526945018</v>
      </c>
      <c r="O107" s="60">
        <v>1.3723099447703242</v>
      </c>
      <c r="P107" s="60">
        <v>1.3777480986421762</v>
      </c>
      <c r="Q107" s="60">
        <v>1.3804026896345614</v>
      </c>
      <c r="R107" s="60">
        <v>1.3830135844113174</v>
      </c>
      <c r="S107" s="60">
        <v>1.3855803534721316</v>
      </c>
      <c r="T107" s="60">
        <v>1.3881026449763239</v>
      </c>
      <c r="U107" s="60">
        <v>1.3905801826688748</v>
      </c>
      <c r="V107" s="60">
        <v>1.3930127635600047</v>
      </c>
      <c r="W107" s="60">
        <v>1.3954002553904521</v>
      </c>
      <c r="X107" s="60">
        <v>1.3977425939140238</v>
      </c>
      <c r="Y107" s="60">
        <v>1.4000397800281321</v>
      </c>
      <c r="Z107" s="60">
        <v>1.4022918767818355</v>
      </c>
      <c r="AA107" s="60">
        <v>1.4044990062895388</v>
      </c>
      <c r="AB107" s="60">
        <v>1.4066613465768749</v>
      </c>
      <c r="AC107" s="60">
        <v>1.4087791283836082</v>
      </c>
      <c r="AD107" s="60">
        <v>1.410852631946506</v>
      </c>
      <c r="AE107" s="60">
        <v>1.4128821837832704</v>
      </c>
      <c r="AF107" s="60">
        <v>1.4148681534966518</v>
      </c>
      <c r="AG107" s="60">
        <v>1.4168109506159479</v>
      </c>
      <c r="AH107" s="60">
        <v>1.4187110214911753</v>
      </c>
      <c r="AI107" s="60">
        <f t="shared" si="3"/>
        <v>1.4187110214911753</v>
      </c>
      <c r="AJ107" s="13">
        <v>605</v>
      </c>
      <c r="AK107" s="14"/>
      <c r="AL107" s="14"/>
    </row>
    <row r="108" spans="1:38" ht="11.25" customHeight="1" x14ac:dyDescent="0.25">
      <c r="A108" s="60">
        <f t="shared" si="2"/>
        <v>1.3482886923469104</v>
      </c>
      <c r="B108" s="60">
        <v>1.3482886923469104</v>
      </c>
      <c r="C108" s="60">
        <v>1.3483336993880191</v>
      </c>
      <c r="D108" s="60">
        <v>1.3484086946307587</v>
      </c>
      <c r="E108" s="60">
        <v>1.3484986616848151</v>
      </c>
      <c r="F108" s="60">
        <v>1.3485586231974176</v>
      </c>
      <c r="G108" s="60">
        <v>1.3488582320956335</v>
      </c>
      <c r="H108" s="60">
        <v>1.3491575089514447</v>
      </c>
      <c r="I108" s="60">
        <v>1.3494564524963379</v>
      </c>
      <c r="J108" s="60">
        <v>1.349605798882727</v>
      </c>
      <c r="K108" s="60">
        <v>1.3497550614689231</v>
      </c>
      <c r="L108" s="60">
        <v>1.3512430441005554</v>
      </c>
      <c r="M108" s="60">
        <v>1.3541932117379576</v>
      </c>
      <c r="N108" s="60">
        <v>1.3599863340609455</v>
      </c>
      <c r="O108" s="60">
        <v>1.37111558384659</v>
      </c>
      <c r="P108" s="60">
        <v>1.3764384622295183</v>
      </c>
      <c r="Q108" s="60">
        <v>1.3790371892011866</v>
      </c>
      <c r="R108" s="60">
        <v>1.3815934491020543</v>
      </c>
      <c r="S108" s="60">
        <v>1.3841068425462044</v>
      </c>
      <c r="T108" s="60">
        <v>1.386577043950326</v>
      </c>
      <c r="U108" s="60">
        <v>1.3890037995263353</v>
      </c>
      <c r="V108" s="60">
        <v>1.3913869250472561</v>
      </c>
      <c r="W108" s="60">
        <v>1.3937263034162488</v>
      </c>
      <c r="X108" s="60">
        <v>1.3960218820681511</v>
      </c>
      <c r="Y108" s="60">
        <v>1.3982736702320213</v>
      </c>
      <c r="Z108" s="60">
        <v>1.4004817360820787</v>
      </c>
      <c r="AA108" s="60">
        <v>1.4026462038031238</v>
      </c>
      <c r="AB108" s="60">
        <v>1.4047672505950199</v>
      </c>
      <c r="AC108" s="60">
        <v>1.40684510363923</v>
      </c>
      <c r="AD108" s="60">
        <v>1.4088800370486607</v>
      </c>
      <c r="AE108" s="60">
        <v>1.4108723688203337</v>
      </c>
      <c r="AF108" s="60">
        <v>1.4128224578085919</v>
      </c>
      <c r="AG108" s="60">
        <v>1.4147307007347534</v>
      </c>
      <c r="AH108" s="60">
        <v>1.4165975292473822</v>
      </c>
      <c r="AI108" s="60">
        <f t="shared" si="3"/>
        <v>1.4165975292473822</v>
      </c>
      <c r="AJ108" s="13">
        <v>610</v>
      </c>
      <c r="AK108" s="14"/>
      <c r="AL108" s="14"/>
    </row>
    <row r="109" spans="1:38" ht="11.25" customHeight="1" x14ac:dyDescent="0.25">
      <c r="A109" s="60">
        <f t="shared" si="2"/>
        <v>1.3476024265229452</v>
      </c>
      <c r="B109" s="60">
        <v>1.3476024265229452</v>
      </c>
      <c r="C109" s="60">
        <v>1.3476464728097253</v>
      </c>
      <c r="D109" s="60">
        <v>1.347719867119392</v>
      </c>
      <c r="E109" s="60">
        <v>1.3478079135898717</v>
      </c>
      <c r="F109" s="60">
        <v>1.3478665950391702</v>
      </c>
      <c r="G109" s="60">
        <v>1.3481598075496919</v>
      </c>
      <c r="H109" s="60">
        <v>1.3484526946143423</v>
      </c>
      <c r="I109" s="60">
        <v>1.3487452550305215</v>
      </c>
      <c r="J109" s="60">
        <v>1.3488914123715012</v>
      </c>
      <c r="K109" s="60">
        <v>1.3490374876025037</v>
      </c>
      <c r="L109" s="60">
        <v>1.3504936914331827</v>
      </c>
      <c r="M109" s="60">
        <v>1.3533808430916203</v>
      </c>
      <c r="N109" s="60">
        <v>1.3590503151875613</v>
      </c>
      <c r="O109" s="60">
        <v>1.3699433497162774</v>
      </c>
      <c r="P109" s="60">
        <v>1.3751544310953345</v>
      </c>
      <c r="Q109" s="60">
        <v>1.377698976918851</v>
      </c>
      <c r="R109" s="60">
        <v>1.38020224396577</v>
      </c>
      <c r="S109" s="60">
        <v>1.3826638607940651</v>
      </c>
      <c r="T109" s="60">
        <v>1.3850835261343886</v>
      </c>
      <c r="U109" s="60">
        <v>1.3874610069480711</v>
      </c>
      <c r="V109" s="60">
        <v>1.3897961362763922</v>
      </c>
      <c r="W109" s="60">
        <v>1.3920888109089629</v>
      </c>
      <c r="X109" s="60">
        <v>1.3943389888985152</v>
      </c>
      <c r="Y109" s="60">
        <v>1.3965466869485612</v>
      </c>
      <c r="Z109" s="60">
        <v>1.3987119776993504</v>
      </c>
      <c r="AA109" s="60">
        <v>1.4008349869363095</v>
      </c>
      <c r="AB109" s="60">
        <v>1.4029158907437587</v>
      </c>
      <c r="AC109" s="60">
        <v>1.4049549126252034</v>
      </c>
      <c r="AD109" s="60">
        <v>1.4069523206099073</v>
      </c>
      <c r="AE109" s="60">
        <v>1.4089084243638068</v>
      </c>
      <c r="AF109" s="60">
        <v>1.4108235723211886</v>
      </c>
      <c r="AG109" s="60">
        <v>1.4126981488518677</v>
      </c>
      <c r="AH109" s="60">
        <v>1.4145325714769812</v>
      </c>
      <c r="AI109" s="60">
        <f t="shared" si="3"/>
        <v>1.4145325714769812</v>
      </c>
      <c r="AJ109" s="13">
        <v>615</v>
      </c>
      <c r="AK109" s="14"/>
      <c r="AL109" s="14"/>
    </row>
    <row r="110" spans="1:38" ht="11.25" customHeight="1" x14ac:dyDescent="0.25">
      <c r="A110" s="60">
        <f t="shared" si="2"/>
        <v>1.3469233633573323</v>
      </c>
      <c r="B110" s="60">
        <v>1.3469233633573323</v>
      </c>
      <c r="C110" s="60">
        <v>1.3469664767584553</v>
      </c>
      <c r="D110" s="60">
        <v>1.347038316580454</v>
      </c>
      <c r="E110" s="60">
        <v>1.3471244981978432</v>
      </c>
      <c r="F110" s="60">
        <v>1.3471819367350184</v>
      </c>
      <c r="G110" s="60">
        <v>1.3474689385828869</v>
      </c>
      <c r="H110" s="60">
        <v>1.3477556215270978</v>
      </c>
      <c r="I110" s="60">
        <v>1.3480419844270595</v>
      </c>
      <c r="J110" s="60">
        <v>1.348185045505824</v>
      </c>
      <c r="K110" s="60">
        <v>1.3483280261488098</v>
      </c>
      <c r="L110" s="60">
        <v>1.3497533778626589</v>
      </c>
      <c r="M110" s="60">
        <v>1.3525793600350016</v>
      </c>
      <c r="N110" s="60">
        <v>1.3581288342871336</v>
      </c>
      <c r="O110" s="60">
        <v>1.3687926983455645</v>
      </c>
      <c r="P110" s="60">
        <v>1.3738953253752177</v>
      </c>
      <c r="Q110" s="60">
        <v>1.3763873070543911</v>
      </c>
      <c r="R110" s="60">
        <v>1.3788391590047575</v>
      </c>
      <c r="S110" s="60">
        <v>1.3812505357193456</v>
      </c>
      <c r="T110" s="60">
        <v>1.3836211584460545</v>
      </c>
      <c r="U110" s="60">
        <v>1.3859508133096394</v>
      </c>
      <c r="V110" s="60">
        <v>1.3882393492414768</v>
      </c>
      <c r="W110" s="60">
        <v>1.3904866757430285</v>
      </c>
      <c r="X110" s="60">
        <v>1.3926927605084083</v>
      </c>
      <c r="Y110" s="60">
        <v>1.394857626930637</v>
      </c>
      <c r="Z110" s="60">
        <v>1.3969813515152048</v>
      </c>
      <c r="AA110" s="60">
        <v>1.3990640612233749</v>
      </c>
      <c r="AB110" s="60">
        <v>1.4011059307663909</v>
      </c>
      <c r="AC110" s="60">
        <v>1.4031071798703194</v>
      </c>
      <c r="AD110" s="60">
        <v>1.4050680705298033</v>
      </c>
      <c r="AE110" s="60">
        <v>1.4069889042674806</v>
      </c>
      <c r="AF110" s="60">
        <v>1.4088700194142658</v>
      </c>
      <c r="AG110" s="60">
        <v>1.4107117884241807</v>
      </c>
      <c r="AH110" s="60">
        <v>1.4125146152358712</v>
      </c>
      <c r="AI110" s="60">
        <f t="shared" si="3"/>
        <v>1.4125146152358712</v>
      </c>
      <c r="AJ110" s="13">
        <v>620</v>
      </c>
      <c r="AK110" s="14"/>
      <c r="AL110" s="14"/>
    </row>
    <row r="111" spans="1:38" ht="11.25" customHeight="1" x14ac:dyDescent="0.25">
      <c r="A111" s="60">
        <f t="shared" si="2"/>
        <v>1.3462515166785149</v>
      </c>
      <c r="B111" s="60">
        <v>1.3462515166785149</v>
      </c>
      <c r="C111" s="60">
        <v>1.3462937240605417</v>
      </c>
      <c r="D111" s="60">
        <v>1.3463640541696871</v>
      </c>
      <c r="E111" s="60">
        <v>1.3464484246590873</v>
      </c>
      <c r="F111" s="60">
        <v>1.3465046560979965</v>
      </c>
      <c r="G111" s="60">
        <v>1.3467856263168567</v>
      </c>
      <c r="H111" s="60">
        <v>1.3470662841121857</v>
      </c>
      <c r="I111" s="60">
        <v>1.3473466284017392</v>
      </c>
      <c r="J111" s="60">
        <v>1.3474866826453968</v>
      </c>
      <c r="K111" s="60">
        <v>1.347626658109669</v>
      </c>
      <c r="L111" s="60">
        <v>1.349022050720547</v>
      </c>
      <c r="M111" s="60">
        <v>1.3517886421554286</v>
      </c>
      <c r="N111" s="60">
        <v>1.3572216346976236</v>
      </c>
      <c r="O111" s="60">
        <v>1.367663104074351</v>
      </c>
      <c r="P111" s="60">
        <v>1.3726604901003809</v>
      </c>
      <c r="Q111" s="60">
        <v>1.3751014619501933</v>
      </c>
      <c r="R111" s="60">
        <v>1.3775034154039836</v>
      </c>
      <c r="S111" s="60">
        <v>1.3798660290298601</v>
      </c>
      <c r="T111" s="60">
        <v>1.3821890449312018</v>
      </c>
      <c r="U111" s="60">
        <v>1.3844722669311256</v>
      </c>
      <c r="V111" s="60">
        <v>1.3867155585798554</v>
      </c>
      <c r="W111" s="60">
        <v>1.3889188410091509</v>
      </c>
      <c r="X111" s="60">
        <v>1.3910820906574259</v>
      </c>
      <c r="Y111" s="60">
        <v>1.3932053368884418</v>
      </c>
      <c r="Z111" s="60">
        <v>1.3952886595254932</v>
      </c>
      <c r="AA111" s="60">
        <v>1.3973321863219474</v>
      </c>
      <c r="AB111" s="60">
        <v>1.3993360903877603</v>
      </c>
      <c r="AC111" s="60">
        <v>1.4013005875902815</v>
      </c>
      <c r="AD111" s="60">
        <v>1.4032259339463189</v>
      </c>
      <c r="AE111" s="60">
        <v>1.4051124230209773</v>
      </c>
      <c r="AF111" s="60">
        <v>1.4069603833473905</v>
      </c>
      <c r="AG111" s="60">
        <v>1.4087701758800322</v>
      </c>
      <c r="AH111" s="60">
        <v>1.4105421914928686</v>
      </c>
      <c r="AI111" s="60">
        <f t="shared" si="3"/>
        <v>1.4105421914928686</v>
      </c>
      <c r="AJ111" s="13">
        <v>625</v>
      </c>
      <c r="AK111" s="14"/>
      <c r="AL111" s="14"/>
    </row>
    <row r="112" spans="1:38" ht="11.25" customHeight="1" x14ac:dyDescent="0.25">
      <c r="A112" s="60">
        <f t="shared" si="2"/>
        <v>1.3455868933309234</v>
      </c>
      <c r="B112" s="60">
        <v>1.3455868933309234</v>
      </c>
      <c r="C112" s="60">
        <v>1.3456282206007042</v>
      </c>
      <c r="D112" s="60">
        <v>1.3456970841719302</v>
      </c>
      <c r="E112" s="60">
        <v>1.3457796953380026</v>
      </c>
      <c r="F112" s="60">
        <v>1.3458347542118556</v>
      </c>
      <c r="G112" s="60">
        <v>1.3461098654279495</v>
      </c>
      <c r="H112" s="60">
        <v>1.3463846706317726</v>
      </c>
      <c r="I112" s="60">
        <v>1.3466591687960008</v>
      </c>
      <c r="J112" s="60">
        <v>1.3467963024189138</v>
      </c>
      <c r="K112" s="60">
        <v>1.3469333588994774</v>
      </c>
      <c r="L112" s="60">
        <v>1.3482996531993665</v>
      </c>
      <c r="M112" s="60">
        <v>1.3510085678602972</v>
      </c>
      <c r="N112" s="60">
        <v>1.3563284646856868</v>
      </c>
      <c r="O112" s="60">
        <v>1.3665540586821423</v>
      </c>
      <c r="P112" s="60">
        <v>1.3714492938894125</v>
      </c>
      <c r="Q112" s="60">
        <v>1.3738407505321337</v>
      </c>
      <c r="R112" s="60">
        <v>1.3761942638589664</v>
      </c>
      <c r="S112" s="60">
        <v>1.3785095347902674</v>
      </c>
      <c r="T112" s="60">
        <v>1.3807863247473584</v>
      </c>
      <c r="U112" s="60">
        <v>1.3830244538978855</v>
      </c>
      <c r="V112" s="60">
        <v>1.3852237992379395</v>
      </c>
      <c r="W112" s="60">
        <v>1.3873842925334667</v>
      </c>
      <c r="X112" s="60">
        <v>1.3895059181429792</v>
      </c>
      <c r="Y112" s="60">
        <v>1.391588710742844</v>
      </c>
      <c r="Z112" s="60">
        <v>1.3936327529755457</v>
      </c>
      <c r="AA112" s="60">
        <v>1.3956381730402971</v>
      </c>
      <c r="AB112" s="60">
        <v>1.3976051422442159</v>
      </c>
      <c r="AC112" s="60">
        <v>1.3995338725310926</v>
      </c>
      <c r="AD112" s="60">
        <v>1.4014246140034754</v>
      </c>
      <c r="AE112" s="60">
        <v>1.4032776524524977</v>
      </c>
      <c r="AF112" s="60">
        <v>1.4050933069085421</v>
      </c>
      <c r="AG112" s="60">
        <v>1.4068719272245072</v>
      </c>
      <c r="AH112" s="60">
        <v>1.4086138917021547</v>
      </c>
      <c r="AI112" s="60">
        <f t="shared" si="3"/>
        <v>1.4086138917021547</v>
      </c>
      <c r="AJ112" s="13">
        <v>630</v>
      </c>
      <c r="AK112" s="14"/>
      <c r="AL112" s="14"/>
    </row>
    <row r="113" spans="1:38" ht="11.25" customHeight="1" x14ac:dyDescent="0.25">
      <c r="A113" s="60">
        <f t="shared" si="2"/>
        <v>1.3449294936076612</v>
      </c>
      <c r="B113" s="60">
        <v>1.3449294936076612</v>
      </c>
      <c r="C113" s="60">
        <v>1.3449699657526837</v>
      </c>
      <c r="D113" s="60">
        <v>1.3450374044283426</v>
      </c>
      <c r="E113" s="60">
        <v>1.3451183062361391</v>
      </c>
      <c r="F113" s="60">
        <v>1.3451722258514311</v>
      </c>
      <c r="G113" s="60">
        <v>1.345441644553802</v>
      </c>
      <c r="H113" s="60">
        <v>1.3457107635804191</v>
      </c>
      <c r="I113" s="60">
        <v>1.3459795819556606</v>
      </c>
      <c r="J113" s="60">
        <v>1.3461138780957618</v>
      </c>
      <c r="K113" s="60">
        <v>1.3462480987098595</v>
      </c>
      <c r="L113" s="60">
        <v>1.3475861246455516</v>
      </c>
      <c r="M113" s="60">
        <v>1.3502390145202963</v>
      </c>
      <c r="N113" s="60">
        <v>1.3554490772693601</v>
      </c>
      <c r="O113" s="60">
        <v>1.3654650705210363</v>
      </c>
      <c r="P113" s="60">
        <v>1.3702611277322967</v>
      </c>
      <c r="Q113" s="60">
        <v>1.3726045069222497</v>
      </c>
      <c r="R113" s="60">
        <v>1.3749109830206474</v>
      </c>
      <c r="S113" s="60">
        <v>1.3771802777036688</v>
      </c>
      <c r="T113" s="60">
        <v>1.37941217028747</v>
      </c>
      <c r="U113" s="60">
        <v>1.3816064960327672</v>
      </c>
      <c r="V113" s="60">
        <v>1.3837631442989045</v>
      </c>
      <c r="W113" s="60">
        <v>1.3858820565684162</v>
      </c>
      <c r="X113" s="60">
        <v>1.3879632243625946</v>
      </c>
      <c r="Y113" s="60">
        <v>1.3900066870678729</v>
      </c>
      <c r="Z113" s="60">
        <v>1.3920125296919905</v>
      </c>
      <c r="AA113" s="60">
        <v>1.3939808805679581</v>
      </c>
      <c r="AB113" s="60">
        <v>1.3959119090227532</v>
      </c>
      <c r="AC113" s="60">
        <v>1.3978058230265633</v>
      </c>
      <c r="AD113" s="60">
        <v>1.3996628668371849</v>
      </c>
      <c r="AE113" s="60">
        <v>1.4014833186529716</v>
      </c>
      <c r="AF113" s="60">
        <v>1.4032674882865033</v>
      </c>
      <c r="AG113" s="60">
        <v>1.4050157148698974</v>
      </c>
      <c r="AH113" s="60">
        <v>1.4067283646014899</v>
      </c>
      <c r="AI113" s="60">
        <f t="shared" si="3"/>
        <v>1.4067283646014899</v>
      </c>
      <c r="AJ113" s="13">
        <v>635</v>
      </c>
      <c r="AK113" s="14"/>
      <c r="AL113" s="14"/>
    </row>
    <row r="114" spans="1:38" ht="11.25" customHeight="1" x14ac:dyDescent="0.25">
      <c r="A114" s="60">
        <f t="shared" si="2"/>
        <v>1.3442793116642526</v>
      </c>
      <c r="B114" s="60">
        <v>1.3442793116642526</v>
      </c>
      <c r="C114" s="60">
        <v>1.3443189527910551</v>
      </c>
      <c r="D114" s="60">
        <v>1.3443850067449794</v>
      </c>
      <c r="E114" s="60">
        <v>1.3444642473968829</v>
      </c>
      <c r="F114" s="60">
        <v>1.3445170598847314</v>
      </c>
      <c r="G114" s="60">
        <v>1.3447809466824043</v>
      </c>
      <c r="H114" s="60">
        <v>1.3450445400610211</v>
      </c>
      <c r="I114" s="60">
        <v>1.345307839093653</v>
      </c>
      <c r="J114" s="60">
        <v>1.3454393779421296</v>
      </c>
      <c r="K114" s="60">
        <v>1.3455708428591151</v>
      </c>
      <c r="L114" s="60">
        <v>1.3468814008412282</v>
      </c>
      <c r="M114" s="60">
        <v>1.3494798586101033</v>
      </c>
      <c r="N114" s="60">
        <v>1.3545832300576448</v>
      </c>
      <c r="O114" s="60">
        <v>1.364395663709963</v>
      </c>
      <c r="P114" s="60">
        <v>1.3690954038589001</v>
      </c>
      <c r="Q114" s="60">
        <v>1.3713920891473887</v>
      </c>
      <c r="R114" s="60">
        <v>1.3736528780475161</v>
      </c>
      <c r="S114" s="60">
        <v>1.375877511511451</v>
      </c>
      <c r="T114" s="60">
        <v>1.3780657854325284</v>
      </c>
      <c r="U114" s="60">
        <v>1.3802175490073489</v>
      </c>
      <c r="V114" s="60">
        <v>1.3823327029590411</v>
      </c>
      <c r="W114" s="60">
        <v>1.3844111976413007</v>
      </c>
      <c r="X114" s="60">
        <v>1.38645303104231</v>
      </c>
      <c r="Y114" s="60">
        <v>1.3884582467070081</v>
      </c>
      <c r="Z114" s="60">
        <v>1.3904269315953575</v>
      </c>
      <c r="AA114" s="60">
        <v>1.3923592138933618</v>
      </c>
      <c r="AB114" s="60">
        <v>1.3942552607925938</v>
      </c>
      <c r="AC114" s="60">
        <v>1.3961152762529274</v>
      </c>
      <c r="AD114" s="60">
        <v>1.3979394987620481</v>
      </c>
      <c r="AE114" s="60">
        <v>1.3997281991042079</v>
      </c>
      <c r="AF114" s="60">
        <v>1.4014816781495087</v>
      </c>
      <c r="AG114" s="60">
        <v>1.4032002646738915</v>
      </c>
      <c r="AH114" s="60">
        <v>1.4048843132188584</v>
      </c>
      <c r="AI114" s="60">
        <f t="shared" si="3"/>
        <v>1.4048843132188584</v>
      </c>
      <c r="AJ114" s="13">
        <v>640</v>
      </c>
      <c r="AK114" s="14"/>
      <c r="AL114" s="14"/>
    </row>
    <row r="115" spans="1:38" ht="11.25" customHeight="1" x14ac:dyDescent="0.25">
      <c r="A115" s="60">
        <f t="shared" si="2"/>
        <v>1.3436363359138412</v>
      </c>
      <c r="B115" s="60">
        <v>1.3436363359138412</v>
      </c>
      <c r="C115" s="60">
        <v>1.3436751692845927</v>
      </c>
      <c r="D115" s="60">
        <v>1.3437398772830982</v>
      </c>
      <c r="E115" s="60">
        <v>1.3438175032920909</v>
      </c>
      <c r="F115" s="60">
        <v>1.3438692396571179</v>
      </c>
      <c r="G115" s="60">
        <v>1.3441277495239516</v>
      </c>
      <c r="H115" s="60">
        <v>1.3443859721442655</v>
      </c>
      <c r="I115" s="60">
        <v>1.3446439066370015</v>
      </c>
      <c r="J115" s="60">
        <v>1.3447727655617121</v>
      </c>
      <c r="K115" s="60">
        <v>1.3449015521266419</v>
      </c>
      <c r="L115" s="60">
        <v>1.3461854142747274</v>
      </c>
      <c r="M115" s="60">
        <v>1.3487309758459203</v>
      </c>
      <c r="N115" s="60">
        <v>1.3537306851050002</v>
      </c>
      <c r="O115" s="60">
        <v>1.3633453773848931</v>
      </c>
      <c r="P115" s="60">
        <v>1.3679515546848515</v>
      </c>
      <c r="Q115" s="60">
        <v>1.3702028779358382</v>
      </c>
      <c r="R115" s="60">
        <v>1.3724192792561472</v>
      </c>
      <c r="S115" s="60">
        <v>1.3746005175016871</v>
      </c>
      <c r="T115" s="60">
        <v>1.3767464039225523</v>
      </c>
      <c r="U115" s="60">
        <v>1.3788568005808983</v>
      </c>
      <c r="V115" s="60">
        <v>1.3809316186407175</v>
      </c>
      <c r="W115" s="60">
        <v>1.382970816547813</v>
      </c>
      <c r="X115" s="60">
        <v>1.3849743981177991</v>
      </c>
      <c r="Y115" s="60">
        <v>1.3869424105493371</v>
      </c>
      <c r="Z115" s="60">
        <v>1.3888749423790336</v>
      </c>
      <c r="AA115" s="60">
        <v>1.3907721213936122</v>
      </c>
      <c r="AB115" s="60">
        <v>1.3926341125140063</v>
      </c>
      <c r="AC115" s="60">
        <v>1.394461115665047</v>
      </c>
      <c r="AD115" s="60">
        <v>1.3962533636433809</v>
      </c>
      <c r="AE115" s="60">
        <v>1.3980111199951843</v>
      </c>
      <c r="AF115" s="60">
        <v>1.3997346769142023</v>
      </c>
      <c r="AG115" s="60">
        <v>1.4014243531695436</v>
      </c>
      <c r="AH115" s="60">
        <v>1.4030804920716478</v>
      </c>
      <c r="AI115" s="60">
        <f t="shared" si="3"/>
        <v>1.4030804920716478</v>
      </c>
      <c r="AJ115" s="13">
        <v>645</v>
      </c>
      <c r="AK115" s="14"/>
      <c r="AL115" s="14"/>
    </row>
    <row r="116" spans="1:38" ht="11.25" customHeight="1" x14ac:dyDescent="0.25">
      <c r="A116" s="60">
        <f t="shared" si="2"/>
        <v>1.3430005494042807</v>
      </c>
      <c r="B116" s="60">
        <v>1.3430005494042807</v>
      </c>
      <c r="C116" s="60">
        <v>1.3430385974716248</v>
      </c>
      <c r="D116" s="60">
        <v>1.3431019969316211</v>
      </c>
      <c r="E116" s="60">
        <v>1.3431780531910729</v>
      </c>
      <c r="F116" s="60">
        <v>1.3432287433579626</v>
      </c>
      <c r="G116" s="60">
        <v>1.3434820258658422</v>
      </c>
      <c r="H116" s="60">
        <v>1.3437350272118971</v>
      </c>
      <c r="I116" s="60">
        <v>1.343987746558289</v>
      </c>
      <c r="J116" s="60">
        <v>1.3441140002212488</v>
      </c>
      <c r="K116" s="60">
        <v>1.3442401830725266</v>
      </c>
      <c r="L116" s="60">
        <v>1.3454980943998194</v>
      </c>
      <c r="M116" s="60">
        <v>1.3479922413192809</v>
      </c>
      <c r="N116" s="60">
        <v>1.3528912087789371</v>
      </c>
      <c r="O116" s="60">
        <v>1.3623137650001984</v>
      </c>
      <c r="P116" s="60">
        <v>1.3668290318283856</v>
      </c>
      <c r="Q116" s="60">
        <v>1.3690362755947267</v>
      </c>
      <c r="R116" s="60">
        <v>1.3712095408621114</v>
      </c>
      <c r="S116" s="60">
        <v>1.3733486031172712</v>
      </c>
      <c r="T116" s="60">
        <v>1.3754532878363419</v>
      </c>
      <c r="U116" s="60">
        <v>1.377523468956773</v>
      </c>
      <c r="V116" s="60">
        <v>1.3795590672309952</v>
      </c>
      <c r="W116" s="60">
        <v>1.3815600484789432</v>
      </c>
      <c r="X116" s="60">
        <v>1.383526421756073</v>
      </c>
      <c r="Y116" s="60">
        <v>1.3854582374529063</v>
      </c>
      <c r="Z116" s="60">
        <v>1.3873555853414288</v>
      </c>
      <c r="AA116" s="60">
        <v>1.3892185925828637</v>
      </c>
      <c r="AB116" s="60">
        <v>1.3910474217104656</v>
      </c>
      <c r="AC116" s="60">
        <v>1.3928422686000643</v>
      </c>
      <c r="AD116" s="60">
        <v>1.3946033604401071</v>
      </c>
      <c r="AE116" s="60">
        <v>1.3963309537119746</v>
      </c>
      <c r="AF116" s="60">
        <v>1.3980253321903517</v>
      </c>
      <c r="AG116" s="60">
        <v>1.399686804972444</v>
      </c>
      <c r="AH116" s="60">
        <v>1.4013157045438618</v>
      </c>
      <c r="AI116" s="60">
        <f t="shared" si="3"/>
        <v>1.4013157045438618</v>
      </c>
      <c r="AJ116" s="13">
        <v>650</v>
      </c>
      <c r="AK116" s="14"/>
      <c r="AL116" s="14"/>
    </row>
    <row r="117" spans="1:38" ht="11.25" customHeight="1" x14ac:dyDescent="0.25">
      <c r="A117" s="60">
        <f t="shared" si="2"/>
        <v>1.3423719301775827</v>
      </c>
      <c r="B117" s="60">
        <v>1.3423719301775827</v>
      </c>
      <c r="C117" s="60">
        <v>1.3424092146178426</v>
      </c>
      <c r="D117" s="60">
        <v>1.3424713416622029</v>
      </c>
      <c r="E117" s="60">
        <v>1.3425458715123644</v>
      </c>
      <c r="F117" s="60">
        <v>1.3425955443702242</v>
      </c>
      <c r="G117" s="60">
        <v>1.342843743911224</v>
      </c>
      <c r="H117" s="60">
        <v>1.3430916682841603</v>
      </c>
      <c r="I117" s="60">
        <v>1.3433393166919341</v>
      </c>
      <c r="J117" s="60">
        <v>1.3434630371612011</v>
      </c>
      <c r="K117" s="60">
        <v>1.343586688342602</v>
      </c>
      <c r="L117" s="60">
        <v>1.3448193678837166</v>
      </c>
      <c r="M117" s="60">
        <v>1.3472635296267113</v>
      </c>
      <c r="N117" s="60">
        <v>1.3520645716391475</v>
      </c>
      <c r="O117" s="60">
        <v>1.3613003936768449</v>
      </c>
      <c r="P117" s="60">
        <v>1.3657273051923282</v>
      </c>
      <c r="Q117" s="60">
        <v>1.3678917049616117</v>
      </c>
      <c r="R117" s="60">
        <v>1.3700230398039683</v>
      </c>
      <c r="S117" s="60">
        <v>1.3721211006557863</v>
      </c>
      <c r="T117" s="60">
        <v>1.3741857261713244</v>
      </c>
      <c r="U117" s="60">
        <v>1.3762168012469063</v>
      </c>
      <c r="V117" s="60">
        <v>1.3782142554359367</v>
      </c>
      <c r="W117" s="60">
        <v>1.3801780612707313</v>
      </c>
      <c r="X117" s="60">
        <v>1.3821082325066814</v>
      </c>
      <c r="Y117" s="60">
        <v>1.3840048223037222</v>
      </c>
      <c r="Z117" s="60">
        <v>1.3858679213593843</v>
      </c>
      <c r="AA117" s="60">
        <v>1.3876976560069636</v>
      </c>
      <c r="AB117" s="60">
        <v>1.389494186291526</v>
      </c>
      <c r="AC117" s="60">
        <v>1.3912577040355907</v>
      </c>
      <c r="AD117" s="60">
        <v>1.3929884309054403</v>
      </c>
      <c r="AE117" s="60">
        <v>1.394686616488086</v>
      </c>
      <c r="AF117" s="60">
        <v>1.3963525363879974</v>
      </c>
      <c r="AG117" s="60">
        <v>1.3979864903517747</v>
      </c>
      <c r="AH117" s="60">
        <v>1.3995888004280566</v>
      </c>
      <c r="AI117" s="60">
        <f t="shared" si="3"/>
        <v>1.3995888004280566</v>
      </c>
      <c r="AJ117" s="13">
        <v>655</v>
      </c>
      <c r="AK117" s="14"/>
      <c r="AL117" s="14"/>
    </row>
    <row r="118" spans="1:38" ht="11.25" customHeight="1" x14ac:dyDescent="0.25">
      <c r="A118" s="60">
        <f t="shared" si="2"/>
        <v>1.3417504516122249</v>
      </c>
      <c r="B118" s="60">
        <v>1.3417504516122249</v>
      </c>
      <c r="C118" s="60">
        <v>1.341786993357051</v>
      </c>
      <c r="D118" s="60">
        <v>1.3418478828673868</v>
      </c>
      <c r="E118" s="60">
        <v>1.3419209281587643</v>
      </c>
      <c r="F118" s="60">
        <v>1.3419696116034021</v>
      </c>
      <c r="G118" s="60">
        <v>1.3422128676014957</v>
      </c>
      <c r="H118" s="60">
        <v>1.3424558543318035</v>
      </c>
      <c r="I118" s="60">
        <v>1.3426985710356307</v>
      </c>
      <c r="J118" s="60">
        <v>1.3428198278918833</v>
      </c>
      <c r="K118" s="60">
        <v>1.3429410169592615</v>
      </c>
      <c r="L118" s="60">
        <v>1.3441491588439451</v>
      </c>
      <c r="M118" s="60">
        <v>1.3465447149948835</v>
      </c>
      <c r="N118" s="60">
        <v>1.3512505483267536</v>
      </c>
      <c r="O118" s="60">
        <v>1.3603048435934684</v>
      </c>
      <c r="P118" s="60">
        <v>1.3646458621059259</v>
      </c>
      <c r="Q118" s="60">
        <v>1.3667686084242912</v>
      </c>
      <c r="R118" s="60">
        <v>1.3688591746436944</v>
      </c>
      <c r="S118" s="60">
        <v>1.3709173660538105</v>
      </c>
      <c r="T118" s="60">
        <v>1.3729430335155643</v>
      </c>
      <c r="U118" s="60">
        <v>1.3749360720358665</v>
      </c>
      <c r="V118" s="60">
        <v>1.3768964192415205</v>
      </c>
      <c r="W118" s="60">
        <v>1.3788240537672452</v>
      </c>
      <c r="X118" s="60">
        <v>1.3807189935723296</v>
      </c>
      <c r="Y118" s="60">
        <v>1.3825812941998652</v>
      </c>
      <c r="Z118" s="60">
        <v>1.3844110469918958</v>
      </c>
      <c r="AA118" s="60">
        <v>1.3862083772730962</v>
      </c>
      <c r="AB118" s="60">
        <v>1.3879734425148347</v>
      </c>
      <c r="AC118" s="60">
        <v>1.3897064304906523</v>
      </c>
      <c r="AD118" s="60">
        <v>1.3914075574333604</v>
      </c>
      <c r="AE118" s="60">
        <v>1.3930770662031045</v>
      </c>
      <c r="AF118" s="60">
        <v>1.3947152244748644</v>
      </c>
      <c r="AG118" s="60">
        <v>1.3963223229530297</v>
      </c>
      <c r="AH118" s="60">
        <v>1.3978986736198282</v>
      </c>
      <c r="AI118" s="60">
        <f t="shared" si="3"/>
        <v>1.3978986736198282</v>
      </c>
      <c r="AJ118" s="13">
        <v>660</v>
      </c>
      <c r="AK118" s="14"/>
      <c r="AL118" s="14"/>
    </row>
    <row r="119" spans="1:38" ht="11.25" customHeight="1" x14ac:dyDescent="0.25">
      <c r="A119" s="60">
        <f t="shared" si="2"/>
        <v>1.3411360827488299</v>
      </c>
      <c r="B119" s="60">
        <v>1.3411360827488299</v>
      </c>
      <c r="C119" s="60">
        <v>1.3411719020153756</v>
      </c>
      <c r="D119" s="60">
        <v>1.3412315876823497</v>
      </c>
      <c r="E119" s="60">
        <v>1.3413031888361273</v>
      </c>
      <c r="F119" s="60">
        <v>1.3413509098103562</v>
      </c>
      <c r="G119" s="60">
        <v>1.3415893569232373</v>
      </c>
      <c r="H119" s="60">
        <v>1.3418275405730504</v>
      </c>
      <c r="I119" s="60">
        <v>1.342065460037321</v>
      </c>
      <c r="J119" s="60">
        <v>1.3421843204754176</v>
      </c>
      <c r="K119" s="60">
        <v>1.3423031145983775</v>
      </c>
      <c r="L119" s="60">
        <v>1.3434873890742443</v>
      </c>
      <c r="M119" s="60">
        <v>1.3458356714009929</v>
      </c>
      <c r="N119" s="60">
        <v>1.3504489174624372</v>
      </c>
      <c r="O119" s="60">
        <v>1.3593267074167654</v>
      </c>
      <c r="P119" s="60">
        <v>1.3635842065217054</v>
      </c>
      <c r="Q119" s="60">
        <v>1.3656664470033977</v>
      </c>
      <c r="R119" s="60">
        <v>1.3677173645375069</v>
      </c>
      <c r="S119" s="60">
        <v>1.3697367777490284</v>
      </c>
      <c r="T119" s="60">
        <v>1.3717245488047367</v>
      </c>
      <c r="U119" s="60">
        <v>1.3736805820367386</v>
      </c>
      <c r="V119" s="60">
        <v>1.3756048224728894</v>
      </c>
      <c r="W119" s="60">
        <v>1.3774972542880435</v>
      </c>
      <c r="X119" s="60">
        <v>1.3793578991897064</v>
      </c>
      <c r="Y119" s="60">
        <v>1.3811868147511153</v>
      </c>
      <c r="Z119" s="60">
        <v>1.3829840927041934</v>
      </c>
      <c r="AA119" s="60">
        <v>1.3847498572041463</v>
      </c>
      <c r="AB119" s="60">
        <v>1.3864842630767469</v>
      </c>
      <c r="AC119" s="60">
        <v>1.3881874940586105</v>
      </c>
      <c r="AD119" s="60">
        <v>1.3898597610399563</v>
      </c>
      <c r="AE119" s="60">
        <v>1.3915013003185728</v>
      </c>
      <c r="AF119" s="60">
        <v>1.3931123718728824</v>
      </c>
      <c r="AG119" s="60">
        <v>1.3946932576612263</v>
      </c>
      <c r="AH119" s="60">
        <v>1.3962442599536833</v>
      </c>
      <c r="AI119" s="60">
        <f t="shared" si="3"/>
        <v>1.3962442599536833</v>
      </c>
      <c r="AJ119" s="13">
        <v>665</v>
      </c>
      <c r="AK119" s="14"/>
      <c r="AL119" s="14"/>
    </row>
    <row r="120" spans="1:38" ht="11.25" customHeight="1" x14ac:dyDescent="0.25">
      <c r="A120" s="60">
        <f t="shared" si="2"/>
        <v>1.3405287885997439</v>
      </c>
      <c r="B120" s="60">
        <v>1.3405287885997439</v>
      </c>
      <c r="C120" s="60">
        <v>1.3405639049194413</v>
      </c>
      <c r="D120" s="60">
        <v>1.3406224192907603</v>
      </c>
      <c r="E120" s="60">
        <v>1.3406926153564169</v>
      </c>
      <c r="F120" s="60">
        <v>1.3407393998884898</v>
      </c>
      <c r="G120" s="60">
        <v>1.3409731682000123</v>
      </c>
      <c r="H120" s="60">
        <v>1.3412066787559875</v>
      </c>
      <c r="I120" s="60">
        <v>1.341439930868106</v>
      </c>
      <c r="J120" s="60">
        <v>1.3415564597938903</v>
      </c>
      <c r="K120" s="60">
        <v>1.3416729238526961</v>
      </c>
      <c r="L120" s="60">
        <v>1.3428339782596785</v>
      </c>
      <c r="M120" s="60">
        <v>1.3451362726881682</v>
      </c>
      <c r="N120" s="60">
        <v>1.349659461552345</v>
      </c>
      <c r="O120" s="60">
        <v>1.3583655897679696</v>
      </c>
      <c r="P120" s="60">
        <v>1.3625418582629913</v>
      </c>
      <c r="Q120" s="60">
        <v>1.3645846994928359</v>
      </c>
      <c r="R120" s="60">
        <v>1.3665970482715766</v>
      </c>
      <c r="S120" s="60">
        <v>1.3685787356140895</v>
      </c>
      <c r="T120" s="60">
        <v>1.370529634157474</v>
      </c>
      <c r="U120" s="60">
        <v>1.3724496568317313</v>
      </c>
      <c r="V120" s="60">
        <v>1.3743387554443824</v>
      </c>
      <c r="W120" s="60">
        <v>1.3761969191921128</v>
      </c>
      <c r="X120" s="60">
        <v>1.3780241731121148</v>
      </c>
      <c r="Y120" s="60">
        <v>1.37982057648531</v>
      </c>
      <c r="Z120" s="60">
        <v>1.3815862212030641</v>
      </c>
      <c r="AA120" s="60">
        <v>1.3833212301083808</v>
      </c>
      <c r="AB120" s="60">
        <v>1.3850257553218879</v>
      </c>
      <c r="AC120" s="60">
        <v>1.3866999765622099</v>
      </c>
      <c r="AD120" s="60">
        <v>1.3883440994696032</v>
      </c>
      <c r="AE120" s="60">
        <v>1.3899583539409661</v>
      </c>
      <c r="AF120" s="60">
        <v>1.3915429924836018</v>
      </c>
      <c r="AG120" s="60">
        <v>1.3930982885943572</v>
      </c>
      <c r="AH120" s="60">
        <v>1.3946245351700519</v>
      </c>
      <c r="AI120" s="60">
        <f t="shared" si="3"/>
        <v>1.3946245351700519</v>
      </c>
      <c r="AJ120" s="13">
        <v>670</v>
      </c>
      <c r="AK120" s="14"/>
      <c r="AL120" s="14"/>
    </row>
    <row r="121" spans="1:38" ht="11.25" customHeight="1" x14ac:dyDescent="0.25">
      <c r="A121" s="60">
        <f t="shared" si="2"/>
        <v>1.3399285304430617</v>
      </c>
      <c r="B121" s="60">
        <v>1.3399285304430617</v>
      </c>
      <c r="C121" s="60">
        <v>1.3399629626890781</v>
      </c>
      <c r="D121" s="60">
        <v>1.3400203372152641</v>
      </c>
      <c r="E121" s="60">
        <v>1.3400891659255407</v>
      </c>
      <c r="F121" s="60">
        <v>1.3401350391658158</v>
      </c>
      <c r="G121" s="60">
        <v>1.3403642543695504</v>
      </c>
      <c r="H121" s="60">
        <v>1.3405932174268087</v>
      </c>
      <c r="I121" s="60">
        <v>1.3408219276815205</v>
      </c>
      <c r="J121" s="60">
        <v>1.3409361878041235</v>
      </c>
      <c r="K121" s="60">
        <v>1.3410503844820918</v>
      </c>
      <c r="L121" s="60">
        <v>1.3421888441811869</v>
      </c>
      <c r="M121" s="60">
        <v>1.3444463926757675</v>
      </c>
      <c r="N121" s="60">
        <v>1.3488819669008032</v>
      </c>
      <c r="O121" s="60">
        <v>1.3574211067224651</v>
      </c>
      <c r="P121" s="60">
        <v>1.3615183523180827</v>
      </c>
      <c r="Q121" s="60">
        <v>1.3635228616535529</v>
      </c>
      <c r="R121" s="60">
        <v>1.3654976833576151</v>
      </c>
      <c r="S121" s="60">
        <v>1.367442659956706</v>
      </c>
      <c r="T121" s="60">
        <v>1.3693576737831072</v>
      </c>
      <c r="U121" s="60">
        <v>1.3712426456910767</v>
      </c>
      <c r="V121" s="60">
        <v>1.3730975336934557</v>
      </c>
      <c r="W121" s="60">
        <v>1.3749223315309922</v>
      </c>
      <c r="X121" s="60">
        <v>1.3767170671862428</v>
      </c>
      <c r="Y121" s="60">
        <v>1.3784818013534259</v>
      </c>
      <c r="Z121" s="60">
        <v>1.3802166258750925</v>
      </c>
      <c r="AA121" s="60">
        <v>1.3819216621558594</v>
      </c>
      <c r="AB121" s="60">
        <v>1.3835970595628406</v>
      </c>
      <c r="AC121" s="60">
        <v>1.385242993821729</v>
      </c>
      <c r="AD121" s="60">
        <v>1.3868596654168093</v>
      </c>
      <c r="AE121" s="60">
        <v>1.388447298002476</v>
      </c>
      <c r="AF121" s="60">
        <v>1.3900061368331349</v>
      </c>
      <c r="AG121" s="60">
        <v>1.3915364472176768</v>
      </c>
      <c r="AH121" s="60">
        <v>1.3930385130040273</v>
      </c>
      <c r="AI121" s="60">
        <f t="shared" si="3"/>
        <v>1.3930385130040273</v>
      </c>
      <c r="AJ121" s="13">
        <v>675</v>
      </c>
      <c r="AK121" s="14"/>
      <c r="AL121" s="14"/>
    </row>
    <row r="122" spans="1:38" ht="11.25" customHeight="1" x14ac:dyDescent="0.25">
      <c r="A122" s="60">
        <f t="shared" si="2"/>
        <v>1.33933526610164</v>
      </c>
      <c r="B122" s="60">
        <v>1.33933526610164</v>
      </c>
      <c r="C122" s="60">
        <v>1.3393690325150751</v>
      </c>
      <c r="D122" s="60">
        <v>1.3394252975931498</v>
      </c>
      <c r="E122" s="60">
        <v>1.3394927954164979</v>
      </c>
      <c r="F122" s="60">
        <v>1.339537781672421</v>
      </c>
      <c r="G122" s="60">
        <v>1.3397625652467837</v>
      </c>
      <c r="H122" s="60">
        <v>1.3399871021843908</v>
      </c>
      <c r="I122" s="60">
        <v>1.3402113918596008</v>
      </c>
      <c r="J122" s="60">
        <v>1.3403234437794749</v>
      </c>
      <c r="K122" s="60">
        <v>1.3404354336510926</v>
      </c>
      <c r="L122" s="60">
        <v>1.3415519029098264</v>
      </c>
      <c r="M122" s="60">
        <v>1.3437659052644799</v>
      </c>
      <c r="N122" s="60">
        <v>1.3481162235289794</v>
      </c>
      <c r="O122" s="60">
        <v>1.3564928853398757</v>
      </c>
      <c r="P122" s="60">
        <v>1.3605132381774765</v>
      </c>
      <c r="Q122" s="60">
        <v>1.3624804454565334</v>
      </c>
      <c r="R122" s="60">
        <v>1.3644187451837508</v>
      </c>
      <c r="S122" s="60">
        <v>1.36632799058095</v>
      </c>
      <c r="T122" s="60">
        <v>1.3682080729563058</v>
      </c>
      <c r="U122" s="60">
        <v>1.3700589204643028</v>
      </c>
      <c r="V122" s="60">
        <v>1.3718804967921909</v>
      </c>
      <c r="W122" s="60">
        <v>1.3736727997844049</v>
      </c>
      <c r="X122" s="60">
        <v>1.3754358600160406</v>
      </c>
      <c r="Y122" s="60">
        <v>1.3771697393260374</v>
      </c>
      <c r="Z122" s="60">
        <v>1.3788745293202085</v>
      </c>
      <c r="AA122" s="60">
        <v>1.3805503498536993</v>
      </c>
      <c r="AB122" s="60">
        <v>1.3821973475018703</v>
      </c>
      <c r="AC122" s="60">
        <v>1.3838156940279689</v>
      </c>
      <c r="AD122" s="60">
        <v>1.3854055848553144</v>
      </c>
      <c r="AE122" s="60">
        <v>1.3869672375510711</v>
      </c>
      <c r="AF122" s="60">
        <v>1.3885008903280309</v>
      </c>
      <c r="AG122" s="60">
        <v>1.390006800570182</v>
      </c>
      <c r="AH122" s="60">
        <v>1.3914852433872011</v>
      </c>
      <c r="AI122" s="60">
        <f t="shared" si="3"/>
        <v>1.3914852433872011</v>
      </c>
      <c r="AJ122" s="13">
        <v>680</v>
      </c>
      <c r="AK122" s="14"/>
      <c r="AL122" s="14"/>
    </row>
    <row r="123" spans="1:38" ht="11.25" customHeight="1" x14ac:dyDescent="0.25">
      <c r="A123" s="60">
        <f t="shared" si="2"/>
        <v>1.3387489502076517</v>
      </c>
      <c r="B123" s="60">
        <v>1.3387489502076517</v>
      </c>
      <c r="C123" s="60">
        <v>1.3387820684225453</v>
      </c>
      <c r="D123" s="60">
        <v>1.3388372534377231</v>
      </c>
      <c r="E123" s="60">
        <v>1.3389034556283654</v>
      </c>
      <c r="F123" s="60">
        <v>1.3389475783978588</v>
      </c>
      <c r="G123" s="60">
        <v>1.3391680477732499</v>
      </c>
      <c r="H123" s="60">
        <v>1.339388275921666</v>
      </c>
      <c r="I123" s="60">
        <v>1.3396082622461922</v>
      </c>
      <c r="J123" s="60">
        <v>1.3397181645391019</v>
      </c>
      <c r="K123" s="60">
        <v>1.3398280061540877</v>
      </c>
      <c r="L123" s="60">
        <v>1.3409230689909717</v>
      </c>
      <c r="M123" s="60">
        <v>1.3430946845361922</v>
      </c>
      <c r="N123" s="60">
        <v>1.3473620250987395</v>
      </c>
      <c r="O123" s="60">
        <v>1.3555805632222013</v>
      </c>
      <c r="P123" s="60">
        <v>1.359526079210813</v>
      </c>
      <c r="Q123" s="60">
        <v>1.3614569783712771</v>
      </c>
      <c r="R123" s="60">
        <v>1.3633597262165267</v>
      </c>
      <c r="S123" s="60">
        <v>1.3652341859051509</v>
      </c>
      <c r="T123" s="60">
        <v>1.3670802570536242</v>
      </c>
      <c r="U123" s="60">
        <v>1.3688978745384968</v>
      </c>
      <c r="V123" s="60">
        <v>1.3706870072306392</v>
      </c>
      <c r="W123" s="60">
        <v>1.372447656672291</v>
      </c>
      <c r="X123" s="60">
        <v>1.3741798557072897</v>
      </c>
      <c r="Y123" s="60">
        <v>1.375883667074447</v>
      </c>
      <c r="Z123" s="60">
        <v>1.3775591819735569</v>
      </c>
      <c r="AA123" s="60">
        <v>1.3792065186129892</v>
      </c>
      <c r="AB123" s="60">
        <v>1.3808258207472743</v>
      </c>
      <c r="AC123" s="60">
        <v>1.3824172562125008</v>
      </c>
      <c r="AD123" s="60">
        <v>1.3839810154667274</v>
      </c>
      <c r="AE123" s="60">
        <v>1.3855173101420315</v>
      </c>
      <c r="AF123" s="60">
        <v>1.3870263716141868</v>
      </c>
      <c r="AG123" s="60">
        <v>1.3885084495953619</v>
      </c>
      <c r="AH123" s="60">
        <v>1.3899638107546437</v>
      </c>
      <c r="AI123" s="60">
        <f t="shared" si="3"/>
        <v>1.3899638107546437</v>
      </c>
      <c r="AJ123" s="13">
        <v>685</v>
      </c>
      <c r="AK123" s="14"/>
      <c r="AL123" s="14"/>
    </row>
    <row r="124" spans="1:38" ht="11.25" customHeight="1" x14ac:dyDescent="0.25">
      <c r="A124" s="60">
        <f t="shared" si="2"/>
        <v>1.3381695344532276</v>
      </c>
      <c r="B124" s="60">
        <v>1.3381695344532276</v>
      </c>
      <c r="C124" s="60">
        <v>1.3382020215204342</v>
      </c>
      <c r="D124" s="60">
        <v>1.3382561548859322</v>
      </c>
      <c r="E124" s="60">
        <v>1.3383210955316542</v>
      </c>
      <c r="F124" s="60">
        <v>1.3383643775349949</v>
      </c>
      <c r="G124" s="60">
        <v>1.3385806462533543</v>
      </c>
      <c r="H124" s="60">
        <v>1.3387966790542674</v>
      </c>
      <c r="I124" s="60">
        <v>1.3390124753679502</v>
      </c>
      <c r="J124" s="60">
        <v>1.3391202846651249</v>
      </c>
      <c r="K124" s="60">
        <v>1.3392280346286505</v>
      </c>
      <c r="L124" s="60">
        <v>1.3403022556187743</v>
      </c>
      <c r="M124" s="60">
        <v>1.3424326048486168</v>
      </c>
      <c r="N124" s="60">
        <v>1.3466191688410292</v>
      </c>
      <c r="O124" s="60">
        <v>1.3546837880977989</v>
      </c>
      <c r="P124" s="60">
        <v>1.3585564520805375</v>
      </c>
      <c r="Q124" s="60">
        <v>1.3604520026963336</v>
      </c>
      <c r="R124" s="60">
        <v>1.362320135250189</v>
      </c>
      <c r="S124" s="60">
        <v>1.3641607221321852</v>
      </c>
      <c r="T124" s="60">
        <v>1.3659736706473677</v>
      </c>
      <c r="U124" s="60">
        <v>1.3677589218586168</v>
      </c>
      <c r="V124" s="60">
        <v>1.3695164493667145</v>
      </c>
      <c r="W124" s="60">
        <v>1.371246258037661</v>
      </c>
      <c r="X124" s="60">
        <v>1.3729483826869811</v>
      </c>
      <c r="Y124" s="60">
        <v>1.3746228867303321</v>
      </c>
      <c r="Z124" s="60">
        <v>1.3762698608092976</v>
      </c>
      <c r="AA124" s="60">
        <v>1.3778894214007409</v>
      </c>
      <c r="AB124" s="60">
        <v>1.3794817094175698</v>
      </c>
      <c r="AC124" s="60">
        <v>1.3810468888082219</v>
      </c>
      <c r="AD124" s="60">
        <v>1.38258514516162</v>
      </c>
      <c r="AE124" s="60">
        <v>1.3840966843237594</v>
      </c>
      <c r="AF124" s="60">
        <v>1.3855817310315448</v>
      </c>
      <c r="AG124" s="60">
        <v>1.3870405275689117</v>
      </c>
      <c r="AH124" s="60">
        <v>1.388473332449718</v>
      </c>
      <c r="AI124" s="60">
        <f t="shared" si="3"/>
        <v>1.388473332449718</v>
      </c>
      <c r="AJ124" s="13">
        <v>690</v>
      </c>
      <c r="AK124" s="14"/>
      <c r="AL124" s="14"/>
    </row>
    <row r="125" spans="1:38" ht="11.25" customHeight="1" x14ac:dyDescent="0.25">
      <c r="A125" s="60">
        <f t="shared" si="2"/>
        <v>1.3375969678277324</v>
      </c>
      <c r="B125" s="60">
        <v>1.3375969678277324</v>
      </c>
      <c r="C125" s="60">
        <v>1.337628840237725</v>
      </c>
      <c r="D125" s="60">
        <v>1.3376819494327798</v>
      </c>
      <c r="E125" s="60">
        <v>1.3377456615005738</v>
      </c>
      <c r="F125" s="60">
        <v>1.3377881247108345</v>
      </c>
      <c r="G125" s="60">
        <v>1.3380003025779983</v>
      </c>
      <c r="H125" s="60">
        <v>1.3382122497369349</v>
      </c>
      <c r="I125" s="60">
        <v>1.3384239656434869</v>
      </c>
      <c r="J125" s="60">
        <v>1.3385297367081357</v>
      </c>
      <c r="K125" s="60">
        <v>1.3386354497573947</v>
      </c>
      <c r="L125" s="60">
        <v>1.3396893748011822</v>
      </c>
      <c r="M125" s="60">
        <v>1.3417795409247228</v>
      </c>
      <c r="N125" s="60">
        <v>1.3458874554882083</v>
      </c>
      <c r="O125" s="60">
        <v>1.3538022174292017</v>
      </c>
      <c r="P125" s="60">
        <v>1.3576039461895177</v>
      </c>
      <c r="Q125" s="60">
        <v>1.3594650749287627</v>
      </c>
      <c r="R125" s="60">
        <v>1.3612994966997856</v>
      </c>
      <c r="S125" s="60">
        <v>1.3631070924683244</v>
      </c>
      <c r="T125" s="60">
        <v>1.3648877766525944</v>
      </c>
      <c r="U125" s="60">
        <v>1.3666414960053408</v>
      </c>
      <c r="V125" s="60">
        <v>1.3683682284378178</v>
      </c>
      <c r="W125" s="60">
        <v>1.370067981795138</v>
      </c>
      <c r="X125" s="60">
        <v>1.3717407925921061</v>
      </c>
      <c r="Y125" s="60">
        <v>1.3733867247182672</v>
      </c>
      <c r="Z125" s="60">
        <v>1.3750058681204753</v>
      </c>
      <c r="AA125" s="60">
        <v>1.3765983374708222</v>
      </c>
      <c r="AB125" s="60">
        <v>1.3781642708272701</v>
      </c>
      <c r="AC125" s="60">
        <v>1.3797038282938283</v>
      </c>
      <c r="AD125" s="60">
        <v>1.3812171906865693</v>
      </c>
      <c r="AE125" s="60">
        <v>1.3827045582112689</v>
      </c>
      <c r="AF125" s="60">
        <v>1.3841661491578996</v>
      </c>
      <c r="AG125" s="60">
        <v>1.3856021986166973</v>
      </c>
      <c r="AH125" s="60">
        <v>1.3870129572199974</v>
      </c>
      <c r="AI125" s="60">
        <f t="shared" si="3"/>
        <v>1.3870129572199974</v>
      </c>
      <c r="AJ125" s="13">
        <v>695</v>
      </c>
      <c r="AK125" s="14"/>
      <c r="AL125" s="14"/>
    </row>
    <row r="126" spans="1:38" ht="11.25" customHeight="1" x14ac:dyDescent="0.25">
      <c r="A126" s="60">
        <f t="shared" si="2"/>
        <v>1.3370311968422153</v>
      </c>
      <c r="B126" s="60">
        <v>1.3370311968422153</v>
      </c>
      <c r="C126" s="60">
        <v>1.3370624705468697</v>
      </c>
      <c r="D126" s="60">
        <v>1.3371145821530537</v>
      </c>
      <c r="E126" s="60">
        <v>1.3371770975327186</v>
      </c>
      <c r="F126" s="60">
        <v>1.3372187632048445</v>
      </c>
      <c r="G126" s="60">
        <v>1.3374269564360746</v>
      </c>
      <c r="H126" s="60">
        <v>1.3376349240681447</v>
      </c>
      <c r="I126" s="60">
        <v>1.3378426655811155</v>
      </c>
      <c r="J126" s="60">
        <v>1.3379464513814872</v>
      </c>
      <c r="K126" s="60">
        <v>1.3380501804588123</v>
      </c>
      <c r="L126" s="60">
        <v>1.3390843375158243</v>
      </c>
      <c r="M126" s="60">
        <v>1.3411353679370155</v>
      </c>
      <c r="N126" s="60">
        <v>1.3451666892098186</v>
      </c>
      <c r="O126" s="60">
        <v>1.3529355180429503</v>
      </c>
      <c r="P126" s="60">
        <v>1.3566681631601012</v>
      </c>
      <c r="Q126" s="60">
        <v>1.3584957651696807</v>
      </c>
      <c r="R126" s="60">
        <v>1.3602973499348763</v>
      </c>
      <c r="S126" s="60">
        <v>1.3620728063870997</v>
      </c>
      <c r="T126" s="60">
        <v>1.3638220555234155</v>
      </c>
      <c r="U126" s="60">
        <v>1.3655450493263102</v>
      </c>
      <c r="V126" s="60">
        <v>1.3672417696297641</v>
      </c>
      <c r="W126" s="60">
        <v>1.3689122269404963</v>
      </c>
      <c r="X126" s="60">
        <v>1.3705564592229134</v>
      </c>
      <c r="Y126" s="60">
        <v>1.3721745306559485</v>
      </c>
      <c r="Z126" s="60">
        <v>1.3737665303695694</v>
      </c>
      <c r="AA126" s="60">
        <v>1.3753325711682831</v>
      </c>
      <c r="AB126" s="60">
        <v>1.3768727882485297</v>
      </c>
      <c r="AC126" s="60">
        <v>1.3783873379163387</v>
      </c>
      <c r="AD126" s="60">
        <v>1.3798763963111638</v>
      </c>
      <c r="AE126" s="60">
        <v>1.3813401581412841</v>
      </c>
      <c r="AF126" s="60">
        <v>1.3827788354356814</v>
      </c>
      <c r="AG126" s="60">
        <v>1.3841926563167952</v>
      </c>
      <c r="AH126" s="60">
        <v>1.3855818637980852</v>
      </c>
      <c r="AI126" s="60">
        <f t="shared" si="3"/>
        <v>1.3855818637980852</v>
      </c>
      <c r="AJ126" s="13">
        <v>700</v>
      </c>
      <c r="AK126" s="14"/>
      <c r="AL126" s="14"/>
    </row>
    <row r="127" spans="1:38" ht="11.25" customHeight="1" x14ac:dyDescent="0.25">
      <c r="A127" s="60">
        <f t="shared" si="2"/>
        <v>1.3364721657415677</v>
      </c>
      <c r="B127" s="60">
        <v>1.3364721657415677</v>
      </c>
      <c r="C127" s="60">
        <v>1.3365028561749757</v>
      </c>
      <c r="D127" s="60">
        <v>1.3365539959109005</v>
      </c>
      <c r="E127" s="60">
        <v>1.3366153454567005</v>
      </c>
      <c r="F127" s="60">
        <v>1.3366562341552939</v>
      </c>
      <c r="G127" s="60">
        <v>1.3368605455143119</v>
      </c>
      <c r="H127" s="60">
        <v>1.3370646362834466</v>
      </c>
      <c r="I127" s="60">
        <v>1.3372685059656493</v>
      </c>
      <c r="J127" s="60">
        <v>1.3373703577448173</v>
      </c>
      <c r="K127" s="60">
        <v>1.3374721540675072</v>
      </c>
      <c r="L127" s="60">
        <v>1.3384870538570974</v>
      </c>
      <c r="M127" s="60">
        <v>1.3404999615867659</v>
      </c>
      <c r="N127" s="60">
        <v>1.3444566775513414</v>
      </c>
      <c r="O127" s="60">
        <v>1.3520833657797773</v>
      </c>
      <c r="P127" s="60">
        <v>1.3557487163423185</v>
      </c>
      <c r="Q127" s="60">
        <v>1.3575436565632548</v>
      </c>
      <c r="R127" s="60">
        <v>1.3593132486509283</v>
      </c>
      <c r="S127" s="60">
        <v>1.361057388934978</v>
      </c>
      <c r="T127" s="60">
        <v>1.3627760044950701</v>
      </c>
      <c r="U127" s="60">
        <v>1.364469052116966</v>
      </c>
      <c r="V127" s="60">
        <v>1.3661365171989424</v>
      </c>
      <c r="W127" s="60">
        <v>1.3677784126168915</v>
      </c>
      <c r="X127" s="60">
        <v>1.3693947775560973</v>
      </c>
      <c r="Y127" s="60">
        <v>1.3709856763173642</v>
      </c>
      <c r="Z127" s="60">
        <v>1.3725511971047804</v>
      </c>
      <c r="AA127" s="60">
        <v>1.3740914508019835</v>
      </c>
      <c r="AB127" s="60">
        <v>1.3756065697433784</v>
      </c>
      <c r="AC127" s="60">
        <v>1.377096706486272</v>
      </c>
      <c r="AD127" s="60">
        <v>1.3785620325894659</v>
      </c>
      <c r="AE127" s="60">
        <v>1.3800027374033446</v>
      </c>
      <c r="AF127" s="60">
        <v>1.3814190268760558</v>
      </c>
      <c r="AG127" s="60">
        <v>1.3828111223799011</v>
      </c>
      <c r="AH127" s="60">
        <v>1.3841792595616174</v>
      </c>
      <c r="AI127" s="60">
        <f t="shared" si="3"/>
        <v>1.3841792595616174</v>
      </c>
      <c r="AJ127" s="13">
        <v>705</v>
      </c>
      <c r="AK127" s="14"/>
      <c r="AL127" s="14"/>
    </row>
    <row r="128" spans="1:38" ht="11.25" customHeight="1" x14ac:dyDescent="0.25">
      <c r="A128" s="60">
        <f t="shared" si="2"/>
        <v>1.3359198167049102</v>
      </c>
      <c r="B128" s="60">
        <v>1.3359198167049102</v>
      </c>
      <c r="C128" s="60">
        <v>1.3359499388032756</v>
      </c>
      <c r="D128" s="60">
        <v>1.336000131557759</v>
      </c>
      <c r="E128" s="60">
        <v>1.3360603451282402</v>
      </c>
      <c r="F128" s="60">
        <v>1.3361004767541129</v>
      </c>
      <c r="G128" s="60">
        <v>1.3363010056859745</v>
      </c>
      <c r="H128" s="60">
        <v>1.3365013189379724</v>
      </c>
      <c r="I128" s="60">
        <v>1.3367014160346997</v>
      </c>
      <c r="J128" s="60">
        <v>1.336801383377233</v>
      </c>
      <c r="K128" s="60">
        <v>1.3369012965042637</v>
      </c>
      <c r="L128" s="60">
        <v>1.3378974331747708</v>
      </c>
      <c r="M128" s="60">
        <v>1.3398731981782879</v>
      </c>
      <c r="N128" s="60">
        <v>1.3437572313755584</v>
      </c>
      <c r="O128" s="60">
        <v>1.3512454451636251</v>
      </c>
      <c r="P128" s="60">
        <v>1.354845230349121</v>
      </c>
      <c r="Q128" s="60">
        <v>1.3566083447667696</v>
      </c>
      <c r="R128" s="60">
        <v>1.3583467602757213</v>
      </c>
      <c r="S128" s="60">
        <v>1.360060380075873</v>
      </c>
      <c r="T128" s="60">
        <v>1.3617491368685515</v>
      </c>
      <c r="U128" s="60">
        <v>1.3634129918475015</v>
      </c>
      <c r="V128" s="60">
        <v>1.3650519336439888</v>
      </c>
      <c r="W128" s="60">
        <v>1.3666659772338126</v>
      </c>
      <c r="X128" s="60">
        <v>1.3682551628137365</v>
      </c>
      <c r="Y128" s="60">
        <v>1.3698195546545391</v>
      </c>
      <c r="Z128" s="60">
        <v>1.371359239937503</v>
      </c>
      <c r="AA128" s="60">
        <v>1.3728743275807862</v>
      </c>
      <c r="AB128" s="60">
        <v>1.3743649470616994</v>
      </c>
      <c r="AC128" s="60">
        <v>1.3758312472404997</v>
      </c>
      <c r="AD128" s="60">
        <v>1.3772733951908644</v>
      </c>
      <c r="AE128" s="60">
        <v>1.3786915750417768</v>
      </c>
      <c r="AF128" s="60">
        <v>1.380085986835123</v>
      </c>
      <c r="AG128" s="60">
        <v>1.3814568454028555</v>
      </c>
      <c r="AH128" s="60">
        <v>1.3828043792671647</v>
      </c>
      <c r="AI128" s="60">
        <f t="shared" si="3"/>
        <v>1.3828043792671647</v>
      </c>
      <c r="AJ128" s="13">
        <v>710</v>
      </c>
      <c r="AK128" s="14"/>
      <c r="AL128" s="14"/>
    </row>
    <row r="129" spans="1:38" ht="11.25" customHeight="1" x14ac:dyDescent="0.25">
      <c r="A129" s="60">
        <f t="shared" si="2"/>
        <v>1.3353740900347235</v>
      </c>
      <c r="B129" s="60">
        <v>1.3353740900347235</v>
      </c>
      <c r="C129" s="60">
        <v>1.3354036582553814</v>
      </c>
      <c r="D129" s="60">
        <v>1.3354529281191558</v>
      </c>
      <c r="E129" s="60">
        <v>1.3355120346152098</v>
      </c>
      <c r="F129" s="60">
        <v>1.335551428430767</v>
      </c>
      <c r="G129" s="60">
        <v>1.3357482711888755</v>
      </c>
      <c r="H129" s="60">
        <v>1.3359449030785726</v>
      </c>
      <c r="I129" s="60">
        <v>1.3361413236449176</v>
      </c>
      <c r="J129" s="60">
        <v>1.3362394545405938</v>
      </c>
      <c r="K129" s="60">
        <v>1.3363375324363695</v>
      </c>
      <c r="L129" s="60">
        <v>1.3373153842044365</v>
      </c>
      <c r="M129" s="60">
        <v>1.3392549546883807</v>
      </c>
      <c r="N129" s="60">
        <v>1.3430681648061675</v>
      </c>
      <c r="O129" s="60">
        <v>1.350421449088115</v>
      </c>
      <c r="P129" s="60">
        <v>1.3539573406167364</v>
      </c>
      <c r="Q129" s="60">
        <v>1.3556894374495596</v>
      </c>
      <c r="R129" s="60">
        <v>1.3573974654083001</v>
      </c>
      <c r="S129" s="60">
        <v>1.3590813340717931</v>
      </c>
      <c r="T129" s="60">
        <v>1.3607409813348237</v>
      </c>
      <c r="U129" s="60">
        <v>1.3623763724327229</v>
      </c>
      <c r="V129" s="60">
        <v>1.3639874989235419</v>
      </c>
      <c r="W129" s="60">
        <v>1.365574377635127</v>
      </c>
      <c r="X129" s="60">
        <v>1.3671370495841513</v>
      </c>
      <c r="Y129" s="60">
        <v>1.3686755788738401</v>
      </c>
      <c r="Z129" s="60">
        <v>1.3701900515768044</v>
      </c>
      <c r="AA129" s="60">
        <v>1.3716805746090033</v>
      </c>
      <c r="AB129" s="60">
        <v>1.3731472746004925</v>
      </c>
      <c r="AC129" s="60">
        <v>1.3745902967682107</v>
      </c>
      <c r="AD129" s="60">
        <v>1.3760098037956392</v>
      </c>
      <c r="AE129" s="60">
        <v>1.3774059747237724</v>
      </c>
      <c r="AF129" s="60">
        <v>1.3787790038574153</v>
      </c>
      <c r="AG129" s="60">
        <v>1.3801290996904352</v>
      </c>
      <c r="AH129" s="60">
        <v>1.3814564838531724</v>
      </c>
      <c r="AI129" s="60">
        <f t="shared" si="3"/>
        <v>1.3814564838531724</v>
      </c>
      <c r="AJ129" s="13">
        <v>715</v>
      </c>
      <c r="AK129" s="14"/>
      <c r="AL129" s="14"/>
    </row>
    <row r="130" spans="1:38" ht="11.25" customHeight="1" x14ac:dyDescent="0.25">
      <c r="A130" s="60">
        <f t="shared" ref="A130:A193" si="4">B130</f>
        <v>1.3348349243352207</v>
      </c>
      <c r="B130" s="60">
        <v>1.3348349243352207</v>
      </c>
      <c r="C130" s="60">
        <v>1.3348639526748283</v>
      </c>
      <c r="D130" s="60">
        <v>1.3349123229708628</v>
      </c>
      <c r="E130" s="60">
        <v>1.3349703503721242</v>
      </c>
      <c r="F130" s="60">
        <v>1.335009025025637</v>
      </c>
      <c r="G130" s="60">
        <v>1.3352022747931911</v>
      </c>
      <c r="H130" s="60">
        <v>1.3353953184060421</v>
      </c>
      <c r="I130" s="60">
        <v>1.3355881554286129</v>
      </c>
      <c r="J130" s="60">
        <v>1.3356844963333239</v>
      </c>
      <c r="K130" s="60">
        <v>1.3357807854286126</v>
      </c>
      <c r="L130" s="60">
        <v>1.3367408151901385</v>
      </c>
      <c r="M130" s="60">
        <v>1.3386451088310809</v>
      </c>
      <c r="N130" s="60">
        <v>1.3423892951733809</v>
      </c>
      <c r="O130" s="60">
        <v>1.3496110785192155</v>
      </c>
      <c r="P130" s="60">
        <v>1.3530846929883713</v>
      </c>
      <c r="Q130" s="60">
        <v>1.3547865538188062</v>
      </c>
      <c r="R130" s="60">
        <v>1.3564649572882239</v>
      </c>
      <c r="S130" s="60">
        <v>1.3581198188971122</v>
      </c>
      <c r="T130" s="60">
        <v>1.3597510813358997</v>
      </c>
      <c r="U130" s="60">
        <v>1.3613587135418799</v>
      </c>
      <c r="V130" s="60">
        <v>1.3629427097169247</v>
      </c>
      <c r="W130" s="60">
        <v>1.3645030883128613</v>
      </c>
      <c r="X130" s="60">
        <v>1.366039890991142</v>
      </c>
      <c r="Y130" s="60">
        <v>1.3675531815631381</v>
      </c>
      <c r="Z130" s="60">
        <v>1.3690430449170472</v>
      </c>
      <c r="AA130" s="60">
        <v>1.3705095859370928</v>
      </c>
      <c r="AB130" s="60">
        <v>1.3719529284202958</v>
      </c>
      <c r="AC130" s="60">
        <v>1.3733732139957497</v>
      </c>
      <c r="AD130" s="60">
        <v>1.3747706010509306</v>
      </c>
      <c r="AE130" s="60">
        <v>1.3761452636691978</v>
      </c>
      <c r="AF130" s="60">
        <v>1.3774973905822505</v>
      </c>
      <c r="AG130" s="60">
        <v>1.3788271841409363</v>
      </c>
      <c r="AH130" s="60">
        <v>1.3801348593074196</v>
      </c>
      <c r="AI130" s="60">
        <f t="shared" ref="AI130:AI193" si="5">AH130</f>
        <v>1.3801348593074196</v>
      </c>
      <c r="AJ130" s="13">
        <v>720</v>
      </c>
      <c r="AK130" s="14"/>
      <c r="AL130" s="14"/>
    </row>
    <row r="131" spans="1:38" ht="11.25" customHeight="1" x14ac:dyDescent="0.25">
      <c r="A131" s="60">
        <f t="shared" si="4"/>
        <v>1.3343022566804559</v>
      </c>
      <c r="B131" s="60">
        <v>1.3343022566804559</v>
      </c>
      <c r="C131" s="60">
        <v>1.334330758692388</v>
      </c>
      <c r="D131" s="60">
        <v>1.334378252004891</v>
      </c>
      <c r="E131" s="60">
        <v>1.3344352274045517</v>
      </c>
      <c r="F131" s="60">
        <v>1.3344732009533731</v>
      </c>
      <c r="G131" s="60">
        <v>1.3346629479595158</v>
      </c>
      <c r="H131" s="60">
        <v>1.3348524934278674</v>
      </c>
      <c r="I131" s="60">
        <v>1.3350418369411721</v>
      </c>
      <c r="J131" s="60">
        <v>1.3351364328351596</v>
      </c>
      <c r="K131" s="60">
        <v>1.3352309780853555</v>
      </c>
      <c r="L131" s="60">
        <v>1.3361736339994994</v>
      </c>
      <c r="M131" s="60">
        <v>1.3380435391178596</v>
      </c>
      <c r="N131" s="60">
        <v>1.3417204429612217</v>
      </c>
      <c r="O131" s="60">
        <v>1.3488140422129453</v>
      </c>
      <c r="P131" s="60">
        <v>1.3522269433196492</v>
      </c>
      <c r="Q131" s="60">
        <v>1.3538993241703408</v>
      </c>
      <c r="R131" s="60">
        <v>1.3555488412930312</v>
      </c>
      <c r="S131" s="60">
        <v>1.3571754156841918</v>
      </c>
      <c r="T131" s="60">
        <v>1.3587789944602791</v>
      </c>
      <c r="U131" s="60">
        <v>1.3603595499457557</v>
      </c>
      <c r="V131" s="60">
        <v>1.3619170787248642</v>
      </c>
      <c r="W131" s="60">
        <v>1.3634516006636421</v>
      </c>
      <c r="X131" s="60">
        <v>1.3649631579083696</v>
      </c>
      <c r="Y131" s="60">
        <v>1.3664518138664188</v>
      </c>
      <c r="Z131" s="60">
        <v>1.3679176521751124</v>
      </c>
      <c r="AA131" s="60">
        <v>1.3693607756639261</v>
      </c>
      <c r="AB131" s="60">
        <v>1.3707813053149813</v>
      </c>
      <c r="AC131" s="60">
        <v>1.3721793792264503</v>
      </c>
      <c r="AD131" s="60">
        <v>1.3735551515831312</v>
      </c>
      <c r="AE131" s="60">
        <v>1.3749087916380802</v>
      </c>
      <c r="AF131" s="60">
        <v>1.3762404827088326</v>
      </c>
      <c r="AG131" s="60">
        <v>1.377550421191398</v>
      </c>
      <c r="AH131" s="60">
        <v>1.3788388155948463</v>
      </c>
      <c r="AI131" s="60">
        <f t="shared" si="5"/>
        <v>1.3788388155948463</v>
      </c>
      <c r="AJ131" s="13">
        <v>725</v>
      </c>
      <c r="AK131" s="14"/>
      <c r="AL131" s="14"/>
    </row>
    <row r="132" spans="1:38" ht="11.25" customHeight="1" x14ac:dyDescent="0.25">
      <c r="A132" s="60">
        <f t="shared" si="4"/>
        <v>1.3337760227726325</v>
      </c>
      <c r="B132" s="60">
        <v>1.3337760227726325</v>
      </c>
      <c r="C132" s="60">
        <v>1.3338040115836287</v>
      </c>
      <c r="D132" s="60">
        <v>1.3338506497857969</v>
      </c>
      <c r="E132" s="60">
        <v>1.3339065994239134</v>
      </c>
      <c r="F132" s="60">
        <v>1.3339438893566873</v>
      </c>
      <c r="G132" s="60">
        <v>1.334130220987624</v>
      </c>
      <c r="H132" s="60">
        <v>1.3343163556019326</v>
      </c>
      <c r="I132" s="60">
        <v>1.3345022927997015</v>
      </c>
      <c r="J132" s="60">
        <v>1.3345951872432527</v>
      </c>
      <c r="K132" s="60">
        <v>1.3346880321840966</v>
      </c>
      <c r="L132" s="60">
        <v>1.3356137482316668</v>
      </c>
      <c r="M132" s="60">
        <v>1.3374501249134247</v>
      </c>
      <c r="N132" s="60">
        <v>1.3410614317563296</v>
      </c>
      <c r="O132" s="60">
        <v>1.3480300564470671</v>
      </c>
      <c r="P132" s="60">
        <v>1.3513837571042948</v>
      </c>
      <c r="Q132" s="60">
        <v>1.3530273894627671</v>
      </c>
      <c r="R132" s="60">
        <v>1.3546487344620226</v>
      </c>
      <c r="S132" s="60">
        <v>1.3562477181982322</v>
      </c>
      <c r="T132" s="60">
        <v>1.3578242918704462</v>
      </c>
      <c r="U132" s="60">
        <v>1.3593784308985208</v>
      </c>
      <c r="V132" s="60">
        <v>1.3609101340075598</v>
      </c>
      <c r="W132" s="60">
        <v>1.3624194222849542</v>
      </c>
      <c r="X132" s="60">
        <v>1.3639063382158598</v>
      </c>
      <c r="Y132" s="60">
        <v>1.3653709447026934</v>
      </c>
      <c r="Z132" s="60">
        <v>1.3668133240739364</v>
      </c>
      <c r="AA132" s="60">
        <v>1.3682335770872296</v>
      </c>
      <c r="AB132" s="60">
        <v>1.3696318219314136</v>
      </c>
      <c r="AC132" s="60">
        <v>1.3710081932318547</v>
      </c>
      <c r="AD132" s="60">
        <v>1.3723628410630295</v>
      </c>
      <c r="AE132" s="60">
        <v>1.3736959299720333</v>
      </c>
      <c r="AF132" s="60">
        <v>1.3750076380163192</v>
      </c>
      <c r="AG132" s="60">
        <v>1.3762981558186453</v>
      </c>
      <c r="AH132" s="60">
        <v>1.3775676856418864</v>
      </c>
      <c r="AI132" s="60">
        <f t="shared" si="5"/>
        <v>1.3775676856418864</v>
      </c>
      <c r="AJ132" s="13">
        <v>730</v>
      </c>
      <c r="AK132" s="14"/>
      <c r="AL132" s="14"/>
    </row>
    <row r="133" spans="1:38" ht="11.25" customHeight="1" x14ac:dyDescent="0.25">
      <c r="A133" s="60">
        <f t="shared" si="4"/>
        <v>1.3332561570910857</v>
      </c>
      <c r="B133" s="60">
        <v>1.3332561570910857</v>
      </c>
      <c r="C133" s="60">
        <v>1.3332836454171797</v>
      </c>
      <c r="D133" s="60">
        <v>1.3333294496977501</v>
      </c>
      <c r="E133" s="60">
        <v>1.3333843989931169</v>
      </c>
      <c r="F133" s="60">
        <v>1.3334210222510332</v>
      </c>
      <c r="G133" s="60">
        <v>1.3336040231563537</v>
      </c>
      <c r="H133" s="60">
        <v>1.3337868314716022</v>
      </c>
      <c r="I133" s="60">
        <v>1.3339694468132894</v>
      </c>
      <c r="J133" s="60">
        <v>1.3340606820000214</v>
      </c>
      <c r="K133" s="60">
        <v>1.3341518688009035</v>
      </c>
      <c r="L133" s="60">
        <v>1.3350610653184052</v>
      </c>
      <c r="M133" s="60">
        <v>1.3368647464872845</v>
      </c>
      <c r="N133" s="60">
        <v>1.3404120881980655</v>
      </c>
      <c r="O133" s="60">
        <v>1.3472588447658063</v>
      </c>
      <c r="P133" s="60">
        <v>1.3505548091187101</v>
      </c>
      <c r="Q133" s="60">
        <v>1.3521704009133397</v>
      </c>
      <c r="R133" s="60">
        <v>1.35376426504461</v>
      </c>
      <c r="S133" s="60">
        <v>1.3553363323394203</v>
      </c>
      <c r="T133" s="60">
        <v>1.3568865577602931</v>
      </c>
      <c r="U133" s="60">
        <v>1.3584149195520663</v>
      </c>
      <c r="V133" s="60">
        <v>1.3599214183576536</v>
      </c>
      <c r="W133" s="60">
        <v>1.3614060763085947</v>
      </c>
      <c r="X133" s="60">
        <v>1.3628689360958843</v>
      </c>
      <c r="Y133" s="60">
        <v>1.3643100600263223</v>
      </c>
      <c r="Z133" s="60">
        <v>1.3657295290693514</v>
      </c>
      <c r="AA133" s="60">
        <v>1.3671274418990633</v>
      </c>
      <c r="AB133" s="60">
        <v>1.3685039139357422</v>
      </c>
      <c r="AC133" s="60">
        <v>1.369859076391007</v>
      </c>
      <c r="AD133" s="60">
        <v>1.3711930753203048</v>
      </c>
      <c r="AE133" s="60">
        <v>1.3725060706861645</v>
      </c>
      <c r="AF133" s="60">
        <v>1.3737982354353377</v>
      </c>
      <c r="AG133" s="60">
        <v>1.3750697545926029</v>
      </c>
      <c r="AH133" s="60">
        <v>1.3763208243737353</v>
      </c>
      <c r="AI133" s="60">
        <f t="shared" si="5"/>
        <v>1.3763208243737353</v>
      </c>
      <c r="AJ133" s="13">
        <v>735</v>
      </c>
      <c r="AK133" s="14"/>
      <c r="AL133" s="14"/>
    </row>
    <row r="134" spans="1:38" ht="11.25" customHeight="1" x14ac:dyDescent="0.25">
      <c r="A134" s="60">
        <f t="shared" si="4"/>
        <v>1.3327425930323715</v>
      </c>
      <c r="B134" s="60">
        <v>1.3327425930323715</v>
      </c>
      <c r="C134" s="60">
        <v>1.3327695931941383</v>
      </c>
      <c r="D134" s="60">
        <v>1.3328145840828098</v>
      </c>
      <c r="E134" s="60">
        <v>1.3328685576634671</v>
      </c>
      <c r="F134" s="60">
        <v>1.3329045306606033</v>
      </c>
      <c r="G134" s="60">
        <v>1.333084282855048</v>
      </c>
      <c r="H134" s="60">
        <v>1.3332638467925884</v>
      </c>
      <c r="I134" s="60">
        <v>1.3334432221052899</v>
      </c>
      <c r="J134" s="60">
        <v>1.3335328389131342</v>
      </c>
      <c r="K134" s="60">
        <v>1.3336224084280994</v>
      </c>
      <c r="L134" s="60">
        <v>1.3345154926186296</v>
      </c>
      <c r="M134" s="60">
        <v>1.3362872850612348</v>
      </c>
      <c r="N134" s="60">
        <v>1.3397722419297637</v>
      </c>
      <c r="O134" s="60">
        <v>1.3465001377367152</v>
      </c>
      <c r="P134" s="60">
        <v>1.3497397830841802</v>
      </c>
      <c r="Q134" s="60">
        <v>1.3513280196141615</v>
      </c>
      <c r="R134" s="60">
        <v>1.3528950720716089</v>
      </c>
      <c r="S134" s="60">
        <v>1.3544408756705759</v>
      </c>
      <c r="T134" s="60">
        <v>1.3559653888405241</v>
      </c>
      <c r="U134" s="60">
        <v>1.3574685924006773</v>
      </c>
      <c r="V134" s="60">
        <v>1.358950488705819</v>
      </c>
      <c r="W134" s="60">
        <v>1.3604111007689048</v>
      </c>
      <c r="X134" s="60">
        <v>1.3618504713656536</v>
      </c>
      <c r="Y134" s="60">
        <v>1.3632686621260484</v>
      </c>
      <c r="Z134" s="60">
        <v>1.3646657526174124</v>
      </c>
      <c r="AA134" s="60">
        <v>1.3660418394234424</v>
      </c>
      <c r="AB134" s="60">
        <v>1.3673970352233251</v>
      </c>
      <c r="AC134" s="60">
        <v>1.3687314678747351</v>
      </c>
      <c r="AD134" s="60">
        <v>1.3700452795042284</v>
      </c>
      <c r="AE134" s="60">
        <v>1.3713386256082567</v>
      </c>
      <c r="AF134" s="60">
        <v>1.3726116741677068</v>
      </c>
      <c r="AG134" s="60">
        <v>1.3738646047785954</v>
      </c>
      <c r="AH134" s="60">
        <v>1.3750976078012529</v>
      </c>
      <c r="AI134" s="60">
        <f t="shared" si="5"/>
        <v>1.3750976078012529</v>
      </c>
      <c r="AJ134" s="13">
        <v>740</v>
      </c>
      <c r="AK134" s="14"/>
      <c r="AL134" s="14"/>
    </row>
    <row r="135" spans="1:38" ht="11.25" customHeight="1" x14ac:dyDescent="0.25">
      <c r="A135" s="60">
        <f t="shared" si="4"/>
        <v>1.3322352630419032</v>
      </c>
      <c r="B135" s="60">
        <v>1.3322352630419032</v>
      </c>
      <c r="C135" s="60">
        <v>1.3322617869790609</v>
      </c>
      <c r="D135" s="60">
        <v>1.3323059843708289</v>
      </c>
      <c r="E135" s="60">
        <v>1.3323590061032728</v>
      </c>
      <c r="F135" s="60">
        <v>1.3323943447460718</v>
      </c>
      <c r="G135" s="60">
        <v>1.3325709277069555</v>
      </c>
      <c r="H135" s="60">
        <v>1.3327473266520014</v>
      </c>
      <c r="I135" s="60">
        <v>1.3329235412280105</v>
      </c>
      <c r="J135" s="60">
        <v>1.3330115792680151</v>
      </c>
      <c r="K135" s="60">
        <v>1.3330995710845748</v>
      </c>
      <c r="L135" s="60">
        <v>1.333976937506703</v>
      </c>
      <c r="M135" s="60">
        <v>1.3357176228529442</v>
      </c>
      <c r="N135" s="60">
        <v>1.3391417255509981</v>
      </c>
      <c r="O135" s="60">
        <v>1.3457536727188724</v>
      </c>
      <c r="P135" s="60">
        <v>1.3489383713455689</v>
      </c>
      <c r="Q135" s="60">
        <v>1.3504999161673858</v>
      </c>
      <c r="R135" s="60">
        <v>1.3520408049479966</v>
      </c>
      <c r="S135" s="60">
        <v>1.3535609769686594</v>
      </c>
      <c r="T135" s="60">
        <v>1.3550603938502264</v>
      </c>
      <c r="U135" s="60">
        <v>1.3565390387541085</v>
      </c>
      <c r="V135" s="60">
        <v>1.357996915556875</v>
      </c>
      <c r="W135" s="60">
        <v>1.3594340480035507</v>
      </c>
      <c r="X135" s="60">
        <v>1.3608504788444675</v>
      </c>
      <c r="Y135" s="60">
        <v>1.3622462689602963</v>
      </c>
      <c r="Z135" s="60">
        <v>1.3636214964796565</v>
      </c>
      <c r="AA135" s="60">
        <v>1.3649762558934118</v>
      </c>
      <c r="AB135" s="60">
        <v>1.3663106571695336</v>
      </c>
      <c r="AC135" s="60">
        <v>1.3676248248720884</v>
      </c>
      <c r="AD135" s="60">
        <v>1.3689188972876667</v>
      </c>
      <c r="AE135" s="60">
        <v>1.3701930255622641</v>
      </c>
      <c r="AF135" s="60">
        <v>1.371447372851349</v>
      </c>
      <c r="AG135" s="60">
        <v>1.37268211348559</v>
      </c>
      <c r="AH135" s="60">
        <v>1.3738974321544217</v>
      </c>
      <c r="AI135" s="60">
        <f t="shared" si="5"/>
        <v>1.3738974321544217</v>
      </c>
      <c r="AJ135" s="13">
        <v>745</v>
      </c>
      <c r="AK135" s="14"/>
      <c r="AL135" s="14"/>
    </row>
    <row r="136" spans="1:38" ht="11.25" customHeight="1" x14ac:dyDescent="0.25">
      <c r="A136" s="60">
        <f t="shared" si="4"/>
        <v>1.331734098737549</v>
      </c>
      <c r="B136" s="60">
        <v>1.331734098737549</v>
      </c>
      <c r="C136" s="60">
        <v>1.331760158022939</v>
      </c>
      <c r="D136" s="60">
        <v>1.3318035812014</v>
      </c>
      <c r="E136" s="60">
        <v>1.3318556742185543</v>
      </c>
      <c r="F136" s="60">
        <v>1.3318903939244757</v>
      </c>
      <c r="G136" s="60">
        <v>1.3320638846849797</v>
      </c>
      <c r="H136" s="60">
        <v>1.3322371955799541</v>
      </c>
      <c r="I136" s="60">
        <v>1.3324103262701654</v>
      </c>
      <c r="J136" s="60">
        <v>1.3324968239332136</v>
      </c>
      <c r="K136" s="60">
        <v>1.3325832764190835</v>
      </c>
      <c r="L136" s="60">
        <v>1.3334453074547756</v>
      </c>
      <c r="M136" s="60">
        <v>1.3351556431157865</v>
      </c>
      <c r="N136" s="60">
        <v>1.3385203745707355</v>
      </c>
      <c r="O136" s="60">
        <v>1.3450191936416795</v>
      </c>
      <c r="P136" s="60">
        <v>1.3481502745654337</v>
      </c>
      <c r="Q136" s="60">
        <v>1.3496857703381959</v>
      </c>
      <c r="R136" s="60">
        <v>1.351201123065757</v>
      </c>
      <c r="S136" s="60">
        <v>1.3526962757986065</v>
      </c>
      <c r="T136" s="60">
        <v>1.3541711930929468</v>
      </c>
      <c r="U136" s="60">
        <v>1.3556258602372482</v>
      </c>
      <c r="V136" s="60">
        <v>1.3570602824544813</v>
      </c>
      <c r="W136" s="60">
        <v>1.3584744840847842</v>
      </c>
      <c r="X136" s="60">
        <v>1.3598685077531383</v>
      </c>
      <c r="Y136" s="60">
        <v>1.3612424135264087</v>
      </c>
      <c r="Z136" s="60">
        <v>1.3625962780638718</v>
      </c>
      <c r="AA136" s="60">
        <v>1.3639301937651012</v>
      </c>
      <c r="AB136" s="60">
        <v>1.3652442679188501</v>
      </c>
      <c r="AC136" s="60">
        <v>1.3665386218562867</v>
      </c>
      <c r="AD136" s="60">
        <v>1.3678133901116789</v>
      </c>
      <c r="AE136" s="60">
        <v>1.3690687195933688</v>
      </c>
      <c r="AF136" s="60">
        <v>1.3703047687676064</v>
      </c>
      <c r="AG136" s="60">
        <v>1.371521706857554</v>
      </c>
      <c r="AH136" s="60">
        <v>1.3727197130595206</v>
      </c>
      <c r="AI136" s="60">
        <f t="shared" si="5"/>
        <v>1.3727197130595206</v>
      </c>
      <c r="AJ136" s="13">
        <v>750</v>
      </c>
      <c r="AK136" s="14"/>
      <c r="AL136" s="14"/>
    </row>
    <row r="137" spans="1:38" ht="11.25" customHeight="1" x14ac:dyDescent="0.25">
      <c r="A137" s="60">
        <f t="shared" si="4"/>
        <v>1.3312390310255879</v>
      </c>
      <c r="B137" s="60">
        <v>1.3312390310255879</v>
      </c>
      <c r="C137" s="60">
        <v>1.3312646368785672</v>
      </c>
      <c r="D137" s="60">
        <v>1.3313073045382458</v>
      </c>
      <c r="E137" s="60">
        <v>1.3313584912662564</v>
      </c>
      <c r="F137" s="60">
        <v>1.3313926069816411</v>
      </c>
      <c r="G137" s="60">
        <v>1.3315630802201683</v>
      </c>
      <c r="H137" s="60">
        <v>1.3317333776541085</v>
      </c>
      <c r="I137" s="60">
        <v>1.3319034989574663</v>
      </c>
      <c r="J137" s="60">
        <v>1.33198849345902</v>
      </c>
      <c r="K137" s="60">
        <v>1.3320734438068664</v>
      </c>
      <c r="L137" s="60">
        <v>1.3329205101094739</v>
      </c>
      <c r="M137" s="60">
        <v>1.3346012301751127</v>
      </c>
      <c r="N137" s="60">
        <v>1.3379080273612898</v>
      </c>
      <c r="O137" s="60">
        <v>1.3442964507935777</v>
      </c>
      <c r="P137" s="60">
        <v>1.3473752014325879</v>
      </c>
      <c r="Q137" s="60">
        <v>1.3488852707244507</v>
      </c>
      <c r="R137" s="60">
        <v>1.3503756954355521</v>
      </c>
      <c r="S137" s="60">
        <v>1.3518464221080944</v>
      </c>
      <c r="T137" s="60">
        <v>1.3532974179957231</v>
      </c>
      <c r="U137" s="60">
        <v>1.3547286703146977</v>
      </c>
      <c r="V137" s="60">
        <v>1.35614018547263</v>
      </c>
      <c r="W137" s="60">
        <v>1.3575319882792738</v>
      </c>
      <c r="X137" s="60">
        <v>1.3589041211436697</v>
      </c>
      <c r="Y137" s="60">
        <v>1.3602566432617358</v>
      </c>
      <c r="Z137" s="60">
        <v>1.361589629798192</v>
      </c>
      <c r="AA137" s="60">
        <v>1.3629031710664543</v>
      </c>
      <c r="AB137" s="60">
        <v>1.3641973717099114</v>
      </c>
      <c r="AC137" s="60">
        <v>1.3654723498877479</v>
      </c>
      <c r="AD137" s="60">
        <v>1.3667282364682203</v>
      </c>
      <c r="AE137" s="60">
        <v>1.3679651742320522</v>
      </c>
      <c r="AF137" s="60">
        <v>1.3691833170883652</v>
      </c>
      <c r="AG137" s="60">
        <v>1.370382829305314</v>
      </c>
      <c r="AH137" s="60">
        <v>1.3715638847573659</v>
      </c>
      <c r="AI137" s="60">
        <f t="shared" si="5"/>
        <v>1.3715638847573659</v>
      </c>
      <c r="AJ137" s="13">
        <v>755</v>
      </c>
      <c r="AK137" s="14"/>
      <c r="AL137" s="14"/>
    </row>
    <row r="138" spans="1:38" ht="11.25" customHeight="1" x14ac:dyDescent="0.25">
      <c r="A138" s="60">
        <f t="shared" si="4"/>
        <v>1.3307499902094155</v>
      </c>
      <c r="B138" s="60">
        <v>1.3307499902094155</v>
      </c>
      <c r="C138" s="60">
        <v>1.3307751535086916</v>
      </c>
      <c r="D138" s="60">
        <v>1.3308170837764284</v>
      </c>
      <c r="E138" s="60">
        <v>1.3308673859603337</v>
      </c>
      <c r="F138" s="60">
        <v>1.3309009121775186</v>
      </c>
      <c r="G138" s="60">
        <v>1.3310684403033011</v>
      </c>
      <c r="H138" s="60">
        <v>1.3312357965975028</v>
      </c>
      <c r="I138" s="60">
        <v>1.3314029807466841</v>
      </c>
      <c r="J138" s="60">
        <v>1.3314865081696359</v>
      </c>
      <c r="K138" s="60">
        <v>1.3315699924399422</v>
      </c>
      <c r="L138" s="60">
        <v>1.3324024533632068</v>
      </c>
      <c r="M138" s="60">
        <v>1.3340542694611055</v>
      </c>
      <c r="N138" s="60">
        <v>1.3373045251129849</v>
      </c>
      <c r="O138" s="60">
        <v>1.3435852006200535</v>
      </c>
      <c r="P138" s="60">
        <v>1.3466128683842147</v>
      </c>
      <c r="Q138" s="60">
        <v>1.3480981144419522</v>
      </c>
      <c r="R138" s="60">
        <v>1.3495642003360453</v>
      </c>
      <c r="S138" s="60">
        <v>1.3510110758419334</v>
      </c>
      <c r="T138" s="60">
        <v>1.3524387106896603</v>
      </c>
      <c r="U138" s="60">
        <v>1.3538470938387261</v>
      </c>
      <c r="V138" s="60">
        <v>1.3552362327322605</v>
      </c>
      <c r="W138" s="60">
        <v>1.3566061525347421</v>
      </c>
      <c r="X138" s="60">
        <v>1.3579568953573202</v>
      </c>
      <c r="Y138" s="60">
        <v>1.3592885194745845</v>
      </c>
      <c r="Z138" s="60">
        <v>1.3606010985364392</v>
      </c>
      <c r="AA138" s="60">
        <v>1.3618947207785081</v>
      </c>
      <c r="AB138" s="60">
        <v>1.363169488234272</v>
      </c>
      <c r="AC138" s="60">
        <v>1.3644255159519167</v>
      </c>
      <c r="AD138" s="60">
        <v>1.3656629312186241</v>
      </c>
      <c r="AE138" s="60">
        <v>1.3668818727948111</v>
      </c>
      <c r="AF138" s="60">
        <v>1.3680824901605861</v>
      </c>
      <c r="AG138" s="60">
        <v>1.3692649427764645</v>
      </c>
      <c r="AH138" s="60">
        <v>1.3704293993601622</v>
      </c>
      <c r="AI138" s="60">
        <f t="shared" si="5"/>
        <v>1.3704293993601622</v>
      </c>
      <c r="AJ138" s="13">
        <v>760</v>
      </c>
      <c r="AK138" s="14"/>
      <c r="AL138" s="14"/>
    </row>
    <row r="139" spans="1:38" ht="11.25" customHeight="1" x14ac:dyDescent="0.25">
      <c r="A139" s="60">
        <f t="shared" si="4"/>
        <v>1.3302669060913674</v>
      </c>
      <c r="B139" s="60">
        <v>1.3302669060913674</v>
      </c>
      <c r="C139" s="60">
        <v>1.3302916373872944</v>
      </c>
      <c r="D139" s="60">
        <v>1.3303328478427447</v>
      </c>
      <c r="E139" s="60">
        <v>1.3303822865710775</v>
      </c>
      <c r="F139" s="60">
        <v>1.3304152373448006</v>
      </c>
      <c r="G139" s="60">
        <v>1.3305798905799298</v>
      </c>
      <c r="H139" s="60">
        <v>1.3307443758700133</v>
      </c>
      <c r="I139" s="60">
        <v>1.330908692913521</v>
      </c>
      <c r="J139" s="60">
        <v>1.3309907882492531</v>
      </c>
      <c r="K139" s="60">
        <v>1.331072841411381</v>
      </c>
      <c r="L139" s="60">
        <v>1.331891045420365</v>
      </c>
      <c r="M139" s="60">
        <v>1.3335146475383952</v>
      </c>
      <c r="N139" s="60">
        <v>1.3367097117894684</v>
      </c>
      <c r="O139" s="60">
        <v>1.3428852055303671</v>
      </c>
      <c r="P139" s="60">
        <v>1.3458629993406903</v>
      </c>
      <c r="Q139" s="60">
        <v>1.3473240068243726</v>
      </c>
      <c r="R139" s="60">
        <v>1.3487663249797948</v>
      </c>
      <c r="S139" s="60">
        <v>1.3501899065748819</v>
      </c>
      <c r="T139" s="60">
        <v>1.3515947236107162</v>
      </c>
      <c r="U139" s="60">
        <v>1.3529807666191669</v>
      </c>
      <c r="V139" s="60">
        <v>1.3543480439414726</v>
      </c>
      <c r="W139" s="60">
        <v>1.3556965809917614</v>
      </c>
      <c r="X139" s="60">
        <v>1.3570264195093167</v>
      </c>
      <c r="Y139" s="60">
        <v>1.358337616803224</v>
      </c>
      <c r="Z139" s="60">
        <v>1.3596302449928301</v>
      </c>
      <c r="AA139" s="60">
        <v>1.3609043902472382</v>
      </c>
      <c r="AB139" s="60">
        <v>1.3621601520268578</v>
      </c>
      <c r="AC139" s="60">
        <v>1.3633976423298024</v>
      </c>
      <c r="AD139" s="60">
        <v>1.3646169849457057</v>
      </c>
      <c r="AE139" s="60">
        <v>1.365818314719317</v>
      </c>
      <c r="AF139" s="60">
        <v>1.367001776826003</v>
      </c>
      <c r="AG139" s="60">
        <v>1.3681675260610791</v>
      </c>
      <c r="AH139" s="60">
        <v>1.3693157261446742</v>
      </c>
      <c r="AI139" s="60">
        <f t="shared" si="5"/>
        <v>1.3693157261446742</v>
      </c>
      <c r="AJ139" s="13">
        <v>765</v>
      </c>
      <c r="AK139" s="14"/>
      <c r="AL139" s="14"/>
    </row>
    <row r="140" spans="1:38" ht="11.25" customHeight="1" x14ac:dyDescent="0.25">
      <c r="A140" s="60">
        <f t="shared" si="4"/>
        <v>1.3297897080680185</v>
      </c>
      <c r="B140" s="60">
        <v>1.3297897080680185</v>
      </c>
      <c r="C140" s="60">
        <v>1.3298140175943858</v>
      </c>
      <c r="D140" s="60">
        <v>1.3298545252896687</v>
      </c>
      <c r="E140" s="60">
        <v>1.3299031210180348</v>
      </c>
      <c r="F140" s="60">
        <v>1.3299355099811563</v>
      </c>
      <c r="G140" s="60">
        <v>1.3300973564392102</v>
      </c>
      <c r="H140" s="60">
        <v>1.3302590387537723</v>
      </c>
      <c r="I140" s="60">
        <v>1.3304205566346123</v>
      </c>
      <c r="J140" s="60">
        <v>1.3305012538223411</v>
      </c>
      <c r="K140" s="60">
        <v>1.3305819097938822</v>
      </c>
      <c r="L140" s="60">
        <v>1.3313861948586796</v>
      </c>
      <c r="M140" s="60">
        <v>1.3329822521325934</v>
      </c>
      <c r="N140" s="60">
        <v>1.3361234340836106</v>
      </c>
      <c r="O140" s="60">
        <v>1.3421962337124707</v>
      </c>
      <c r="P140" s="60">
        <v>1.345125325452357</v>
      </c>
      <c r="Q140" s="60">
        <v>1.3465626611369719</v>
      </c>
      <c r="R140" s="60">
        <v>1.3479817651947206</v>
      </c>
      <c r="S140" s="60">
        <v>1.3493825931617749</v>
      </c>
      <c r="T140" s="60">
        <v>1.3507651191194867</v>
      </c>
      <c r="U140" s="60">
        <v>1.3521293350139272</v>
      </c>
      <c r="V140" s="60">
        <v>1.3534752499579044</v>
      </c>
      <c r="W140" s="60">
        <v>1.3548028895191977</v>
      </c>
      <c r="X140" s="60">
        <v>1.3561122949986095</v>
      </c>
      <c r="Y140" s="60">
        <v>1.3574035227012464</v>
      </c>
      <c r="Z140" s="60">
        <v>1.3586766432042687</v>
      </c>
      <c r="AA140" s="60">
        <v>1.3599317406241382</v>
      </c>
      <c r="AB140" s="60">
        <v>1.3611689118862058</v>
      </c>
      <c r="AC140" s="60">
        <v>1.3623882659992639</v>
      </c>
      <c r="AD140" s="60">
        <v>1.3635899233374877</v>
      </c>
      <c r="AE140" s="60">
        <v>1.3647740149319776</v>
      </c>
      <c r="AF140" s="60">
        <v>1.3659406817739104</v>
      </c>
      <c r="AG140" s="60">
        <v>1.3670900741311025</v>
      </c>
      <c r="AH140" s="60">
        <v>1.3682223508795905</v>
      </c>
      <c r="AI140" s="60">
        <f t="shared" si="5"/>
        <v>1.3682223508795905</v>
      </c>
      <c r="AJ140" s="13">
        <v>770</v>
      </c>
      <c r="AK140" s="14"/>
      <c r="AL140" s="14"/>
    </row>
    <row r="141" spans="1:38" ht="11.25" customHeight="1" x14ac:dyDescent="0.25">
      <c r="A141" s="60">
        <f t="shared" si="4"/>
        <v>1.3293183252192986</v>
      </c>
      <c r="B141" s="60">
        <v>1.3293183252192986</v>
      </c>
      <c r="C141" s="60">
        <v>1.3293422229046323</v>
      </c>
      <c r="D141" s="60">
        <v>1.3293820443831694</v>
      </c>
      <c r="E141" s="60">
        <v>1.3294298169568584</v>
      </c>
      <c r="F141" s="60">
        <v>1.3294616573354334</v>
      </c>
      <c r="G141" s="60">
        <v>1.3296207630968566</v>
      </c>
      <c r="H141" s="60">
        <v>1.3297797084328682</v>
      </c>
      <c r="I141" s="60">
        <v>1.3299384930639637</v>
      </c>
      <c r="J141" s="60">
        <v>1.3300178250284542</v>
      </c>
      <c r="K141" s="60">
        <v>1.3300971167129481</v>
      </c>
      <c r="L141" s="60">
        <v>1.3308878106859883</v>
      </c>
      <c r="M141" s="60">
        <v>1.3324569721539079</v>
      </c>
      <c r="N141" s="60">
        <v>1.3355455413739568</v>
      </c>
      <c r="O141" s="60">
        <v>1.3415180589556353</v>
      </c>
      <c r="P141" s="60">
        <v>1.3443995848575376</v>
      </c>
      <c r="Q141" s="60">
        <v>1.3458137983032663</v>
      </c>
      <c r="R141" s="60">
        <v>1.34721022512021</v>
      </c>
      <c r="S141" s="60">
        <v>1.3485888234039307</v>
      </c>
      <c r="T141" s="60">
        <v>1.3499495691388512</v>
      </c>
      <c r="U141" s="60">
        <v>1.3512924555388865</v>
      </c>
      <c r="V141" s="60">
        <v>1.3526174923719516</v>
      </c>
      <c r="W141" s="60">
        <v>1.3539247052718855</v>
      </c>
      <c r="X141" s="60">
        <v>1.3552141350411793</v>
      </c>
      <c r="Y141" s="60">
        <v>1.3564858369477166</v>
      </c>
      <c r="Z141" s="60">
        <v>1.35773988001859</v>
      </c>
      <c r="AA141" s="60">
        <v>1.3589763463338282</v>
      </c>
      <c r="AB141" s="60">
        <v>1.3601953303227252</v>
      </c>
      <c r="AC141" s="60">
        <v>1.3613969380652311</v>
      </c>
      <c r="AD141" s="60">
        <v>1.3625812866006897</v>
      </c>
      <c r="AE141" s="60">
        <v>1.3637485032460017</v>
      </c>
      <c r="AF141" s="60">
        <v>1.3648987249251059</v>
      </c>
      <c r="AG141" s="60">
        <v>1.3660320975114699</v>
      </c>
      <c r="AH141" s="60">
        <v>1.367148775185103</v>
      </c>
      <c r="AI141" s="60">
        <f t="shared" si="5"/>
        <v>1.367148775185103</v>
      </c>
      <c r="AJ141" s="13">
        <v>775</v>
      </c>
      <c r="AK141" s="14"/>
      <c r="AL141" s="14"/>
    </row>
    <row r="142" spans="1:38" ht="11.25" customHeight="1" x14ac:dyDescent="0.25">
      <c r="A142" s="60">
        <f t="shared" si="4"/>
        <v>1.3288526863917483</v>
      </c>
      <c r="B142" s="60">
        <v>1.3288526863917483</v>
      </c>
      <c r="C142" s="60">
        <v>1.3288761818701531</v>
      </c>
      <c r="D142" s="60">
        <v>1.3289153331847332</v>
      </c>
      <c r="E142" s="60">
        <v>1.328962301860398</v>
      </c>
      <c r="F142" s="60">
        <v>1.3289936064881311</v>
      </c>
      <c r="G142" s="60">
        <v>1.3291500356725172</v>
      </c>
      <c r="H142" s="60">
        <v>1.3293063080676206</v>
      </c>
      <c r="I142" s="60">
        <v>1.3294624234041212</v>
      </c>
      <c r="J142" s="60">
        <v>1.329540422091845</v>
      </c>
      <c r="K142" s="60">
        <v>1.3296183814149385</v>
      </c>
      <c r="L142" s="60">
        <v>1.3303958023926572</v>
      </c>
      <c r="M142" s="60">
        <v>1.3319386977179852</v>
      </c>
      <c r="N142" s="60">
        <v>1.3349758856816762</v>
      </c>
      <c r="O142" s="60">
        <v>1.3408504604803289</v>
      </c>
      <c r="P142" s="60">
        <v>1.3436855224511199</v>
      </c>
      <c r="Q142" s="60">
        <v>1.3450771466439013</v>
      </c>
      <c r="R142" s="60">
        <v>1.3464514169170112</v>
      </c>
      <c r="S142" s="60">
        <v>1.3478082937308746</v>
      </c>
      <c r="T142" s="60">
        <v>1.3491477548084263</v>
      </c>
      <c r="U142" s="60">
        <v>1.3504697944960331</v>
      </c>
      <c r="V142" s="60">
        <v>1.3517744231096052</v>
      </c>
      <c r="W142" s="60">
        <v>1.3530616662692263</v>
      </c>
      <c r="X142" s="60">
        <v>1.3543315642255023</v>
      </c>
      <c r="Y142" s="60">
        <v>1.355584171180654</v>
      </c>
      <c r="Z142" s="60">
        <v>1.3568195546072261</v>
      </c>
      <c r="AA142" s="60">
        <v>1.3580377945671018</v>
      </c>
      <c r="AB142" s="60">
        <v>1.3592389830333411</v>
      </c>
      <c r="AC142" s="60">
        <v>1.3604232232171651</v>
      </c>
      <c r="AD142" s="60">
        <v>1.361590628902235</v>
      </c>
      <c r="AE142" s="60">
        <v>1.362741323788184</v>
      </c>
      <c r="AF142" s="60">
        <v>1.3638754408451812</v>
      </c>
      <c r="AG142" s="60">
        <v>1.364993121681118</v>
      </c>
      <c r="AH142" s="60">
        <v>1.3660945159228424</v>
      </c>
      <c r="AI142" s="60">
        <f t="shared" si="5"/>
        <v>1.3660945159228424</v>
      </c>
      <c r="AJ142" s="13">
        <v>780</v>
      </c>
      <c r="AK142" s="14"/>
      <c r="AL142" s="14"/>
    </row>
    <row r="143" spans="1:38" ht="11.25" customHeight="1" x14ac:dyDescent="0.25">
      <c r="A143" s="60">
        <f t="shared" si="4"/>
        <v>1.3283927202762398</v>
      </c>
      <c r="B143" s="60">
        <v>1.3283927202762398</v>
      </c>
      <c r="C143" s="60">
        <v>1.3284158228977931</v>
      </c>
      <c r="D143" s="60">
        <v>1.3284543196279028</v>
      </c>
      <c r="E143" s="60">
        <v>1.3285005030943555</v>
      </c>
      <c r="F143" s="60">
        <v>1.328531284426465</v>
      </c>
      <c r="G143" s="60">
        <v>1.3286850992618826</v>
      </c>
      <c r="H143" s="60">
        <v>1.3288387608637298</v>
      </c>
      <c r="I143" s="60">
        <v>1.3289922689723568</v>
      </c>
      <c r="J143" s="60">
        <v>1.3290689653861674</v>
      </c>
      <c r="K143" s="60">
        <v>1.3291456233302894</v>
      </c>
      <c r="L143" s="60">
        <v>1.3299100799998922</v>
      </c>
      <c r="M143" s="60">
        <v>1.3314273201641402</v>
      </c>
      <c r="N143" s="60">
        <v>1.3344143216280058</v>
      </c>
      <c r="O143" s="60">
        <v>1.3401932227749425</v>
      </c>
      <c r="P143" s="60">
        <v>1.3429828896631266</v>
      </c>
      <c r="Q143" s="60">
        <v>1.3443524416270212</v>
      </c>
      <c r="R143" s="60">
        <v>1.3457050604901086</v>
      </c>
      <c r="S143" s="60">
        <v>1.3470407088965053</v>
      </c>
      <c r="T143" s="60">
        <v>1.348359366154855</v>
      </c>
      <c r="U143" s="60">
        <v>1.3496610276187848</v>
      </c>
      <c r="V143" s="60">
        <v>1.35094570405376</v>
      </c>
      <c r="W143" s="60">
        <v>1.3522134209934895</v>
      </c>
      <c r="X143" s="60">
        <v>1.3534642180888925</v>
      </c>
      <c r="Y143" s="60">
        <v>1.3546981484524838</v>
      </c>
      <c r="Z143" s="60">
        <v>1.3559152780008754</v>
      </c>
      <c r="AA143" s="60">
        <v>1.3571156847979393</v>
      </c>
      <c r="AB143" s="60">
        <v>1.3582994584009906</v>
      </c>
      <c r="AC143" s="60">
        <v>1.3594666992121889</v>
      </c>
      <c r="AD143" s="60">
        <v>1.360617517837172</v>
      </c>
      <c r="AE143" s="60">
        <v>1.3617520344527734</v>
      </c>
      <c r="AF143" s="60">
        <v>1.362870378185487</v>
      </c>
      <c r="AG143" s="60">
        <v>1.3639726865021904</v>
      </c>
      <c r="AH143" s="60">
        <v>1.3650591046144569</v>
      </c>
      <c r="AI143" s="60">
        <f t="shared" si="5"/>
        <v>1.3650591046144569</v>
      </c>
      <c r="AJ143" s="13">
        <v>785</v>
      </c>
      <c r="AK143" s="14"/>
      <c r="AL143" s="14"/>
    </row>
    <row r="144" spans="1:38" ht="11.25" customHeight="1" x14ac:dyDescent="0.25">
      <c r="A144" s="60">
        <f t="shared" si="4"/>
        <v>1.3279383554804449</v>
      </c>
      <c r="B144" s="60">
        <v>1.3279383554804449</v>
      </c>
      <c r="C144" s="60">
        <v>1.3279610743211738</v>
      </c>
      <c r="D144" s="60">
        <v>1.3279989315896212</v>
      </c>
      <c r="E144" s="60">
        <v>1.3280443479877846</v>
      </c>
      <c r="F144" s="60">
        <v>1.3280746181143053</v>
      </c>
      <c r="G144" s="60">
        <v>1.32822587900381</v>
      </c>
      <c r="H144" s="60">
        <v>1.3283769901365745</v>
      </c>
      <c r="I144" s="60">
        <v>1.3285279512621384</v>
      </c>
      <c r="J144" s="60">
        <v>1.328603375494529</v>
      </c>
      <c r="K144" s="60">
        <v>1.3286787621321525</v>
      </c>
      <c r="L144" s="60">
        <v>1.3294305541041638</v>
      </c>
      <c r="M144" s="60">
        <v>1.3309227320711183</v>
      </c>
      <c r="N144" s="60">
        <v>1.3338607063921393</v>
      </c>
      <c r="O144" s="60">
        <v>1.3395461354389713</v>
      </c>
      <c r="P144" s="60">
        <v>1.3422914442466793</v>
      </c>
      <c r="Q144" s="60">
        <v>1.3436394256294779</v>
      </c>
      <c r="R144" s="60">
        <v>1.3449708832238421</v>
      </c>
      <c r="S144" s="60">
        <v>1.3462857816888545</v>
      </c>
      <c r="T144" s="60">
        <v>1.3475841017770176</v>
      </c>
      <c r="U144" s="60">
        <v>1.348865839733502</v>
      </c>
      <c r="V144" s="60">
        <v>1.3501310066829337</v>
      </c>
      <c r="W144" s="60">
        <v>1.3513796280066852</v>
      </c>
      <c r="X144" s="60">
        <v>1.3526117427135067</v>
      </c>
      <c r="Y144" s="60">
        <v>1.3538274028061965</v>
      </c>
      <c r="Z144" s="60">
        <v>1.3550266726468549</v>
      </c>
      <c r="AA144" s="60">
        <v>1.3562096283231098</v>
      </c>
      <c r="AB144" s="60">
        <v>1.3573763570175488</v>
      </c>
      <c r="AC144" s="60">
        <v>1.3585269563824194</v>
      </c>
      <c r="AD144" s="60">
        <v>1.3596615339214995</v>
      </c>
      <c r="AE144" s="60">
        <v>1.3607802063808745</v>
      </c>
      <c r="AF144" s="60">
        <v>1.3618830991501976</v>
      </c>
      <c r="AG144" s="60">
        <v>1.3629703456758442</v>
      </c>
      <c r="AH144" s="60">
        <v>1.3640420868872205</v>
      </c>
      <c r="AI144" s="60">
        <f t="shared" si="5"/>
        <v>1.3640420868872205</v>
      </c>
      <c r="AJ144" s="13">
        <v>790</v>
      </c>
      <c r="AK144" s="14"/>
      <c r="AL144" s="14"/>
    </row>
    <row r="145" spans="1:38" ht="11.25" customHeight="1" x14ac:dyDescent="0.25">
      <c r="A145" s="60">
        <f t="shared" si="4"/>
        <v>1.3274895205963528</v>
      </c>
      <c r="B145" s="60">
        <v>1.3274895205963528</v>
      </c>
      <c r="C145" s="60">
        <v>1.3275118644678057</v>
      </c>
      <c r="D145" s="60">
        <v>1.3275490969566766</v>
      </c>
      <c r="E145" s="60">
        <v>1.3275937638987283</v>
      </c>
      <c r="F145" s="60">
        <v>1.3276235345572729</v>
      </c>
      <c r="G145" s="60">
        <v>1.3277723001427264</v>
      </c>
      <c r="H145" s="60">
        <v>1.3279209193709274</v>
      </c>
      <c r="I145" s="60">
        <v>1.3280693920001481</v>
      </c>
      <c r="J145" s="60">
        <v>1.3281435732651614</v>
      </c>
      <c r="K145" s="60">
        <v>1.3282177177907097</v>
      </c>
      <c r="L145" s="60">
        <v>1.3289571359179679</v>
      </c>
      <c r="M145" s="60">
        <v>1.3304248272705304</v>
      </c>
      <c r="N145" s="60">
        <v>1.3333148996695716</v>
      </c>
      <c r="O145" s="60">
        <v>1.3389089930323064</v>
      </c>
      <c r="P145" s="60">
        <v>1.3416109500748525</v>
      </c>
      <c r="Q145" s="60">
        <v>1.3429378477082785</v>
      </c>
      <c r="R145" s="60">
        <v>1.3442486197285826</v>
      </c>
      <c r="S145" s="60">
        <v>1.3455432326526999</v>
      </c>
      <c r="T145" s="60">
        <v>1.3468216685453291</v>
      </c>
      <c r="U145" s="60">
        <v>1.3480839244362794</v>
      </c>
      <c r="V145" s="60">
        <v>1.3493300117264093</v>
      </c>
      <c r="W145" s="60">
        <v>1.3505599555849526</v>
      </c>
      <c r="X145" s="60">
        <v>1.3517737943409085</v>
      </c>
      <c r="Y145" s="60">
        <v>1.3529715788710448</v>
      </c>
      <c r="Z145" s="60">
        <v>1.3541533719869054</v>
      </c>
      <c r="AA145" s="60">
        <v>1.3553192478230842</v>
      </c>
      <c r="AB145" s="60">
        <v>1.3564692912288587</v>
      </c>
      <c r="AC145" s="60">
        <v>1.3576035971651341</v>
      </c>
      <c r="AD145" s="60">
        <v>1.3587222701084896</v>
      </c>
      <c r="AE145" s="60">
        <v>1.3598254234639564</v>
      </c>
      <c r="AF145" s="60">
        <v>1.3609131789880193</v>
      </c>
      <c r="AG145" s="60">
        <v>1.3619856662231644</v>
      </c>
      <c r="AH145" s="60">
        <v>1.3630430219451632</v>
      </c>
      <c r="AI145" s="60">
        <f t="shared" si="5"/>
        <v>1.3630430219451632</v>
      </c>
      <c r="AJ145" s="13">
        <v>795</v>
      </c>
      <c r="AK145" s="14"/>
      <c r="AL145" s="14"/>
    </row>
    <row r="146" spans="1:38" ht="11.25" customHeight="1" x14ac:dyDescent="0.25">
      <c r="A146" s="60">
        <f t="shared" si="4"/>
        <v>1.3270461442631003</v>
      </c>
      <c r="B146" s="60">
        <v>1.3270461442631003</v>
      </c>
      <c r="C146" s="60">
        <v>1.3270681217215341</v>
      </c>
      <c r="D146" s="60">
        <v>1.3271047436875041</v>
      </c>
      <c r="E146" s="60">
        <v>1.327148678275254</v>
      </c>
      <c r="F146" s="60">
        <v>1.3271779608632657</v>
      </c>
      <c r="G146" s="60">
        <v>1.3273242880865872</v>
      </c>
      <c r="H146" s="60">
        <v>1.3274704722763362</v>
      </c>
      <c r="I146" s="60">
        <v>1.3276165131990878</v>
      </c>
      <c r="J146" s="60">
        <v>1.3276894798629382</v>
      </c>
      <c r="K146" s="60">
        <v>1.3277624106234052</v>
      </c>
      <c r="L146" s="60">
        <v>1.3284897373071192</v>
      </c>
      <c r="M146" s="60">
        <v>1.3299335008580944</v>
      </c>
      <c r="N146" s="60">
        <v>1.3327767636308623</v>
      </c>
      <c r="O146" s="60">
        <v>1.3382815949302991</v>
      </c>
      <c r="P146" s="60">
        <v>1.3409411769459219</v>
      </c>
      <c r="Q146" s="60">
        <v>1.3422474633816988</v>
      </c>
      <c r="R146" s="60">
        <v>1.3435380115983235</v>
      </c>
      <c r="S146" s="60">
        <v>1.3448127898242885</v>
      </c>
      <c r="T146" s="60">
        <v>1.3460717813143199</v>
      </c>
      <c r="U146" s="60">
        <v>1.347314983784154</v>
      </c>
      <c r="V146" s="60">
        <v>1.348542408834877</v>
      </c>
      <c r="W146" s="60">
        <v>1.3497540813694791</v>
      </c>
      <c r="X146" s="60">
        <v>1.350950039004142</v>
      </c>
      <c r="Y146" s="60">
        <v>1.3521303314766673</v>
      </c>
      <c r="Z146" s="60">
        <v>1.3532950200542955</v>
      </c>
      <c r="AA146" s="60">
        <v>1.3544441769430575</v>
      </c>
      <c r="AB146" s="60">
        <v>1.3555778847006232</v>
      </c>
      <c r="AC146" s="60">
        <v>1.3566962356544914</v>
      </c>
      <c r="AD146" s="60">
        <v>1.3577993313272021</v>
      </c>
      <c r="AE146" s="60">
        <v>1.358887281870119</v>
      </c>
      <c r="AF146" s="60">
        <v>1.3599602055071718</v>
      </c>
      <c r="AG146" s="60">
        <v>1.3610182279898166</v>
      </c>
      <c r="AH146" s="60">
        <v>1.3620614820643284</v>
      </c>
      <c r="AI146" s="60">
        <f t="shared" si="5"/>
        <v>1.3620614820643284</v>
      </c>
      <c r="AJ146" s="13">
        <v>800</v>
      </c>
      <c r="AK146" s="14"/>
      <c r="AL146" s="14"/>
    </row>
    <row r="147" spans="1:38" ht="11.25" customHeight="1" x14ac:dyDescent="0.25">
      <c r="A147" s="60">
        <f t="shared" si="4"/>
        <v>1.3266081552253763</v>
      </c>
      <c r="B147" s="60">
        <v>1.3266081552253763</v>
      </c>
      <c r="C147" s="60">
        <v>1.3266297745805782</v>
      </c>
      <c r="D147" s="60">
        <v>1.3266657998696145</v>
      </c>
      <c r="E147" s="60">
        <v>1.3267090187121449</v>
      </c>
      <c r="F147" s="60">
        <v>1.3267378242986563</v>
      </c>
      <c r="G147" s="60">
        <v>1.3268817684606247</v>
      </c>
      <c r="H147" s="60">
        <v>1.3270255728384228</v>
      </c>
      <c r="I147" s="60">
        <v>1.3271692372065218</v>
      </c>
      <c r="J147" s="60">
        <v>1.3272410168169837</v>
      </c>
      <c r="K147" s="60">
        <v>1.327312761341322</v>
      </c>
      <c r="L147" s="60">
        <v>1.3280282708247879</v>
      </c>
      <c r="M147" s="60">
        <v>1.3294486492028257</v>
      </c>
      <c r="N147" s="60">
        <v>1.3322461628808318</v>
      </c>
      <c r="O147" s="60">
        <v>1.3376637451843034</v>
      </c>
      <c r="P147" s="60">
        <v>1.3402819003965549</v>
      </c>
      <c r="Q147" s="60">
        <v>1.3415680344195471</v>
      </c>
      <c r="R147" s="60">
        <v>1.3428388071785873</v>
      </c>
      <c r="S147" s="60">
        <v>1.3440941884775253</v>
      </c>
      <c r="T147" s="60">
        <v>1.3453341626477886</v>
      </c>
      <c r="U147" s="60">
        <v>1.3465587279999418</v>
      </c>
      <c r="V147" s="60">
        <v>1.3477678962657196</v>
      </c>
      <c r="W147" s="60">
        <v>1.3489616920330336</v>
      </c>
      <c r="X147" s="60">
        <v>1.3501401521763408</v>
      </c>
      <c r="Y147" s="60">
        <v>1.3513033252846287</v>
      </c>
      <c r="Z147" s="60">
        <v>1.3524512710891583</v>
      </c>
      <c r="AA147" s="60">
        <v>1.3535840598929691</v>
      </c>
      <c r="AB147" s="60">
        <v>1.3547017720040091</v>
      </c>
      <c r="AC147" s="60">
        <v>1.3558044971736185</v>
      </c>
      <c r="AD147" s="60">
        <v>1.3568923340419645</v>
      </c>
      <c r="AE147" s="60">
        <v>1.3579653895918715</v>
      </c>
      <c r="AF147" s="60">
        <v>1.3590237786123662</v>
      </c>
      <c r="AG147" s="60">
        <v>1.3600676231731195</v>
      </c>
      <c r="AH147" s="60">
        <v>1.3610970521108332</v>
      </c>
      <c r="AI147" s="60">
        <f t="shared" si="5"/>
        <v>1.3610970521108332</v>
      </c>
      <c r="AJ147" s="13">
        <v>805</v>
      </c>
      <c r="AK147" s="14"/>
      <c r="AL147" s="14"/>
    </row>
    <row r="148" spans="1:38" ht="11.25" customHeight="1" x14ac:dyDescent="0.25">
      <c r="A148" s="60">
        <f t="shared" si="4"/>
        <v>1.3261754823876539</v>
      </c>
      <c r="B148" s="60">
        <v>1.3261754823876539</v>
      </c>
      <c r="C148" s="60">
        <v>1.3261967517114113</v>
      </c>
      <c r="D148" s="60">
        <v>1.3262321937728885</v>
      </c>
      <c r="E148" s="60">
        <v>1.3262747130034942</v>
      </c>
      <c r="F148" s="60">
        <v>1.3263030523404213</v>
      </c>
      <c r="G148" s="60">
        <v>1.3264446671571319</v>
      </c>
      <c r="H148" s="60">
        <v>1.3265861453663197</v>
      </c>
      <c r="I148" s="60">
        <v>1.3267274867499652</v>
      </c>
      <c r="J148" s="60">
        <v>1.3267981060645921</v>
      </c>
      <c r="K148" s="60">
        <v>1.3268686910919261</v>
      </c>
      <c r="L148" s="60">
        <v>1.32757264974246</v>
      </c>
      <c r="M148" s="60">
        <v>1.3289701699542924</v>
      </c>
      <c r="N148" s="60">
        <v>1.3317229644181721</v>
      </c>
      <c r="O148" s="60">
        <v>1.3370552523874049</v>
      </c>
      <c r="P148" s="60">
        <v>1.3396329015225239</v>
      </c>
      <c r="Q148" s="60">
        <v>1.3408993286420765</v>
      </c>
      <c r="R148" s="60">
        <v>1.3421507613440935</v>
      </c>
      <c r="S148" s="60">
        <v>1.3433871708809968</v>
      </c>
      <c r="T148" s="60">
        <v>1.344608542555823</v>
      </c>
      <c r="U148" s="60">
        <v>1.3458148751899492</v>
      </c>
      <c r="V148" s="60">
        <v>1.3470061805821369</v>
      </c>
      <c r="W148" s="60">
        <v>1.3481824829612603</v>
      </c>
      <c r="X148" s="60">
        <v>1.3493438184349684</v>
      </c>
      <c r="Y148" s="60">
        <v>1.3504902344364118</v>
      </c>
      <c r="Z148" s="60">
        <v>1.3516217891710591</v>
      </c>
      <c r="AA148" s="60">
        <v>1.3527385510654819</v>
      </c>
      <c r="AB148" s="60">
        <v>1.3538405982198765</v>
      </c>
      <c r="AC148" s="60">
        <v>1.3549280178659502</v>
      </c>
      <c r="AD148" s="60">
        <v>1.3560009058316698</v>
      </c>
      <c r="AE148" s="60">
        <v>1.3570593660142454</v>
      </c>
      <c r="AF148" s="60">
        <v>1.3581035098625858</v>
      </c>
      <c r="AG148" s="60">
        <v>1.3591334558703387</v>
      </c>
      <c r="AH148" s="60">
        <v>1.3601493290805109</v>
      </c>
      <c r="AI148" s="60">
        <f t="shared" si="5"/>
        <v>1.3601493290805109</v>
      </c>
      <c r="AJ148" s="13">
        <v>810</v>
      </c>
      <c r="AK148" s="14"/>
      <c r="AL148" s="14"/>
    </row>
    <row r="149" spans="1:38" ht="11.25" customHeight="1" x14ac:dyDescent="0.25">
      <c r="A149" s="60">
        <f t="shared" si="4"/>
        <v>1.3257480548644804</v>
      </c>
      <c r="B149" s="60">
        <v>1.3257480548644804</v>
      </c>
      <c r="C149" s="60">
        <v>1.3257689819987166</v>
      </c>
      <c r="D149" s="60">
        <v>1.3258038538989754</v>
      </c>
      <c r="E149" s="60">
        <v>1.3258456891914321</v>
      </c>
      <c r="F149" s="60">
        <v>1.3258735727244195</v>
      </c>
      <c r="G149" s="60">
        <v>1.3260129103815084</v>
      </c>
      <c r="H149" s="60">
        <v>1.3261521145364756</v>
      </c>
      <c r="I149" s="60">
        <v>1.3262911849784513</v>
      </c>
      <c r="J149" s="60">
        <v>1.3263606699916677</v>
      </c>
      <c r="K149" s="60">
        <v>1.3264301214983854</v>
      </c>
      <c r="L149" s="60">
        <v>1.3271227880780065</v>
      </c>
      <c r="M149" s="60">
        <v>1.3284979620480692</v>
      </c>
      <c r="N149" s="60">
        <v>1.3312070375954785</v>
      </c>
      <c r="O149" s="60">
        <v>1.3364559295450835</v>
      </c>
      <c r="P149" s="60">
        <v>1.3389939668065476</v>
      </c>
      <c r="Q149" s="60">
        <v>1.3402411197270996</v>
      </c>
      <c r="R149" s="60">
        <v>1.3414736352856711</v>
      </c>
      <c r="S149" s="60">
        <v>1.342691486065251</v>
      </c>
      <c r="T149" s="60">
        <v>1.3438946582430644</v>
      </c>
      <c r="U149" s="60">
        <v>1.3450831510738694</v>
      </c>
      <c r="V149" s="60">
        <v>1.3462569763653638</v>
      </c>
      <c r="W149" s="60">
        <v>1.3474161579479287</v>
      </c>
      <c r="X149" s="60">
        <v>1.3485607311408427</v>
      </c>
      <c r="Y149" s="60">
        <v>1.3496907422169748</v>
      </c>
      <c r="Z149" s="60">
        <v>1.3508062478678589</v>
      </c>
      <c r="AA149" s="60">
        <v>1.3519073146709366</v>
      </c>
      <c r="AB149" s="60">
        <v>1.3529940185606308</v>
      </c>
      <c r="AC149" s="60">
        <v>1.3540664443047736</v>
      </c>
      <c r="AD149" s="60">
        <v>1.3551246849878245</v>
      </c>
      <c r="AE149" s="60">
        <v>1.3561688415021513</v>
      </c>
      <c r="AF149" s="60">
        <v>1.3571990220485517</v>
      </c>
      <c r="AG149" s="60">
        <v>1.3582153416470593</v>
      </c>
      <c r="AH149" s="60">
        <v>1.3592179216589735</v>
      </c>
      <c r="AI149" s="60">
        <f t="shared" si="5"/>
        <v>1.3592179216589735</v>
      </c>
      <c r="AJ149" s="13">
        <v>815</v>
      </c>
      <c r="AK149" s="14"/>
      <c r="AL149" s="14"/>
    </row>
    <row r="150" spans="1:38" ht="11.25" customHeight="1" x14ac:dyDescent="0.25">
      <c r="A150" s="60">
        <f t="shared" si="4"/>
        <v>1.3253258020270517</v>
      </c>
      <c r="B150" s="60">
        <v>1.3253258020270517</v>
      </c>
      <c r="C150" s="60">
        <v>1.3253463945916402</v>
      </c>
      <c r="D150" s="60">
        <v>1.3253807090270122</v>
      </c>
      <c r="E150" s="60">
        <v>1.3254218756112064</v>
      </c>
      <c r="F150" s="60">
        <v>1.3254493134900451</v>
      </c>
      <c r="G150" s="60">
        <v>1.3255864246947724</v>
      </c>
      <c r="H150" s="60">
        <v>1.3257234054330336</v>
      </c>
      <c r="I150" s="60">
        <v>1.3258602555007619</v>
      </c>
      <c r="J150" s="60">
        <v>1.3259286314698899</v>
      </c>
      <c r="K150" s="60">
        <v>1.3259969746956621</v>
      </c>
      <c r="L150" s="60">
        <v>1.3266786006210334</v>
      </c>
      <c r="M150" s="60">
        <v>1.3280319257094964</v>
      </c>
      <c r="N150" s="60">
        <v>1.3306982540796968</v>
      </c>
      <c r="O150" s="60">
        <v>1.3358655939505557</v>
      </c>
      <c r="P150" s="60">
        <v>1.3383648879528931</v>
      </c>
      <c r="Q150" s="60">
        <v>1.3395931870248761</v>
      </c>
      <c r="R150" s="60">
        <v>1.3408071963059258</v>
      </c>
      <c r="S150" s="60">
        <v>1.3420068895997912</v>
      </c>
      <c r="T150" s="60">
        <v>1.3431922538676115</v>
      </c>
      <c r="U150" s="60">
        <v>1.3443632887262185</v>
      </c>
      <c r="V150" s="60">
        <v>1.3455200059392796</v>
      </c>
      <c r="W150" s="60">
        <v>1.3466624289033944</v>
      </c>
      <c r="X150" s="60">
        <v>1.3477905921311486</v>
      </c>
      <c r="Y150" s="60">
        <v>1.3489045407330282</v>
      </c>
      <c r="Z150" s="60">
        <v>1.3500043298999911</v>
      </c>
      <c r="AA150" s="60">
        <v>1.3510900243883817</v>
      </c>
      <c r="AB150" s="60">
        <v>1.3521616980087459</v>
      </c>
      <c r="AC150" s="60">
        <v>1.3532194331200091</v>
      </c>
      <c r="AD150" s="60">
        <v>1.3542633201303451</v>
      </c>
      <c r="AE150" s="60">
        <v>1.3552934570059496</v>
      </c>
      <c r="AF150" s="60">
        <v>1.356309948788825</v>
      </c>
      <c r="AG150" s="60">
        <v>1.3573129071245673</v>
      </c>
      <c r="AH150" s="60">
        <v>1.3583024498010252</v>
      </c>
      <c r="AI150" s="60">
        <f t="shared" si="5"/>
        <v>1.3583024498010252</v>
      </c>
      <c r="AJ150" s="13">
        <v>820</v>
      </c>
      <c r="AK150" s="14"/>
      <c r="AL150" s="14"/>
    </row>
    <row r="151" spans="1:38" ht="11.25" customHeight="1" x14ac:dyDescent="0.25">
      <c r="A151" s="60">
        <f t="shared" si="4"/>
        <v>1.3249086535462882</v>
      </c>
      <c r="B151" s="60">
        <v>1.3249086535462882</v>
      </c>
      <c r="C151" s="60">
        <v>1.3249289189465618</v>
      </c>
      <c r="D151" s="60">
        <v>1.3249626882558843</v>
      </c>
      <c r="E151" s="60">
        <v>1.3250032009328283</v>
      </c>
      <c r="F151" s="60">
        <v>1.3250302030214669</v>
      </c>
      <c r="G151" s="60">
        <v>1.3251651370527613</v>
      </c>
      <c r="H151" s="60">
        <v>1.3252999435849813</v>
      </c>
      <c r="I151" s="60">
        <v>1.3254346224205393</v>
      </c>
      <c r="J151" s="60">
        <v>1.3255019138907946</v>
      </c>
      <c r="K151" s="60">
        <v>1.3255691733635693</v>
      </c>
      <c r="L151" s="60">
        <v>1.3262400029556767</v>
      </c>
      <c r="M151" s="60">
        <v>1.3275719624558611</v>
      </c>
      <c r="N151" s="60">
        <v>1.3301964878129944</v>
      </c>
      <c r="O151" s="60">
        <v>1.3352840670645756</v>
      </c>
      <c r="P151" s="60">
        <v>1.3377454617284013</v>
      </c>
      <c r="Q151" s="60">
        <v>1.3389553153803713</v>
      </c>
      <c r="R151" s="60">
        <v>1.3401512176232153</v>
      </c>
      <c r="S151" s="60">
        <v>1.341333143379283</v>
      </c>
      <c r="T151" s="60">
        <v>1.3425010803100128</v>
      </c>
      <c r="U151" s="60">
        <v>1.3436550283286932</v>
      </c>
      <c r="V151" s="60">
        <v>1.3447949991067556</v>
      </c>
      <c r="W151" s="60">
        <v>1.3459210155755763</v>
      </c>
      <c r="X151" s="60">
        <v>1.3470331114256984</v>
      </c>
      <c r="Y151" s="60">
        <v>1.3481313306052636</v>
      </c>
      <c r="Z151" s="60">
        <v>1.3492157268193508</v>
      </c>
      <c r="AA151" s="60">
        <v>1.3502863630318112</v>
      </c>
      <c r="AB151" s="60">
        <v>1.3513433109710762</v>
      </c>
      <c r="AC151" s="60">
        <v>1.3523866506413089</v>
      </c>
      <c r="AD151" s="60">
        <v>1.3534164698401612</v>
      </c>
      <c r="AE151" s="60">
        <v>1.3544328636842728</v>
      </c>
      <c r="AF151" s="60">
        <v>1.355435934143566</v>
      </c>
      <c r="AG151" s="60">
        <v>1.3564257895852549</v>
      </c>
      <c r="AH151" s="60">
        <v>1.3574025443284092</v>
      </c>
      <c r="AI151" s="60">
        <f t="shared" si="5"/>
        <v>1.3574025443284092</v>
      </c>
      <c r="AJ151" s="13">
        <v>825</v>
      </c>
      <c r="AK151" s="14"/>
      <c r="AL151" s="14"/>
    </row>
    <row r="152" spans="1:38" ht="11.25" customHeight="1" x14ac:dyDescent="0.25">
      <c r="A152" s="60">
        <f t="shared" si="4"/>
        <v>1.3244965394326105</v>
      </c>
      <c r="B152" s="60">
        <v>1.3244965394326105</v>
      </c>
      <c r="C152" s="60">
        <v>1.324516484866578</v>
      </c>
      <c r="D152" s="60">
        <v>1.32454972104322</v>
      </c>
      <c r="E152" s="60">
        <v>1.3245895941994836</v>
      </c>
      <c r="F152" s="60">
        <v>1.324616170085648</v>
      </c>
      <c r="G152" s="60">
        <v>1.3247489748421959</v>
      </c>
      <c r="H152" s="60">
        <v>1.324881655000264</v>
      </c>
      <c r="I152" s="60">
        <v>1.3250142103684375</v>
      </c>
      <c r="J152" s="60">
        <v>1.3250804411969541</v>
      </c>
      <c r="K152" s="60">
        <v>1.3251466407569743</v>
      </c>
      <c r="L152" s="60">
        <v>1.3258069114809965</v>
      </c>
      <c r="M152" s="60">
        <v>1.3271179750971132</v>
      </c>
      <c r="N152" s="60">
        <v>1.3297016149740548</v>
      </c>
      <c r="O152" s="60">
        <v>1.3347111743994804</v>
      </c>
      <c r="P152" s="60">
        <v>1.3371354898096091</v>
      </c>
      <c r="Q152" s="60">
        <v>1.3383272949625162</v>
      </c>
      <c r="R152" s="60">
        <v>1.3395054781835027</v>
      </c>
      <c r="S152" s="60">
        <v>1.3406700154184938</v>
      </c>
      <c r="T152" s="60">
        <v>1.3418208949518158</v>
      </c>
      <c r="U152" s="60">
        <v>1.3429581169328968</v>
      </c>
      <c r="V152" s="60">
        <v>1.34408169289713</v>
      </c>
      <c r="W152" s="60">
        <v>1.3451916452827846</v>
      </c>
      <c r="X152" s="60">
        <v>1.3462880069457448</v>
      </c>
      <c r="Y152" s="60">
        <v>1.34737082067379</v>
      </c>
      <c r="Z152" s="60">
        <v>1.3484401387020055</v>
      </c>
      <c r="AA152" s="60">
        <v>1.3494960222308294</v>
      </c>
      <c r="AB152" s="60">
        <v>1.350538540948133</v>
      </c>
      <c r="AC152" s="60">
        <v>1.3515677725566211</v>
      </c>
      <c r="AD152" s="60">
        <v>1.3525838023077437</v>
      </c>
      <c r="AE152" s="60">
        <v>1.3535867225432017</v>
      </c>
      <c r="AF152" s="60">
        <v>1.3545766322450232</v>
      </c>
      <c r="AG152" s="60">
        <v>1.3555536365950978</v>
      </c>
      <c r="AH152" s="60">
        <v>1.3565178465449337</v>
      </c>
      <c r="AI152" s="60">
        <f t="shared" si="5"/>
        <v>1.3565178465449337</v>
      </c>
      <c r="AJ152" s="13">
        <v>830</v>
      </c>
      <c r="AK152" s="14"/>
      <c r="AL152" s="14"/>
    </row>
    <row r="153" spans="1:38" ht="11.25" customHeight="1" x14ac:dyDescent="0.25">
      <c r="A153" s="60">
        <f t="shared" si="4"/>
        <v>1.3240893900726092</v>
      </c>
      <c r="B153" s="60">
        <v>1.3240893900726092</v>
      </c>
      <c r="C153" s="60">
        <v>1.3241090225378944</v>
      </c>
      <c r="D153" s="60">
        <v>1.3241417372413165</v>
      </c>
      <c r="E153" s="60">
        <v>1.3241809848628985</v>
      </c>
      <c r="F153" s="60">
        <v>1.3242071438673388</v>
      </c>
      <c r="G153" s="60">
        <v>1.3243378659138076</v>
      </c>
      <c r="H153" s="60">
        <v>1.3244684661970449</v>
      </c>
      <c r="I153" s="60">
        <v>1.3245989445315158</v>
      </c>
      <c r="J153" s="60">
        <v>1.3246641379104294</v>
      </c>
      <c r="K153" s="60">
        <v>1.3247293007333139</v>
      </c>
      <c r="L153" s="60">
        <v>1.3253792434291245</v>
      </c>
      <c r="M153" s="60">
        <v>1.3266698677352065</v>
      </c>
      <c r="N153" s="60">
        <v>1.3292135139398025</v>
      </c>
      <c r="O153" s="60">
        <v>1.3341467454072806</v>
      </c>
      <c r="P153" s="60">
        <v>1.3365347786356749</v>
      </c>
      <c r="Q153" s="60">
        <v>1.337708921100127</v>
      </c>
      <c r="R153" s="60">
        <v>1.3388697624796972</v>
      </c>
      <c r="S153" s="60">
        <v>1.3400172796555272</v>
      </c>
      <c r="T153" s="60">
        <v>1.3411514614632001</v>
      </c>
      <c r="U153" s="60">
        <v>1.3422723082328849</v>
      </c>
      <c r="V153" s="60">
        <v>1.3433798313242309</v>
      </c>
      <c r="W153" s="60">
        <v>1.3444740526577974</v>
      </c>
      <c r="X153" s="60">
        <v>1.3455550042447</v>
      </c>
      <c r="Y153" s="60">
        <v>1.3466227277161009</v>
      </c>
      <c r="Z153" s="60">
        <v>1.3476772738540301</v>
      </c>
      <c r="AA153" s="60">
        <v>1.3487187021249745</v>
      </c>
      <c r="AB153" s="60">
        <v>1.3497470802175413</v>
      </c>
      <c r="AC153" s="60">
        <v>1.3507624835854146</v>
      </c>
      <c r="AD153" s="60">
        <v>1.3517649949967421</v>
      </c>
      <c r="AE153" s="60">
        <v>1.352754704090944</v>
      </c>
      <c r="AF153" s="60">
        <v>1.353731706943903</v>
      </c>
      <c r="AG153" s="60">
        <v>1.3546961056423339</v>
      </c>
      <c r="AH153" s="60">
        <v>1.3556480078680924</v>
      </c>
      <c r="AI153" s="60">
        <f t="shared" si="5"/>
        <v>1.3556480078680924</v>
      </c>
      <c r="AJ153" s="13">
        <v>835</v>
      </c>
      <c r="AK153" s="14"/>
      <c r="AL153" s="14"/>
    </row>
    <row r="154" spans="1:38" ht="11.25" customHeight="1" x14ac:dyDescent="0.25">
      <c r="A154" s="60">
        <f t="shared" si="4"/>
        <v>1.3236871362627971</v>
      </c>
      <c r="B154" s="60">
        <v>1.3236871362627971</v>
      </c>
      <c r="C154" s="60">
        <v>1.3237064625633039</v>
      </c>
      <c r="D154" s="60">
        <v>1.3237386671301759</v>
      </c>
      <c r="E154" s="60">
        <v>1.3237773028158395</v>
      </c>
      <c r="F154" s="60">
        <v>1.3238030540012187</v>
      </c>
      <c r="G154" s="60">
        <v>1.3239317386126981</v>
      </c>
      <c r="H154" s="60">
        <v>1.3240603042322749</v>
      </c>
      <c r="I154" s="60">
        <v>1.3241887506800207</v>
      </c>
      <c r="J154" s="60">
        <v>1.3242529291586622</v>
      </c>
      <c r="K154" s="60">
        <v>1.3243170777775914</v>
      </c>
      <c r="L154" s="60">
        <v>1.3249569168813011</v>
      </c>
      <c r="M154" s="60">
        <v>1.3262275457621713</v>
      </c>
      <c r="N154" s="60">
        <v>1.3287320652475609</v>
      </c>
      <c r="O154" s="60">
        <v>1.3335906133716091</v>
      </c>
      <c r="P154" s="60">
        <v>1.3359431392668228</v>
      </c>
      <c r="Q154" s="60">
        <v>1.3370999941241406</v>
      </c>
      <c r="R154" s="60">
        <v>1.3382438603781059</v>
      </c>
      <c r="S154" s="60">
        <v>1.3393747157629308</v>
      </c>
      <c r="T154" s="60">
        <v>1.3404925495992153</v>
      </c>
      <c r="U154" s="60">
        <v>1.341597362347049</v>
      </c>
      <c r="V154" s="60">
        <v>1.3426891651544206</v>
      </c>
      <c r="W154" s="60">
        <v>1.3437679794026047</v>
      </c>
      <c r="X154" s="60">
        <v>1.3448338362501417</v>
      </c>
      <c r="Y154" s="60">
        <v>1.3458867761769184</v>
      </c>
      <c r="Z154" s="60">
        <v>1.3469268485297796</v>
      </c>
      <c r="AA154" s="60">
        <v>1.3479541110710129</v>
      </c>
      <c r="AB154" s="60">
        <v>1.3489686295309464</v>
      </c>
      <c r="AC154" s="60">
        <v>1.3499704771658128</v>
      </c>
      <c r="AD154" s="60">
        <v>1.3509597343219397</v>
      </c>
      <c r="AE154" s="60">
        <v>1.3519364880072271</v>
      </c>
      <c r="AF154" s="60">
        <v>1.3529008314707851</v>
      </c>
      <c r="AG154" s="60">
        <v>1.3538528637915179</v>
      </c>
      <c r="AH154" s="60">
        <v>1.3547926894763385</v>
      </c>
      <c r="AI154" s="60">
        <f t="shared" si="5"/>
        <v>1.3547926894763385</v>
      </c>
      <c r="AJ154" s="13">
        <v>840</v>
      </c>
      <c r="AK154" s="14"/>
      <c r="AL154" s="14"/>
    </row>
    <row r="155" spans="1:38" ht="11.25" customHeight="1" x14ac:dyDescent="0.25">
      <c r="A155" s="60">
        <f t="shared" si="4"/>
        <v>1.3232897092406068</v>
      </c>
      <c r="B155" s="60">
        <v>1.3232897092406068</v>
      </c>
      <c r="C155" s="60">
        <v>1.3233087359929363</v>
      </c>
      <c r="D155" s="60">
        <v>1.3233404414478227</v>
      </c>
      <c r="E155" s="60">
        <v>1.3233784784219214</v>
      </c>
      <c r="F155" s="60">
        <v>1.3234038306013658</v>
      </c>
      <c r="G155" s="60">
        <v>1.3235305218060951</v>
      </c>
      <c r="H155" s="60">
        <v>1.3236570967277421</v>
      </c>
      <c r="I155" s="60">
        <v>1.3237835551917256</v>
      </c>
      <c r="J155" s="60">
        <v>1.3238467406979579</v>
      </c>
      <c r="K155" s="60">
        <v>1.3239098970250047</v>
      </c>
      <c r="L155" s="60">
        <v>1.3245398507819395</v>
      </c>
      <c r="M155" s="60">
        <v>1.3257909158570105</v>
      </c>
      <c r="N155" s="60">
        <v>1.328257151557656</v>
      </c>
      <c r="O155" s="60">
        <v>1.3330426153033608</v>
      </c>
      <c r="P155" s="60">
        <v>1.3353603872480451</v>
      </c>
      <c r="Q155" s="60">
        <v>1.3365003192158813</v>
      </c>
      <c r="R155" s="60">
        <v>1.3376275669516502</v>
      </c>
      <c r="S155" s="60">
        <v>1.338742108966297</v>
      </c>
      <c r="T155" s="60">
        <v>1.3398439350042162</v>
      </c>
      <c r="U155" s="60">
        <v>1.3409330456088562</v>
      </c>
      <c r="V155" s="60">
        <v>1.3420094516841381</v>
      </c>
      <c r="W155" s="60">
        <v>1.3430731740532798</v>
      </c>
      <c r="X155" s="60">
        <v>1.3441242430165414</v>
      </c>
      <c r="Y155" s="60">
        <v>1.3451626979093234</v>
      </c>
      <c r="Z155" s="60">
        <v>1.3461885866619687</v>
      </c>
      <c r="AA155" s="60">
        <v>1.3472019653625324</v>
      </c>
      <c r="AB155" s="60">
        <v>1.3482028978236984</v>
      </c>
      <c r="AC155" s="60">
        <v>1.3491914551549238</v>
      </c>
      <c r="AD155" s="60">
        <v>1.350167715340816</v>
      </c>
      <c r="AE155" s="60">
        <v>1.3511317628266506</v>
      </c>
      <c r="AF155" s="60">
        <v>1.3520836881118508</v>
      </c>
      <c r="AG155" s="60">
        <v>1.3530235873521677</v>
      </c>
      <c r="AH155" s="60">
        <v>1.3539515619712217</v>
      </c>
      <c r="AI155" s="60">
        <f t="shared" si="5"/>
        <v>1.3539515619712217</v>
      </c>
      <c r="AJ155" s="13">
        <v>845</v>
      </c>
      <c r="AK155" s="14"/>
      <c r="AL155" s="14"/>
    </row>
    <row r="156" spans="1:38" ht="11.25" customHeight="1" x14ac:dyDescent="0.25">
      <c r="A156" s="60">
        <f t="shared" si="4"/>
        <v>1.3228970407128124</v>
      </c>
      <c r="B156" s="60">
        <v>1.3228970407128124</v>
      </c>
      <c r="C156" s="60">
        <v>1.3229157743524294</v>
      </c>
      <c r="D156" s="60">
        <v>1.3229469914180705</v>
      </c>
      <c r="E156" s="60">
        <v>1.3229844425428801</v>
      </c>
      <c r="F156" s="60">
        <v>1.3230094042881995</v>
      </c>
      <c r="G156" s="60">
        <v>1.3231341449086673</v>
      </c>
      <c r="H156" s="60">
        <v>1.3232587718937534</v>
      </c>
      <c r="I156" s="60">
        <v>1.3233832850739762</v>
      </c>
      <c r="J156" s="60">
        <v>1.3234454989347111</v>
      </c>
      <c r="K156" s="60">
        <v>1.323507684281354</v>
      </c>
      <c r="L156" s="60">
        <v>1.3241279649508397</v>
      </c>
      <c r="M156" s="60">
        <v>1.3253598859815039</v>
      </c>
      <c r="N156" s="60">
        <v>1.3277886576164628</v>
      </c>
      <c r="O156" s="60">
        <v>1.3325025918398483</v>
      </c>
      <c r="P156" s="60">
        <v>1.3347863424778166</v>
      </c>
      <c r="Q156" s="60">
        <v>1.3359097062610523</v>
      </c>
      <c r="R156" s="60">
        <v>1.3370206823195196</v>
      </c>
      <c r="S156" s="60">
        <v>1.338119249869979</v>
      </c>
      <c r="T156" s="60">
        <v>1.3392053990240764</v>
      </c>
      <c r="U156" s="60">
        <v>1.3402791303660104</v>
      </c>
      <c r="V156" s="60">
        <v>1.3413404545264878</v>
      </c>
      <c r="W156" s="60">
        <v>1.3423893917544738</v>
      </c>
      <c r="X156" s="60">
        <v>1.3434259714881742</v>
      </c>
      <c r="Y156" s="60">
        <v>1.3444502319265945</v>
      </c>
      <c r="Z156" s="60">
        <v>1.3454622196029673</v>
      </c>
      <c r="AA156" s="60">
        <v>1.3464619889612262</v>
      </c>
      <c r="AB156" s="60">
        <v>1.3474496019366538</v>
      </c>
      <c r="AC156" s="60">
        <v>1.3484251275417116</v>
      </c>
      <c r="AD156" s="60">
        <v>1.3493886414580174</v>
      </c>
      <c r="AE156" s="60">
        <v>1.3503402256353065</v>
      </c>
      <c r="AF156" s="60">
        <v>1.3512799678981755</v>
      </c>
      <c r="AG156" s="60">
        <v>1.3522079615612839</v>
      </c>
      <c r="AH156" s="60">
        <v>1.3531243050536483</v>
      </c>
      <c r="AI156" s="60">
        <f t="shared" si="5"/>
        <v>1.3531243050536483</v>
      </c>
      <c r="AJ156" s="13">
        <v>850</v>
      </c>
      <c r="AK156" s="14"/>
      <c r="AL156" s="14"/>
    </row>
    <row r="157" spans="1:38" ht="11.25" customHeight="1" x14ac:dyDescent="0.25">
      <c r="A157" s="60">
        <f t="shared" si="4"/>
        <v>1.3225090628815168</v>
      </c>
      <c r="B157" s="60">
        <v>1.3225090628815168</v>
      </c>
      <c r="C157" s="60">
        <v>1.3225275096686844</v>
      </c>
      <c r="D157" s="60">
        <v>1.322558248775886</v>
      </c>
      <c r="E157" s="60">
        <v>1.3225951265634721</v>
      </c>
      <c r="F157" s="60">
        <v>1.3226197062130702</v>
      </c>
      <c r="G157" s="60">
        <v>1.3227425379055466</v>
      </c>
      <c r="H157" s="60">
        <v>1.3228652585505876</v>
      </c>
      <c r="I157" s="60">
        <v>1.3229878679835805</v>
      </c>
      <c r="J157" s="60">
        <v>1.3230491309445156</v>
      </c>
      <c r="K157" s="60">
        <v>1.3231103660413692</v>
      </c>
      <c r="L157" s="60">
        <v>1.3237211800936817</v>
      </c>
      <c r="M157" s="60">
        <v>1.3249343653750036</v>
      </c>
      <c r="N157" s="60">
        <v>1.3273264702199061</v>
      </c>
      <c r="O157" s="60">
        <v>1.3319703871473343</v>
      </c>
      <c r="P157" s="60">
        <v>1.3342208290815871</v>
      </c>
      <c r="Q157" s="60">
        <v>1.3353279697091951</v>
      </c>
      <c r="R157" s="60">
        <v>1.3364230114929569</v>
      </c>
      <c r="S157" s="60">
        <v>1.3375059342895876</v>
      </c>
      <c r="T157" s="60">
        <v>1.3385767285258037</v>
      </c>
      <c r="U157" s="60">
        <v>1.3396353947876254</v>
      </c>
      <c r="V157" s="60">
        <v>1.3406819434064119</v>
      </c>
      <c r="W157" s="60">
        <v>1.341716394043059</v>
      </c>
      <c r="X157" s="60">
        <v>1.3427387752717026</v>
      </c>
      <c r="Y157" s="60">
        <v>1.3437491241642234</v>
      </c>
      <c r="Z157" s="60">
        <v>1.3447474858767459</v>
      </c>
      <c r="AA157" s="60">
        <v>1.3457339132392734</v>
      </c>
      <c r="AB157" s="60">
        <v>1.3467084663495004</v>
      </c>
      <c r="AC157" s="60">
        <v>1.3476712121717744</v>
      </c>
      <c r="AD157" s="60">
        <v>1.3486222241421011</v>
      </c>
      <c r="AE157" s="60">
        <v>1.3495615817799984</v>
      </c>
      <c r="AF157" s="60">
        <v>1.350489370307941</v>
      </c>
      <c r="AG157" s="60">
        <v>1.3514056802790424</v>
      </c>
      <c r="AH157" s="60">
        <v>1.3523106072135656</v>
      </c>
      <c r="AI157" s="60">
        <f t="shared" si="5"/>
        <v>1.3523106072135656</v>
      </c>
      <c r="AJ157" s="13">
        <v>855</v>
      </c>
      <c r="AK157" s="14"/>
      <c r="AL157" s="14"/>
    </row>
    <row r="158" spans="1:38" ht="11.25" customHeight="1" x14ac:dyDescent="0.25">
      <c r="A158" s="60">
        <f t="shared" si="4"/>
        <v>1.3221257084678653</v>
      </c>
      <c r="B158" s="60">
        <v>1.3221257084678653</v>
      </c>
      <c r="C158" s="60">
        <v>1.322143874493356</v>
      </c>
      <c r="D158" s="60">
        <v>1.3221741457905032</v>
      </c>
      <c r="E158" s="60">
        <v>1.3222104624141369</v>
      </c>
      <c r="F158" s="60">
        <v>1.3222346680806216</v>
      </c>
      <c r="G158" s="60">
        <v>1.3223556313731946</v>
      </c>
      <c r="H158" s="60">
        <v>1.3224764861478711</v>
      </c>
      <c r="I158" s="60">
        <v>1.3225972322446835</v>
      </c>
      <c r="J158" s="60">
        <v>1.3226575644892888</v>
      </c>
      <c r="K158" s="60">
        <v>1.3227178695050839</v>
      </c>
      <c r="L158" s="60">
        <v>1.3233194178109005</v>
      </c>
      <c r="M158" s="60">
        <v>1.3245142645483072</v>
      </c>
      <c r="N158" s="60">
        <v>1.3268704781774245</v>
      </c>
      <c r="O158" s="60">
        <v>1.331445848826786</v>
      </c>
      <c r="P158" s="60">
        <v>1.333663675289837</v>
      </c>
      <c r="Q158" s="60">
        <v>1.3347549284383564</v>
      </c>
      <c r="R158" s="60">
        <v>1.3358343642268788</v>
      </c>
      <c r="S158" s="60">
        <v>1.3369019630909413</v>
      </c>
      <c r="T158" s="60">
        <v>1.3379577157242102</v>
      </c>
      <c r="U158" s="60">
        <v>1.339001622679016</v>
      </c>
      <c r="V158" s="60">
        <v>1.3400336939640347</v>
      </c>
      <c r="W158" s="60">
        <v>1.3410539486404618</v>
      </c>
      <c r="X158" s="60">
        <v>1.3420624144179638</v>
      </c>
      <c r="Y158" s="60">
        <v>1.3430591272516135</v>
      </c>
      <c r="Z158" s="60">
        <v>1.3440441309409568</v>
      </c>
      <c r="AA158" s="60">
        <v>1.345017476732276</v>
      </c>
      <c r="AB158" s="60">
        <v>1.3459792229250362</v>
      </c>
      <c r="AC158" s="60">
        <v>1.3469294344834446</v>
      </c>
      <c r="AD158" s="60">
        <v>1.3478681826539467</v>
      </c>
      <c r="AE158" s="60">
        <v>1.3487955445894435</v>
      </c>
      <c r="AF158" s="60">
        <v>1.3497116029809069</v>
      </c>
      <c r="AG158" s="60">
        <v>1.3506164456970244</v>
      </c>
      <c r="AH158" s="60">
        <v>1.351510165432416</v>
      </c>
      <c r="AI158" s="60">
        <f t="shared" si="5"/>
        <v>1.351510165432416</v>
      </c>
      <c r="AJ158" s="13">
        <v>860</v>
      </c>
      <c r="AK158" s="14"/>
      <c r="AL158" s="14"/>
    </row>
    <row r="159" spans="1:38" ht="11.25" customHeight="1" x14ac:dyDescent="0.25">
      <c r="A159" s="60">
        <f t="shared" si="4"/>
        <v>1.3217469107336173</v>
      </c>
      <c r="B159" s="60">
        <v>1.3217469107336173</v>
      </c>
      <c r="C159" s="60">
        <v>1.3217648019242068</v>
      </c>
      <c r="D159" s="60">
        <v>1.3217946152864226</v>
      </c>
      <c r="E159" s="60">
        <v>1.321830382591568</v>
      </c>
      <c r="F159" s="60">
        <v>1.3218542221690737</v>
      </c>
      <c r="G159" s="60">
        <v>1.3219733564982559</v>
      </c>
      <c r="H159" s="60">
        <v>1.3220923847819921</v>
      </c>
      <c r="I159" s="60">
        <v>1.3222113068647514</v>
      </c>
      <c r="J159" s="60">
        <v>1.3222707280325394</v>
      </c>
      <c r="K159" s="60">
        <v>1.3223301225923856</v>
      </c>
      <c r="L159" s="60">
        <v>1.3229226006050616</v>
      </c>
      <c r="M159" s="60">
        <v>1.3240994952766718</v>
      </c>
      <c r="N159" s="60">
        <v>1.3264205722763975</v>
      </c>
      <c r="O159" s="60">
        <v>1.3309288278227216</v>
      </c>
      <c r="P159" s="60">
        <v>1.3331147133204859</v>
      </c>
      <c r="Q159" s="60">
        <v>1.334190405624724</v>
      </c>
      <c r="R159" s="60">
        <v>1.3352545548770711</v>
      </c>
      <c r="S159" s="60">
        <v>1.3363071420351649</v>
      </c>
      <c r="T159" s="60">
        <v>1.3373481580152888</v>
      </c>
      <c r="U159" s="60">
        <v>1.3383776033037491</v>
      </c>
      <c r="V159" s="60">
        <v>1.3393954875657861</v>
      </c>
      <c r="W159" s="60">
        <v>1.3404018292532849</v>
      </c>
      <c r="X159" s="60">
        <v>1.3413966552125063</v>
      </c>
      <c r="Y159" s="60">
        <v>1.3423800002929795</v>
      </c>
      <c r="Z159" s="60">
        <v>1.3433519069586426</v>
      </c>
      <c r="AA159" s="60">
        <v>1.3443124249022309</v>
      </c>
      <c r="AB159" s="60">
        <v>1.3452616106638589</v>
      </c>
      <c r="AC159" s="60">
        <v>1.3461995272546563</v>
      </c>
      <c r="AD159" s="60">
        <v>1.3471262437862586</v>
      </c>
      <c r="AE159" s="60">
        <v>1.3480418351068706</v>
      </c>
      <c r="AF159" s="60">
        <v>1.3489463814445597</v>
      </c>
      <c r="AG159" s="60">
        <v>1.3498399680583644</v>
      </c>
      <c r="AH159" s="60">
        <v>1.3507226848977345</v>
      </c>
      <c r="AI159" s="60">
        <f t="shared" si="5"/>
        <v>1.3507226848977345</v>
      </c>
      <c r="AJ159" s="13">
        <v>865</v>
      </c>
      <c r="AK159" s="14"/>
      <c r="AL159" s="14"/>
    </row>
    <row r="160" spans="1:38" ht="11.25" customHeight="1" x14ac:dyDescent="0.25">
      <c r="A160" s="60">
        <f t="shared" si="4"/>
        <v>1.3213726035007118</v>
      </c>
      <c r="B160" s="60">
        <v>1.3213726035007118</v>
      </c>
      <c r="C160" s="60">
        <v>1.3213902256244685</v>
      </c>
      <c r="D160" s="60">
        <v>1.3214195906624289</v>
      </c>
      <c r="E160" s="60">
        <v>1.3214548201773173</v>
      </c>
      <c r="F160" s="60">
        <v>1.3214783013485549</v>
      </c>
      <c r="G160" s="60">
        <v>1.3215956450945139</v>
      </c>
      <c r="H160" s="60">
        <v>1.3217128852116884</v>
      </c>
      <c r="I160" s="60">
        <v>1.321830021548785</v>
      </c>
      <c r="J160" s="60">
        <v>1.321888550752893</v>
      </c>
      <c r="K160" s="60">
        <v>1.3219470539558578</v>
      </c>
      <c r="L160" s="60">
        <v>1.3225306518868361</v>
      </c>
      <c r="M160" s="60">
        <v>1.323689970592054</v>
      </c>
      <c r="N160" s="60">
        <v>1.3259766452470447</v>
      </c>
      <c r="O160" s="60">
        <v>1.3304191783350188</v>
      </c>
      <c r="P160" s="60">
        <v>1.3325737792654704</v>
      </c>
      <c r="Q160" s="60">
        <v>1.33363422861701</v>
      </c>
      <c r="R160" s="60">
        <v>1.3346834022626926</v>
      </c>
      <c r="S160" s="60">
        <v>1.3357212816296542</v>
      </c>
      <c r="T160" s="60">
        <v>1.3367478578159886</v>
      </c>
      <c r="U160" s="60">
        <v>1.3377631312125984</v>
      </c>
      <c r="V160" s="60">
        <v>1.3387671111229291</v>
      </c>
      <c r="W160" s="60">
        <v>1.3397598153817982</v>
      </c>
      <c r="X160" s="60">
        <v>1.3407412699744623</v>
      </c>
      <c r="Y160" s="60">
        <v>1.3417115086570124</v>
      </c>
      <c r="Z160" s="60">
        <v>1.3426705725791166</v>
      </c>
      <c r="AA160" s="60">
        <v>1.3436185099100586</v>
      </c>
      <c r="AB160" s="60">
        <v>1.3445553754689692</v>
      </c>
      <c r="AC160" s="60">
        <v>1.3454812303600634</v>
      </c>
      <c r="AD160" s="60">
        <v>1.346396141613629</v>
      </c>
      <c r="AE160" s="60">
        <v>1.347300181833464</v>
      </c>
      <c r="AF160" s="60">
        <v>1.3481934288513691</v>
      </c>
      <c r="AG160" s="60">
        <v>1.3490759653892477</v>
      </c>
      <c r="AH160" s="60">
        <v>1.3499478787293131</v>
      </c>
      <c r="AI160" s="60">
        <f t="shared" si="5"/>
        <v>1.3499478787293131</v>
      </c>
      <c r="AJ160" s="13">
        <v>870</v>
      </c>
      <c r="AK160" s="14"/>
      <c r="AL160" s="14"/>
    </row>
    <row r="161" spans="1:38" ht="11.25" customHeight="1" x14ac:dyDescent="0.25">
      <c r="A161" s="60">
        <f t="shared" si="4"/>
        <v>1.3210027211689517</v>
      </c>
      <c r="B161" s="60">
        <v>1.3210027211689517</v>
      </c>
      <c r="C161" s="60">
        <v>1.3210200798403298</v>
      </c>
      <c r="D161" s="60">
        <v>1.3210490059087476</v>
      </c>
      <c r="E161" s="60">
        <v>1.3210837088545617</v>
      </c>
      <c r="F161" s="60">
        <v>1.3211068390976044</v>
      </c>
      <c r="G161" s="60">
        <v>1.3212224296180837</v>
      </c>
      <c r="H161" s="60">
        <v>1.3213379188719223</v>
      </c>
      <c r="I161" s="60">
        <v>1.321453306711879</v>
      </c>
      <c r="J161" s="60">
        <v>1.3215109625559969</v>
      </c>
      <c r="K161" s="60">
        <v>1.3215685929920233</v>
      </c>
      <c r="L161" s="60">
        <v>1.3221434959796652</v>
      </c>
      <c r="M161" s="60">
        <v>1.323285604774626</v>
      </c>
      <c r="N161" s="60">
        <v>1.3255385917278029</v>
      </c>
      <c r="O161" s="60">
        <v>1.3299167577335671</v>
      </c>
      <c r="P161" s="60">
        <v>1.3320407129812961</v>
      </c>
      <c r="Q161" s="60">
        <v>1.3330862288153642</v>
      </c>
      <c r="R161" s="60">
        <v>1.3341207295338493</v>
      </c>
      <c r="S161" s="60">
        <v>1.3351441969846292</v>
      </c>
      <c r="T161" s="60">
        <v>1.3361566224100911</v>
      </c>
      <c r="U161" s="60">
        <v>1.3371580060790935</v>
      </c>
      <c r="V161" s="60">
        <v>1.338148356917144</v>
      </c>
      <c r="W161" s="60">
        <v>1.3391276921359399</v>
      </c>
      <c r="X161" s="60">
        <v>1.3400960368633517</v>
      </c>
      <c r="Y161" s="60">
        <v>1.3410534237748841</v>
      </c>
      <c r="Z161" s="60">
        <v>1.3419998927275707</v>
      </c>
      <c r="AA161" s="60">
        <v>1.3429354903972155</v>
      </c>
      <c r="AB161" s="60">
        <v>1.3438602699198101</v>
      </c>
      <c r="AC161" s="60">
        <v>1.3447742905379054</v>
      </c>
      <c r="AD161" s="60">
        <v>1.3456776172526492</v>
      </c>
      <c r="AE161" s="60">
        <v>1.3465703204821307</v>
      </c>
      <c r="AF161" s="60">
        <v>1.3474524757266184</v>
      </c>
      <c r="AG161" s="60">
        <v>1.3483241632412135</v>
      </c>
      <c r="AH161" s="60">
        <v>1.3491854677163742</v>
      </c>
      <c r="AI161" s="60">
        <f t="shared" si="5"/>
        <v>1.3491854677163742</v>
      </c>
      <c r="AJ161" s="13">
        <v>875</v>
      </c>
      <c r="AK161" s="14"/>
      <c r="AL161" s="14"/>
    </row>
    <row r="162" spans="1:38" ht="11.25" customHeight="1" x14ac:dyDescent="0.25">
      <c r="A162" s="60">
        <f t="shared" si="4"/>
        <v>1.3206371987319245</v>
      </c>
      <c r="B162" s="60">
        <v>1.3206371987319245</v>
      </c>
      <c r="C162" s="60">
        <v>1.3206542994166666</v>
      </c>
      <c r="D162" s="60">
        <v>1.3206827956224654</v>
      </c>
      <c r="E162" s="60">
        <v>1.3207169829231402</v>
      </c>
      <c r="F162" s="60">
        <v>1.3207397695179601</v>
      </c>
      <c r="G162" s="60">
        <v>1.3208536431809359</v>
      </c>
      <c r="H162" s="60">
        <v>1.3209674178861504</v>
      </c>
      <c r="I162" s="60">
        <v>1.3210810934902339</v>
      </c>
      <c r="J162" s="60">
        <v>1.3211378940848986</v>
      </c>
      <c r="K162" s="60">
        <v>1.3211946698510966</v>
      </c>
      <c r="L162" s="60">
        <v>1.3217610581232178</v>
      </c>
      <c r="M162" s="60">
        <v>1.3228863133436493</v>
      </c>
      <c r="N162" s="60">
        <v>1.3251063082311854</v>
      </c>
      <c r="O162" s="60">
        <v>1.3294214264756459</v>
      </c>
      <c r="P162" s="60">
        <v>1.3315153579834034</v>
      </c>
      <c r="Q162" s="60">
        <v>1.3325462415546225</v>
      </c>
      <c r="R162" s="60">
        <v>1.3335663640440125</v>
      </c>
      <c r="S162" s="60">
        <v>1.3345757076750302</v>
      </c>
      <c r="T162" s="60">
        <v>1.3355742637999011</v>
      </c>
      <c r="U162" s="60">
        <v>1.3365620325413461</v>
      </c>
      <c r="V162" s="60">
        <v>1.3375390224328392</v>
      </c>
      <c r="W162" s="60">
        <v>1.3385052500584718</v>
      </c>
      <c r="X162" s="60">
        <v>1.3394607396934493</v>
      </c>
      <c r="Y162" s="60">
        <v>1.3404055229461995</v>
      </c>
      <c r="Z162" s="60">
        <v>1.3413396384029996</v>
      </c>
      <c r="AA162" s="60">
        <v>1.3422631312759783</v>
      </c>
      <c r="AB162" s="60">
        <v>1.343176053055287</v>
      </c>
      <c r="AC162" s="60">
        <v>1.3440784611661676</v>
      </c>
      <c r="AD162" s="60">
        <v>1.3449704186315961</v>
      </c>
      <c r="AE162" s="60">
        <v>1.3458519937410998</v>
      </c>
      <c r="AF162" s="60">
        <v>1.3467232597263119</v>
      </c>
      <c r="AG162" s="60">
        <v>1.3475842944437471</v>
      </c>
      <c r="AH162" s="60">
        <v>1.3484351800652357</v>
      </c>
      <c r="AI162" s="60">
        <f t="shared" si="5"/>
        <v>1.3484351800652357</v>
      </c>
      <c r="AJ162" s="13">
        <v>880</v>
      </c>
      <c r="AK162" s="14"/>
      <c r="AL162" s="14"/>
    </row>
    <row r="163" spans="1:38" ht="11.25" customHeight="1" x14ac:dyDescent="0.25">
      <c r="A163" s="60">
        <f t="shared" si="4"/>
        <v>1.3202759717912742</v>
      </c>
      <c r="B163" s="60">
        <v>1.3202759717912742</v>
      </c>
      <c r="C163" s="60">
        <v>1.3202928198111343</v>
      </c>
      <c r="D163" s="60">
        <v>1.320320895021317</v>
      </c>
      <c r="E163" s="60">
        <v>1.3203545773129848</v>
      </c>
      <c r="F163" s="60">
        <v>1.3203770273477438</v>
      </c>
      <c r="G163" s="60">
        <v>1.3204892195628803</v>
      </c>
      <c r="H163" s="60">
        <v>1.3206013150770957</v>
      </c>
      <c r="I163" s="60">
        <v>1.3207133137507234</v>
      </c>
      <c r="J163" s="60">
        <v>1.3207692767290125</v>
      </c>
      <c r="K163" s="60">
        <v>1.320825215445345</v>
      </c>
      <c r="L163" s="60">
        <v>1.3213832644757162</v>
      </c>
      <c r="M163" s="60">
        <v>1.3224920130477498</v>
      </c>
      <c r="N163" s="60">
        <v>1.3246796931101288</v>
      </c>
      <c r="O163" s="60">
        <v>1.328933048025928</v>
      </c>
      <c r="P163" s="60">
        <v>1.3309975613441769</v>
      </c>
      <c r="Q163" s="60">
        <v>1.3320141059916957</v>
      </c>
      <c r="R163" s="60">
        <v>1.3330201372270638</v>
      </c>
      <c r="S163" s="60">
        <v>1.3340156376075101</v>
      </c>
      <c r="T163" s="60">
        <v>1.3350005985634932</v>
      </c>
      <c r="U163" s="60">
        <v>1.3359750200498701</v>
      </c>
      <c r="V163" s="60">
        <v>1.3369389101958782</v>
      </c>
      <c r="W163" s="60">
        <v>1.3378922849549535</v>
      </c>
      <c r="X163" s="60">
        <v>1.3388351677553565</v>
      </c>
      <c r="Y163" s="60">
        <v>1.3397675891525291</v>
      </c>
      <c r="Z163" s="60">
        <v>1.3406895864840478</v>
      </c>
      <c r="AA163" s="60">
        <v>1.341601203527973</v>
      </c>
      <c r="AB163" s="60">
        <v>1.3425024901653575</v>
      </c>
      <c r="AC163" s="60">
        <v>1.3433935020475931</v>
      </c>
      <c r="AD163" s="60">
        <v>1.3442743002692381</v>
      </c>
      <c r="AE163" s="60">
        <v>1.3451449510468974</v>
      </c>
      <c r="AF163" s="60">
        <v>1.3460055254046785</v>
      </c>
      <c r="AG163" s="60">
        <v>1.3468560988666876</v>
      </c>
      <c r="AH163" s="60">
        <v>1.3476967511569742</v>
      </c>
      <c r="AI163" s="60">
        <f t="shared" si="5"/>
        <v>1.3476967511569742</v>
      </c>
      <c r="AJ163" s="13">
        <v>885</v>
      </c>
      <c r="AK163" s="14"/>
      <c r="AL163" s="14"/>
    </row>
    <row r="164" spans="1:38" ht="11.25" customHeight="1" x14ac:dyDescent="0.25">
      <c r="A164" s="60">
        <f t="shared" si="4"/>
        <v>1.3199189765694235</v>
      </c>
      <c r="B164" s="60">
        <v>1.3199189765694235</v>
      </c>
      <c r="C164" s="60">
        <v>1.3199355771067174</v>
      </c>
      <c r="D164" s="60">
        <v>1.3199632399559484</v>
      </c>
      <c r="E164" s="60">
        <v>1.3199964275960301</v>
      </c>
      <c r="F164" s="60">
        <v>1.3200185479731457</v>
      </c>
      <c r="G164" s="60">
        <v>1.3201290932220935</v>
      </c>
      <c r="H164" s="60">
        <v>1.3202395439761223</v>
      </c>
      <c r="I164" s="60">
        <v>1.3203499000991092</v>
      </c>
      <c r="J164" s="60">
        <v>1.3204050426317562</v>
      </c>
      <c r="K164" s="60">
        <v>1.3204601614561478</v>
      </c>
      <c r="L164" s="60">
        <v>1.3210100421152213</v>
      </c>
      <c r="M164" s="60">
        <v>1.3221026218546597</v>
      </c>
      <c r="N164" s="60">
        <v>1.3242586465248265</v>
      </c>
      <c r="O164" s="60">
        <v>1.3284514887789958</v>
      </c>
      <c r="P164" s="60">
        <v>1.3304871735944499</v>
      </c>
      <c r="Q164" s="60">
        <v>1.3314896649969248</v>
      </c>
      <c r="R164" s="60">
        <v>1.3324818844787636</v>
      </c>
      <c r="S164" s="60">
        <v>1.3334638148922926</v>
      </c>
      <c r="T164" s="60">
        <v>1.3344354477172573</v>
      </c>
      <c r="U164" s="60">
        <v>1.3353967827211193</v>
      </c>
      <c r="V164" s="60">
        <v>1.3363478276184249</v>
      </c>
      <c r="W164" s="60">
        <v>1.337288597730222</v>
      </c>
      <c r="X164" s="60">
        <v>1.3382191156444483</v>
      </c>
      <c r="Y164" s="60">
        <v>1.339139410878158</v>
      </c>
      <c r="Z164" s="60">
        <v>1.3400495195424103</v>
      </c>
      <c r="AA164" s="60">
        <v>1.3409494840105749</v>
      </c>
      <c r="AB164" s="60">
        <v>1.3418393525907788</v>
      </c>
      <c r="AC164" s="60">
        <v>1.3427191792031306</v>
      </c>
      <c r="AD164" s="60">
        <v>1.3435890230623371</v>
      </c>
      <c r="AE164" s="60">
        <v>1.3444489483662483</v>
      </c>
      <c r="AF164" s="60">
        <v>1.3452990239908273</v>
      </c>
      <c r="AG164" s="60">
        <v>1.3461393231919772</v>
      </c>
      <c r="AH164" s="60">
        <v>1.3469699233146211</v>
      </c>
      <c r="AI164" s="60">
        <f t="shared" si="5"/>
        <v>1.3469699233146211</v>
      </c>
      <c r="AJ164" s="13">
        <v>890</v>
      </c>
      <c r="AK164" s="14"/>
      <c r="AL164" s="14"/>
    </row>
    <row r="165" spans="1:38" ht="11.25" customHeight="1" x14ac:dyDescent="0.25">
      <c r="A165" s="60">
        <f t="shared" si="4"/>
        <v>1.3195661499208571</v>
      </c>
      <c r="B165" s="60">
        <v>1.3195661499208571</v>
      </c>
      <c r="C165" s="60">
        <v>1.3195825080228436</v>
      </c>
      <c r="D165" s="60">
        <v>1.3196097669207516</v>
      </c>
      <c r="E165" s="60">
        <v>1.3196424699967249</v>
      </c>
      <c r="F165" s="60">
        <v>1.3196642674387074</v>
      </c>
      <c r="G165" s="60">
        <v>1.319773199304292</v>
      </c>
      <c r="H165" s="60">
        <v>1.3198820388313004</v>
      </c>
      <c r="I165" s="60">
        <v>1.319990785887001</v>
      </c>
      <c r="J165" s="60">
        <v>1.3200451246969567</v>
      </c>
      <c r="K165" s="60">
        <v>1.3200994403398492</v>
      </c>
      <c r="L165" s="60">
        <v>1.320641319039942</v>
      </c>
      <c r="M165" s="60">
        <v>1.3217180589404762</v>
      </c>
      <c r="N165" s="60">
        <v>1.3238430704100619</v>
      </c>
      <c r="O165" s="60">
        <v>1.3279766179842871</v>
      </c>
      <c r="P165" s="60">
        <v>1.3299840486283547</v>
      </c>
      <c r="Q165" s="60">
        <v>1.3309727650492293</v>
      </c>
      <c r="R165" s="60">
        <v>1.3319514450424528</v>
      </c>
      <c r="S165" s="60">
        <v>1.3329200717196947</v>
      </c>
      <c r="T165" s="60">
        <v>1.3338786365835182</v>
      </c>
      <c r="U165" s="60">
        <v>1.3348271391964945</v>
      </c>
      <c r="V165" s="60">
        <v>1.3357655868496374</v>
      </c>
      <c r="W165" s="60">
        <v>1.3366939942310816</v>
      </c>
      <c r="X165" s="60">
        <v>1.3376123830958782</v>
      </c>
      <c r="Y165" s="60">
        <v>1.3385207819377296</v>
      </c>
      <c r="Z165" s="60">
        <v>1.3394192256634425</v>
      </c>
      <c r="AA165" s="60">
        <v>1.3403077552708162</v>
      </c>
      <c r="AB165" s="60">
        <v>1.3411864175306414</v>
      </c>
      <c r="AC165" s="60">
        <v>1.3420552646734314</v>
      </c>
      <c r="AD165" s="60">
        <v>1.3429143540814408</v>
      </c>
      <c r="AE165" s="60">
        <v>1.3437637479865034</v>
      </c>
      <c r="AF165" s="60">
        <v>1.3446035131741374</v>
      </c>
      <c r="AG165" s="60">
        <v>1.3454337206943436</v>
      </c>
      <c r="AH165" s="60">
        <v>1.3462544455794569</v>
      </c>
      <c r="AI165" s="60">
        <f t="shared" si="5"/>
        <v>1.3462544455794569</v>
      </c>
      <c r="AJ165" s="13">
        <v>895</v>
      </c>
      <c r="AK165" s="14"/>
      <c r="AL165" s="14"/>
    </row>
    <row r="166" spans="1:38" ht="11.25" customHeight="1" x14ac:dyDescent="0.25">
      <c r="A166" s="60">
        <f t="shared" si="4"/>
        <v>1.3192174293420482</v>
      </c>
      <c r="B166" s="60">
        <v>1.3192174293420482</v>
      </c>
      <c r="C166" s="60">
        <v>1.3192335499251544</v>
      </c>
      <c r="D166" s="60">
        <v>1.3192604130633721</v>
      </c>
      <c r="E166" s="60">
        <v>1.3192926414012121</v>
      </c>
      <c r="F166" s="60">
        <v>1.319314122456295</v>
      </c>
      <c r="G166" s="60">
        <v>1.3194214736506458</v>
      </c>
      <c r="H166" s="60">
        <v>1.3195287346142563</v>
      </c>
      <c r="I166" s="60">
        <v>1.3196359052176432</v>
      </c>
      <c r="J166" s="60">
        <v>1.3196894565941055</v>
      </c>
      <c r="K166" s="60">
        <v>1.3197429853324802</v>
      </c>
      <c r="L166" s="60">
        <v>1.3202770241676542</v>
      </c>
      <c r="M166" s="60">
        <v>1.3213382446784836</v>
      </c>
      <c r="N166" s="60">
        <v>1.323432868443035</v>
      </c>
      <c r="O166" s="60">
        <v>1.3275083076733645</v>
      </c>
      <c r="P166" s="60">
        <v>1.3294880436113823</v>
      </c>
      <c r="Q166" s="60">
        <v>1.3304632561348939</v>
      </c>
      <c r="R166" s="60">
        <v>1.3314286618988005</v>
      </c>
      <c r="S166" s="60">
        <v>1.3323842442410931</v>
      </c>
      <c r="T166" s="60">
        <v>1.3333299946629873</v>
      </c>
      <c r="U166" s="60">
        <v>1.3342659125065588</v>
      </c>
      <c r="V166" s="60">
        <v>1.3351920046319379</v>
      </c>
      <c r="W166" s="60">
        <v>1.336108285094922</v>
      </c>
      <c r="X166" s="60">
        <v>1.3370147748258436</v>
      </c>
      <c r="Y166" s="60">
        <v>1.3379115013104661</v>
      </c>
      <c r="Z166" s="60">
        <v>1.3387984982736465</v>
      </c>
      <c r="AA166" s="60">
        <v>1.3396758053664477</v>
      </c>
      <c r="AB166" s="60">
        <v>1.3405434678573316</v>
      </c>
      <c r="AC166" s="60">
        <v>1.3414015363280252</v>
      </c>
      <c r="AD166" s="60">
        <v>1.3422500663745909</v>
      </c>
      <c r="AE166" s="60">
        <v>1.3430891183141886</v>
      </c>
      <c r="AF166" s="60">
        <v>1.3439187568979676</v>
      </c>
      <c r="AG166" s="60">
        <v>1.3447390510304833</v>
      </c>
      <c r="AH166" s="60">
        <v>1.3455500734959778</v>
      </c>
      <c r="AI166" s="60">
        <f t="shared" si="5"/>
        <v>1.3455500734959778</v>
      </c>
      <c r="AJ166" s="13">
        <v>900</v>
      </c>
      <c r="AK166" s="14"/>
      <c r="AL166" s="14"/>
    </row>
    <row r="167" spans="1:38" ht="11.25" customHeight="1" x14ac:dyDescent="0.25">
      <c r="A167" s="60">
        <f t="shared" si="4"/>
        <v>1.3188727529801247</v>
      </c>
      <c r="B167" s="60">
        <v>1.3188727529801247</v>
      </c>
      <c r="C167" s="60">
        <v>1.3188886408340172</v>
      </c>
      <c r="D167" s="60">
        <v>1.3189151161929651</v>
      </c>
      <c r="E167" s="60">
        <v>1.3189468793652841</v>
      </c>
      <c r="F167" s="60">
        <v>1.3189680504128487</v>
      </c>
      <c r="G167" s="60">
        <v>1.3190738528045067</v>
      </c>
      <c r="H167" s="60">
        <v>1.3191795670258843</v>
      </c>
      <c r="I167" s="60">
        <v>1.3192851929506089</v>
      </c>
      <c r="J167" s="60">
        <v>1.3193379727625441</v>
      </c>
      <c r="K167" s="60">
        <v>1.3193907304534378</v>
      </c>
      <c r="L167" s="60">
        <v>1.319917087334286</v>
      </c>
      <c r="M167" s="60">
        <v>1.3209631006275913</v>
      </c>
      <c r="N167" s="60">
        <v>1.3230279460116872</v>
      </c>
      <c r="O167" s="60">
        <v>1.327046432589432</v>
      </c>
      <c r="P167" s="60">
        <v>1.3289990188915204</v>
      </c>
      <c r="Q167" s="60">
        <v>1.3299609916498343</v>
      </c>
      <c r="R167" s="60">
        <v>1.3309133816594307</v>
      </c>
      <c r="S167" s="60">
        <v>1.3318561724541551</v>
      </c>
      <c r="T167" s="60">
        <v>1.3327893555118513</v>
      </c>
      <c r="U167" s="60">
        <v>1.3337129299402499</v>
      </c>
      <c r="V167" s="60">
        <v>1.3346269021626171</v>
      </c>
      <c r="W167" s="60">
        <v>1.3355312856039987</v>
      </c>
      <c r="X167" s="60">
        <v>1.33642610037883</v>
      </c>
      <c r="Y167" s="60">
        <v>1.3373113729806672</v>
      </c>
      <c r="Z167" s="60">
        <v>1.3381871359747197</v>
      </c>
      <c r="AA167" s="60">
        <v>1.3390534276938431</v>
      </c>
      <c r="AB167" s="60">
        <v>1.3399102919385801</v>
      </c>
      <c r="AC167" s="60">
        <v>1.3407577776818218</v>
      </c>
      <c r="AD167" s="60">
        <v>1.3415959387785759</v>
      </c>
      <c r="AE167" s="60">
        <v>1.3424248336813156</v>
      </c>
      <c r="AF167" s="60">
        <v>1.3432445251613199</v>
      </c>
      <c r="AG167" s="60">
        <v>1.3440550800363738</v>
      </c>
      <c r="AH167" s="60">
        <v>1.3448565689051506</v>
      </c>
      <c r="AI167" s="60">
        <f t="shared" si="5"/>
        <v>1.3448565689051506</v>
      </c>
      <c r="AJ167" s="13">
        <v>905</v>
      </c>
      <c r="AK167" s="14"/>
      <c r="AL167" s="14"/>
    </row>
    <row r="168" spans="1:38" ht="11.25" customHeight="1" x14ac:dyDescent="0.25">
      <c r="A168" s="60">
        <f t="shared" si="4"/>
        <v>1.3185320596403602</v>
      </c>
      <c r="B168" s="60">
        <v>1.3185320596403602</v>
      </c>
      <c r="C168" s="60">
        <v>1.3185477194318687</v>
      </c>
      <c r="D168" s="60">
        <v>1.3185738147872934</v>
      </c>
      <c r="E168" s="60">
        <v>1.3186051221211861</v>
      </c>
      <c r="F168" s="60">
        <v>1.3186259893769912</v>
      </c>
      <c r="G168" s="60">
        <v>1.3187302740170408</v>
      </c>
      <c r="H168" s="60">
        <v>1.3188344725010002</v>
      </c>
      <c r="I168" s="60">
        <v>1.3189385847054769</v>
      </c>
      <c r="J168" s="60">
        <v>1.3189906084146508</v>
      </c>
      <c r="K168" s="60">
        <v>1.3190426105081818</v>
      </c>
      <c r="L168" s="60">
        <v>1.3195614392917441</v>
      </c>
      <c r="M168" s="60">
        <v>1.3205925495204267</v>
      </c>
      <c r="N168" s="60">
        <v>1.3226282101835285</v>
      </c>
      <c r="O168" s="60">
        <v>1.3265908701190119</v>
      </c>
      <c r="P168" s="60">
        <v>1.3285168379133494</v>
      </c>
      <c r="Q168" s="60">
        <v>1.3294658283052034</v>
      </c>
      <c r="R168" s="60">
        <v>1.3304054544642669</v>
      </c>
      <c r="S168" s="60">
        <v>1.3313357000921462</v>
      </c>
      <c r="T168" s="60">
        <v>1.3322565566232907</v>
      </c>
      <c r="U168" s="60">
        <v>1.3331680229188578</v>
      </c>
      <c r="V168" s="60">
        <v>1.3340701049605383</v>
      </c>
      <c r="W168" s="60">
        <v>1.334962815545125</v>
      </c>
      <c r="X168" s="60">
        <v>1.3358461739805665</v>
      </c>
      <c r="Y168" s="60">
        <v>1.3367202057842074</v>
      </c>
      <c r="Z168" s="60">
        <v>1.3375849423838759</v>
      </c>
      <c r="AA168" s="60">
        <v>1.3384404208224214</v>
      </c>
      <c r="AB168" s="60">
        <v>1.3392866834662844</v>
      </c>
      <c r="AC168" s="60">
        <v>1.3401237777186108</v>
      </c>
      <c r="AD168" s="60">
        <v>1.3409517557373976</v>
      </c>
      <c r="AE168" s="60">
        <v>1.3417706741590993</v>
      </c>
      <c r="AF168" s="60">
        <v>1.3425805938280926</v>
      </c>
      <c r="AG168" s="60">
        <v>1.3433815795323425</v>
      </c>
      <c r="AH168" s="60">
        <v>1.3441736997455784</v>
      </c>
      <c r="AI168" s="60">
        <f t="shared" si="5"/>
        <v>1.3441736997455784</v>
      </c>
      <c r="AJ168" s="13">
        <v>910</v>
      </c>
      <c r="AK168" s="14"/>
      <c r="AL168" s="14"/>
    </row>
    <row r="169" spans="1:38" ht="11.25" customHeight="1" x14ac:dyDescent="0.25">
      <c r="A169" s="60">
        <f t="shared" si="4"/>
        <v>1.3181952887925594</v>
      </c>
      <c r="B169" s="60">
        <v>1.3181952887925594</v>
      </c>
      <c r="C169" s="60">
        <v>1.3182107250694606</v>
      </c>
      <c r="D169" s="60">
        <v>1.3182364479987416</v>
      </c>
      <c r="E169" s="60">
        <v>1.3182673085833509</v>
      </c>
      <c r="F169" s="60">
        <v>1.3182878781045724</v>
      </c>
      <c r="G169" s="60">
        <v>1.3183906752518386</v>
      </c>
      <c r="H169" s="60">
        <v>1.318493388212014</v>
      </c>
      <c r="I169" s="60">
        <v>1.3185960168645665</v>
      </c>
      <c r="J169" s="60">
        <v>1.3186472995381113</v>
      </c>
      <c r="K169" s="60">
        <v>1.3186985610900368</v>
      </c>
      <c r="L169" s="60">
        <v>1.3192100117050261</v>
      </c>
      <c r="M169" s="60">
        <v>1.3202265152511234</v>
      </c>
      <c r="N169" s="60">
        <v>1.3222335696749685</v>
      </c>
      <c r="O169" s="60">
        <v>1.326141500225702</v>
      </c>
      <c r="P169" s="60">
        <v>1.3280413671349705</v>
      </c>
      <c r="Q169" s="60">
        <v>1.3289776260362025</v>
      </c>
      <c r="R169" s="60">
        <v>1.3299047338824266</v>
      </c>
      <c r="S169" s="60">
        <v>1.3308226745171396</v>
      </c>
      <c r="T169" s="60">
        <v>1.3317314393132318</v>
      </c>
      <c r="U169" s="60">
        <v>1.3326310268745671</v>
      </c>
      <c r="V169" s="60">
        <v>1.33352144273771</v>
      </c>
      <c r="W169" s="60">
        <v>1.3344026990745379</v>
      </c>
      <c r="X169" s="60">
        <v>1.3352748143964395</v>
      </c>
      <c r="Y169" s="60">
        <v>1.3361378132607653</v>
      </c>
      <c r="Z169" s="60">
        <v>1.3369917259801547</v>
      </c>
      <c r="AA169" s="60">
        <v>1.3378365883353152</v>
      </c>
      <c r="AB169" s="60">
        <v>1.3386724412917947</v>
      </c>
      <c r="AC169" s="60">
        <v>1.3394993307212459</v>
      </c>
      <c r="AD169" s="60">
        <v>1.3403173071276244</v>
      </c>
      <c r="AE169" s="60">
        <v>1.3411264253787496</v>
      </c>
      <c r="AF169" s="60">
        <v>1.3419267444435807</v>
      </c>
      <c r="AG169" s="60">
        <v>1.342718327135547</v>
      </c>
      <c r="AH169" s="60">
        <v>1.3435012398622221</v>
      </c>
      <c r="AI169" s="60">
        <f t="shared" si="5"/>
        <v>1.3435012398622221</v>
      </c>
      <c r="AJ169" s="13">
        <v>915</v>
      </c>
      <c r="AK169" s="14"/>
      <c r="AL169" s="14"/>
    </row>
    <row r="170" spans="1:38" ht="11.25" customHeight="1" x14ac:dyDescent="0.25">
      <c r="A170" s="60">
        <f t="shared" si="4"/>
        <v>1.3178623805764245</v>
      </c>
      <c r="B170" s="60">
        <v>1.3178623805764245</v>
      </c>
      <c r="C170" s="60">
        <v>1.3178775977710915</v>
      </c>
      <c r="D170" s="60">
        <v>1.3179029556593209</v>
      </c>
      <c r="E170" s="60">
        <v>1.3179333783531313</v>
      </c>
      <c r="F170" s="60">
        <v>1.3179536560432257</v>
      </c>
      <c r="G170" s="60">
        <v>1.3180549951885661</v>
      </c>
      <c r="H170" s="60">
        <v>1.3181562520716863</v>
      </c>
      <c r="I170" s="60">
        <v>1.3182574265747951</v>
      </c>
      <c r="J170" s="60">
        <v>1.3183079828973217</v>
      </c>
      <c r="K170" s="60">
        <v>1.3183585185811486</v>
      </c>
      <c r="L170" s="60">
        <v>1.3188627371486961</v>
      </c>
      <c r="M170" s="60">
        <v>1.3198649228628467</v>
      </c>
      <c r="N170" s="60">
        <v>1.3218439348211433</v>
      </c>
      <c r="O170" s="60">
        <v>1.3256982053859392</v>
      </c>
      <c r="P170" s="60">
        <v>1.327572475947663</v>
      </c>
      <c r="Q170" s="60">
        <v>1.3284962479139608</v>
      </c>
      <c r="R170" s="60">
        <v>1.3294110768165326</v>
      </c>
      <c r="S170" s="60">
        <v>1.3303169466169706</v>
      </c>
      <c r="T170" s="60">
        <v>1.3312138486101674</v>
      </c>
      <c r="U170" s="60">
        <v>1.3321017811333666</v>
      </c>
      <c r="V170" s="60">
        <v>1.3329807492755283</v>
      </c>
      <c r="W170" s="60">
        <v>1.3338507645877109</v>
      </c>
      <c r="X170" s="60">
        <v>1.3347118447951296</v>
      </c>
      <c r="Y170" s="60">
        <v>1.3355640135115303</v>
      </c>
      <c r="Z170" s="60">
        <v>1.3364072999564607</v>
      </c>
      <c r="AA170" s="60">
        <v>1.3372417386759881</v>
      </c>
      <c r="AB170" s="60">
        <v>1.3380673692673806</v>
      </c>
      <c r="AC170" s="60">
        <v>1.3388842361082116</v>
      </c>
      <c r="AD170" s="60">
        <v>1.3396923880903218</v>
      </c>
      <c r="AE170" s="60">
        <v>1.3404918783590241</v>
      </c>
      <c r="AF170" s="60">
        <v>1.3412827640579075</v>
      </c>
      <c r="AG170" s="60">
        <v>1.3420651060795379</v>
      </c>
      <c r="AH170" s="60">
        <v>1.3428389688223468</v>
      </c>
      <c r="AI170" s="60">
        <f t="shared" si="5"/>
        <v>1.3428389688223468</v>
      </c>
      <c r="AJ170" s="13">
        <v>920</v>
      </c>
      <c r="AK170" s="14"/>
      <c r="AL170" s="14"/>
    </row>
    <row r="171" spans="1:38" ht="11.25" customHeight="1" x14ac:dyDescent="0.25">
      <c r="A171" s="60">
        <f t="shared" si="4"/>
        <v>1.3175332758059632</v>
      </c>
      <c r="B171" s="60">
        <v>1.3175332758059632</v>
      </c>
      <c r="C171" s="60">
        <v>1.3175482782388848</v>
      </c>
      <c r="D171" s="60">
        <v>1.3175732782847318</v>
      </c>
      <c r="E171" s="60">
        <v>1.3176032717226041</v>
      </c>
      <c r="F171" s="60">
        <v>1.3176232633359986</v>
      </c>
      <c r="G171" s="60">
        <v>1.3177231732257373</v>
      </c>
      <c r="H171" s="60">
        <v>1.3178230027350324</v>
      </c>
      <c r="I171" s="60">
        <v>1.3179227517487213</v>
      </c>
      <c r="J171" s="60">
        <v>1.317972596034005</v>
      </c>
      <c r="K171" s="60">
        <v>1.3180224201526649</v>
      </c>
      <c r="L171" s="60">
        <v>1.3185195491027577</v>
      </c>
      <c r="M171" s="60">
        <v>1.3195076985350882</v>
      </c>
      <c r="N171" s="60">
        <v>1.3214592175462503</v>
      </c>
      <c r="O171" s="60">
        <v>1.3252608705266995</v>
      </c>
      <c r="P171" s="60">
        <v>1.3271100365981585</v>
      </c>
      <c r="Q171" s="60">
        <v>1.3280215600603693</v>
      </c>
      <c r="R171" s="60">
        <v>1.3289243434102975</v>
      </c>
      <c r="S171" s="60">
        <v>1.3298183707057709</v>
      </c>
      <c r="T171" s="60">
        <v>1.3307036331488553</v>
      </c>
      <c r="U171" s="60">
        <v>1.3315801288021369</v>
      </c>
      <c r="V171" s="60">
        <v>1.3324478623054776</v>
      </c>
      <c r="W171" s="60">
        <v>1.3333068445938994</v>
      </c>
      <c r="X171" s="60">
        <v>1.3341570926172359</v>
      </c>
      <c r="Y171" s="60">
        <v>1.3349986290621514</v>
      </c>
      <c r="Z171" s="60">
        <v>1.3358314820770711</v>
      </c>
      <c r="AA171" s="60">
        <v>1.3366556850005571</v>
      </c>
      <c r="AB171" s="60">
        <v>1.3374712760936043</v>
      </c>
      <c r="AC171" s="60">
        <v>1.3382782982763035</v>
      </c>
      <c r="AD171" s="60">
        <v>1.3390767988692756</v>
      </c>
      <c r="AE171" s="60">
        <v>1.339866829340244</v>
      </c>
      <c r="AF171" s="60">
        <v>1.3406484450560761</v>
      </c>
      <c r="AG171" s="60">
        <v>1.3414217050405874</v>
      </c>
      <c r="AH171" s="60">
        <v>1.3421866717383704</v>
      </c>
      <c r="AI171" s="60">
        <f t="shared" si="5"/>
        <v>1.3421866717383704</v>
      </c>
      <c r="AJ171" s="13">
        <v>925</v>
      </c>
      <c r="AK171" s="14"/>
      <c r="AL171" s="14"/>
    </row>
    <row r="172" spans="1:38" ht="11.25" customHeight="1" x14ac:dyDescent="0.25">
      <c r="A172" s="60">
        <f t="shared" si="4"/>
        <v>1.3172079159730092</v>
      </c>
      <c r="B172" s="60">
        <v>1.3172079159730092</v>
      </c>
      <c r="C172" s="60">
        <v>1.3172227078561842</v>
      </c>
      <c r="D172" s="60">
        <v>1.3172473570775529</v>
      </c>
      <c r="E172" s="60">
        <v>1.3172769296775129</v>
      </c>
      <c r="F172" s="60">
        <v>1.3172966408241271</v>
      </c>
      <c r="G172" s="60">
        <v>1.3173951494826597</v>
      </c>
      <c r="H172" s="60">
        <v>1.3174935796004421</v>
      </c>
      <c r="I172" s="60">
        <v>1.3175919310648352</v>
      </c>
      <c r="J172" s="60">
        <v>1.3176410772670848</v>
      </c>
      <c r="K172" s="60">
        <v>1.3176902037642007</v>
      </c>
      <c r="L172" s="60">
        <v>1.3181803819479829</v>
      </c>
      <c r="M172" s="60">
        <v>1.3191547695707624</v>
      </c>
      <c r="N172" s="60">
        <v>1.3210793313343812</v>
      </c>
      <c r="O172" s="60">
        <v>1.3248293829650604</v>
      </c>
      <c r="P172" s="60">
        <v>1.3266539241134312</v>
      </c>
      <c r="Q172" s="60">
        <v>1.327553431565742</v>
      </c>
      <c r="R172" s="60">
        <v>1.3284443969592434</v>
      </c>
      <c r="S172" s="60">
        <v>1.3293268044279443</v>
      </c>
      <c r="T172" s="60">
        <v>1.3302006450677493</v>
      </c>
      <c r="U172" s="60">
        <v>1.3310659166597469</v>
      </c>
      <c r="V172" s="60">
        <v>1.3319226233941057</v>
      </c>
      <c r="W172" s="60">
        <v>1.3327707755952176</v>
      </c>
      <c r="X172" s="60">
        <v>1.3336103894486815</v>
      </c>
      <c r="Y172" s="60">
        <v>1.3344414867306962</v>
      </c>
      <c r="Z172" s="60">
        <v>1.3352640945403864</v>
      </c>
      <c r="AA172" s="60">
        <v>1.3360782450355595</v>
      </c>
      <c r="AB172" s="60">
        <v>1.336883975172344</v>
      </c>
      <c r="AC172" s="60">
        <v>1.3376813264491354</v>
      </c>
      <c r="AD172" s="60">
        <v>1.3384703446552286</v>
      </c>
      <c r="AE172" s="60">
        <v>1.3392510796244863</v>
      </c>
      <c r="AF172" s="60">
        <v>1.3400235849943534</v>
      </c>
      <c r="AG172" s="60">
        <v>1.3407879179704976</v>
      </c>
      <c r="AH172" s="60">
        <v>1.3415441390973184</v>
      </c>
      <c r="AI172" s="60">
        <f t="shared" si="5"/>
        <v>1.3415441390973184</v>
      </c>
      <c r="AJ172" s="13">
        <v>930</v>
      </c>
      <c r="AK172" s="14"/>
      <c r="AL172" s="14"/>
    </row>
    <row r="173" spans="1:38" ht="11.25" customHeight="1" x14ac:dyDescent="0.25">
      <c r="A173" s="60">
        <f t="shared" si="4"/>
        <v>1.3168862432499155</v>
      </c>
      <c r="B173" s="60">
        <v>1.3168862432499155</v>
      </c>
      <c r="C173" s="60">
        <v>1.3169008286901298</v>
      </c>
      <c r="D173" s="60">
        <v>1.3169251339296166</v>
      </c>
      <c r="E173" s="60">
        <v>1.3169542938994032</v>
      </c>
      <c r="F173" s="60">
        <v>1.3169737300490141</v>
      </c>
      <c r="G173" s="60">
        <v>1.3170708648006151</v>
      </c>
      <c r="H173" s="60">
        <v>1.3171679228100655</v>
      </c>
      <c r="I173" s="60">
        <v>1.3172649039671507</v>
      </c>
      <c r="J173" s="60">
        <v>1.3173133656918812</v>
      </c>
      <c r="K173" s="60">
        <v>1.3173618081626322</v>
      </c>
      <c r="L173" s="60">
        <v>1.3178451709607446</v>
      </c>
      <c r="M173" s="60">
        <v>1.3188060643831432</v>
      </c>
      <c r="N173" s="60">
        <v>1.3207041912008575</v>
      </c>
      <c r="O173" s="60">
        <v>1.3244036323495689</v>
      </c>
      <c r="P173" s="60">
        <v>1.3262040162279121</v>
      </c>
      <c r="Q173" s="60">
        <v>1.3270917344091999</v>
      </c>
      <c r="R173" s="60">
        <v>1.3279711038244337</v>
      </c>
      <c r="S173" s="60">
        <v>1.3288421086654338</v>
      </c>
      <c r="T173" s="60">
        <v>1.3297047399099995</v>
      </c>
      <c r="U173" s="60">
        <v>1.3305589950519812</v>
      </c>
      <c r="V173" s="60">
        <v>1.3314048778320899</v>
      </c>
      <c r="W173" s="60">
        <v>1.3322423979700551</v>
      </c>
      <c r="X173" s="60">
        <v>1.3330715708986898</v>
      </c>
      <c r="Y173" s="60">
        <v>1.3338924175004083</v>
      </c>
      <c r="Z173" s="60">
        <v>1.3347049638466859</v>
      </c>
      <c r="AA173" s="60">
        <v>1.3355092409409339</v>
      </c>
      <c r="AB173" s="60">
        <v>1.3363052844652217</v>
      </c>
      <c r="AC173" s="60">
        <v>1.3370931345312393</v>
      </c>
      <c r="AD173" s="60">
        <v>1.3378728354358698</v>
      </c>
      <c r="AE173" s="60">
        <v>1.3386444354216915</v>
      </c>
      <c r="AF173" s="60">
        <v>1.3394079864427124</v>
      </c>
      <c r="AG173" s="60">
        <v>1.3401635439355928</v>
      </c>
      <c r="AH173" s="60">
        <v>1.3409111665965909</v>
      </c>
      <c r="AI173" s="60">
        <f t="shared" si="5"/>
        <v>1.3409111665965909</v>
      </c>
      <c r="AJ173" s="13">
        <v>935</v>
      </c>
      <c r="AK173" s="14"/>
      <c r="AL173" s="14"/>
    </row>
    <row r="174" spans="1:38" ht="11.25" customHeight="1" x14ac:dyDescent="0.25">
      <c r="A174" s="60">
        <f t="shared" si="4"/>
        <v>1.3165682004914805</v>
      </c>
      <c r="B174" s="60">
        <v>1.3165682004914805</v>
      </c>
      <c r="C174" s="60">
        <v>1.3165825834934677</v>
      </c>
      <c r="D174" s="60">
        <v>1.3166065514236303</v>
      </c>
      <c r="E174" s="60">
        <v>1.3166353067670138</v>
      </c>
      <c r="F174" s="60">
        <v>1.3166544732534671</v>
      </c>
      <c r="G174" s="60">
        <v>1.3167502607433352</v>
      </c>
      <c r="H174" s="60">
        <v>1.3168459732495263</v>
      </c>
      <c r="I174" s="60">
        <v>1.3169416106641543</v>
      </c>
      <c r="J174" s="60">
        <v>1.316989401178678</v>
      </c>
      <c r="K174" s="60">
        <v>1.3170371728802859</v>
      </c>
      <c r="L174" s="60">
        <v>1.3175138523073946</v>
      </c>
      <c r="M174" s="60">
        <v>1.3184615124826573</v>
      </c>
      <c r="N174" s="60">
        <v>1.320333713664062</v>
      </c>
      <c r="O174" s="60">
        <v>1.3239835106033422</v>
      </c>
      <c r="P174" s="60">
        <v>1.3257601933130285</v>
      </c>
      <c r="Q174" s="60">
        <v>1.3266363433816699</v>
      </c>
      <c r="R174" s="60">
        <v>1.327504333349103</v>
      </c>
      <c r="S174" s="60">
        <v>1.3283641474481565</v>
      </c>
      <c r="T174" s="60">
        <v>1.3292157765278745</v>
      </c>
      <c r="U174" s="60">
        <v>1.3300592177901489</v>
      </c>
      <c r="V174" s="60">
        <v>1.3308944745272255</v>
      </c>
      <c r="W174" s="60">
        <v>1.3317215558606421</v>
      </c>
      <c r="X174" s="60">
        <v>1.33254047648214</v>
      </c>
      <c r="Y174" s="60">
        <v>1.3333512563970582</v>
      </c>
      <c r="Z174" s="60">
        <v>1.3341539206706832</v>
      </c>
      <c r="AA174" s="60">
        <v>1.3349484991779912</v>
      </c>
      <c r="AB174" s="60">
        <v>1.335735026357201</v>
      </c>
      <c r="AC174" s="60">
        <v>1.3365135409675046</v>
      </c>
      <c r="AD174" s="60">
        <v>1.3372840858513295</v>
      </c>
      <c r="AE174" s="60">
        <v>1.3380467077014238</v>
      </c>
      <c r="AF174" s="60">
        <v>1.3388014568330691</v>
      </c>
      <c r="AG174" s="60">
        <v>1.339548386961646</v>
      </c>
      <c r="AH174" s="60">
        <v>1.3402875549857787</v>
      </c>
      <c r="AI174" s="60">
        <f t="shared" si="5"/>
        <v>1.3402875549857787</v>
      </c>
      <c r="AJ174" s="13">
        <v>940</v>
      </c>
      <c r="AK174" s="14"/>
      <c r="AL174" s="14"/>
    </row>
    <row r="175" spans="1:38" ht="11.25" customHeight="1" x14ac:dyDescent="0.25">
      <c r="A175" s="60">
        <f t="shared" si="4"/>
        <v>1.31625373123616</v>
      </c>
      <c r="B175" s="60">
        <v>1.31625373123616</v>
      </c>
      <c r="C175" s="60">
        <v>1.3162679157056512</v>
      </c>
      <c r="D175" s="60">
        <v>1.316291552834091</v>
      </c>
      <c r="E175" s="60">
        <v>1.3163199113569723</v>
      </c>
      <c r="F175" s="60">
        <v>1.3163388133822498</v>
      </c>
      <c r="G175" s="60">
        <v>1.3164332795968192</v>
      </c>
      <c r="H175" s="60">
        <v>1.3165276725470039</v>
      </c>
      <c r="I175" s="60">
        <v>1.3166219921271554</v>
      </c>
      <c r="J175" s="60">
        <v>1.316669124370708</v>
      </c>
      <c r="K175" s="60">
        <v>1.3167162382325568</v>
      </c>
      <c r="L175" s="60">
        <v>1.3171863630382257</v>
      </c>
      <c r="M175" s="60">
        <v>1.3181210444635734</v>
      </c>
      <c r="N175" s="60">
        <v>1.3199678167177675</v>
      </c>
      <c r="O175" s="60">
        <v>1.3235689118688507</v>
      </c>
      <c r="P175" s="60">
        <v>1.3253223383089867</v>
      </c>
      <c r="Q175" s="60">
        <v>1.3261871360113962</v>
      </c>
      <c r="R175" s="60">
        <v>1.3270439577780557</v>
      </c>
      <c r="S175" s="60">
        <v>1.3278927878674698</v>
      </c>
      <c r="T175" s="60">
        <v>1.3287336169904709</v>
      </c>
      <c r="U175" s="60">
        <v>1.3295664420532165</v>
      </c>
      <c r="V175" s="60">
        <v>1.3303912659011705</v>
      </c>
      <c r="W175" s="60">
        <v>1.3312080970646023</v>
      </c>
      <c r="X175" s="60">
        <v>1.3320169495061163</v>
      </c>
      <c r="Y175" s="60">
        <v>1.3328178423706898</v>
      </c>
      <c r="Z175" s="60">
        <v>1.3336107997386724</v>
      </c>
      <c r="AA175" s="60">
        <v>1.33439585038216</v>
      </c>
      <c r="AB175" s="60">
        <v>1.3351730275251374</v>
      </c>
      <c r="AC175" s="60">
        <v>1.3359423686077359</v>
      </c>
      <c r="AD175" s="60">
        <v>1.3367039150549422</v>
      </c>
      <c r="AE175" s="60">
        <v>1.3374577120500419</v>
      </c>
      <c r="AF175" s="60">
        <v>1.3382038083130658</v>
      </c>
      <c r="AG175" s="60">
        <v>1.3389422558844712</v>
      </c>
      <c r="AH175" s="60">
        <v>1.3396731099142627</v>
      </c>
      <c r="AI175" s="60">
        <f t="shared" si="5"/>
        <v>1.3396731099142627</v>
      </c>
      <c r="AJ175" s="13">
        <v>945</v>
      </c>
      <c r="AK175" s="14"/>
      <c r="AL175" s="14"/>
    </row>
    <row r="176" spans="1:38" ht="11.25" customHeight="1" x14ac:dyDescent="0.25">
      <c r="A176" s="60">
        <f t="shared" si="4"/>
        <v>1.3159427797066154</v>
      </c>
      <c r="B176" s="60">
        <v>1.3159427797066154</v>
      </c>
      <c r="C176" s="60">
        <v>1.315956769453287</v>
      </c>
      <c r="D176" s="60">
        <v>1.3159800821275589</v>
      </c>
      <c r="E176" s="60">
        <v>1.3160080514438572</v>
      </c>
      <c r="F176" s="60">
        <v>1.3160266940819967</v>
      </c>
      <c r="G176" s="60">
        <v>1.3161198643685448</v>
      </c>
      <c r="H176" s="60">
        <v>1.3162129630717418</v>
      </c>
      <c r="I176" s="60">
        <v>1.3163059900880909</v>
      </c>
      <c r="J176" s="60">
        <v>1.3163524766816037</v>
      </c>
      <c r="K176" s="60">
        <v>1.3163989453150062</v>
      </c>
      <c r="L176" s="60">
        <v>1.3168626410810602</v>
      </c>
      <c r="M176" s="60">
        <v>1.3177845919906011</v>
      </c>
      <c r="N176" s="60">
        <v>1.3196064198039614</v>
      </c>
      <c r="O176" s="60">
        <v>1.3231597324543183</v>
      </c>
      <c r="P176" s="60">
        <v>1.3248903366587113</v>
      </c>
      <c r="Q176" s="60">
        <v>1.3257439924918668</v>
      </c>
      <c r="R176" s="60">
        <v>1.3265898521797421</v>
      </c>
      <c r="S176" s="60">
        <v>1.3274278999925508</v>
      </c>
      <c r="T176" s="60">
        <v>1.328258126494573</v>
      </c>
      <c r="U176" s="60">
        <v>1.3290805282933202</v>
      </c>
      <c r="V176" s="60">
        <v>1.3298951077897909</v>
      </c>
      <c r="W176" s="60">
        <v>1.3307018729303135</v>
      </c>
      <c r="X176" s="60">
        <v>1.3315008369604746</v>
      </c>
      <c r="Y176" s="60">
        <v>1.3322920181815792</v>
      </c>
      <c r="Z176" s="60">
        <v>1.3330754397100706</v>
      </c>
      <c r="AA176" s="60">
        <v>1.333851129240309</v>
      </c>
      <c r="AB176" s="60">
        <v>1.3346191188110692</v>
      </c>
      <c r="AC176" s="60">
        <v>1.3353794445761014</v>
      </c>
      <c r="AD176" s="60">
        <v>1.3361321465790574</v>
      </c>
      <c r="AE176" s="60">
        <v>1.336877268533061</v>
      </c>
      <c r="AF176" s="60">
        <v>1.3376148576051681</v>
      </c>
      <c r="AG176" s="60">
        <v>1.3383449642059457</v>
      </c>
      <c r="AH176" s="60">
        <v>1.3390676417843517</v>
      </c>
      <c r="AI176" s="60">
        <f t="shared" si="5"/>
        <v>1.3390676417843517</v>
      </c>
      <c r="AJ176" s="13">
        <v>950</v>
      </c>
      <c r="AK176" s="14"/>
      <c r="AL176" s="14"/>
    </row>
    <row r="177" spans="1:38" ht="11.25" customHeight="1" x14ac:dyDescent="0.25">
      <c r="A177" s="60">
        <f t="shared" si="4"/>
        <v>1.3156352908096542</v>
      </c>
      <c r="B177" s="60">
        <v>1.3156352908096542</v>
      </c>
      <c r="C177" s="60">
        <v>1.31564908954997</v>
      </c>
      <c r="D177" s="60">
        <v>1.3156720839623186</v>
      </c>
      <c r="E177" s="60">
        <v>1.3156996714996561</v>
      </c>
      <c r="F177" s="60">
        <v>1.3157180597005436</v>
      </c>
      <c r="G177" s="60">
        <v>1.3158099587861194</v>
      </c>
      <c r="H177" s="60">
        <v>1.3159017879320221</v>
      </c>
      <c r="I177" s="60">
        <v>1.3159935470368238</v>
      </c>
      <c r="J177" s="60">
        <v>1.3160394002923594</v>
      </c>
      <c r="K177" s="60">
        <v>1.3160852359999879</v>
      </c>
      <c r="L177" s="60">
        <v>1.3165426252345005</v>
      </c>
      <c r="M177" s="60">
        <v>1.3174520877854334</v>
      </c>
      <c r="N177" s="60">
        <v>1.319249443786157</v>
      </c>
      <c r="O177" s="60">
        <v>1.3227558707816931</v>
      </c>
      <c r="P177" s="60">
        <v>1.3244640762438598</v>
      </c>
      <c r="Q177" s="60">
        <v>1.3253067956120645</v>
      </c>
      <c r="R177" s="60">
        <v>1.3261418943708956</v>
      </c>
      <c r="S177" s="60">
        <v>1.3269693567895795</v>
      </c>
      <c r="T177" s="60">
        <v>1.3277891732785367</v>
      </c>
      <c r="U177" s="60">
        <v>1.3286013401445249</v>
      </c>
      <c r="V177" s="60">
        <v>1.3294058593469655</v>
      </c>
      <c r="W177" s="60">
        <v>1.3302027382559318</v>
      </c>
      <c r="X177" s="60">
        <v>1.3309919894122639</v>
      </c>
      <c r="Y177" s="60">
        <v>1.3317736302902359</v>
      </c>
      <c r="Z177" s="60">
        <v>1.3325476830631804</v>
      </c>
      <c r="AA177" s="60">
        <v>1.3333141743724481</v>
      </c>
      <c r="AB177" s="60">
        <v>1.3340731351000477</v>
      </c>
      <c r="AC177" s="60">
        <v>1.3348246001452821</v>
      </c>
      <c r="AD177" s="60">
        <v>1.3355686082056797</v>
      </c>
      <c r="AE177" s="60">
        <v>1.336305201562469</v>
      </c>
      <c r="AF177" s="60">
        <v>1.3370344258708473</v>
      </c>
      <c r="AG177" s="60">
        <v>1.3377563299552389</v>
      </c>
      <c r="AH177" s="60">
        <v>1.3384709656097309</v>
      </c>
      <c r="AI177" s="60">
        <f t="shared" si="5"/>
        <v>1.3384709656097309</v>
      </c>
      <c r="AJ177" s="13">
        <v>955</v>
      </c>
      <c r="AK177" s="14"/>
      <c r="AL177" s="14"/>
    </row>
    <row r="178" spans="1:38" ht="11.25" customHeight="1" x14ac:dyDescent="0.25">
      <c r="A178" s="60">
        <f t="shared" si="4"/>
        <v>1.3153312101355967</v>
      </c>
      <c r="B178" s="60">
        <v>1.3153312101355967</v>
      </c>
      <c r="C178" s="60">
        <v>1.315344821495553</v>
      </c>
      <c r="D178" s="60">
        <v>1.3153675036874901</v>
      </c>
      <c r="E178" s="60">
        <v>1.3153947166926812</v>
      </c>
      <c r="F178" s="60">
        <v>1.315412855285707</v>
      </c>
      <c r="G178" s="60">
        <v>1.3155035072954122</v>
      </c>
      <c r="H178" s="60">
        <v>1.3155940909726467</v>
      </c>
      <c r="I178" s="60">
        <v>1.3156846062179739</v>
      </c>
      <c r="J178" s="60">
        <v>1.3157298381478364</v>
      </c>
      <c r="K178" s="60">
        <v>1.315775052932828</v>
      </c>
      <c r="L178" s="60">
        <v>1.3162262551608697</v>
      </c>
      <c r="M178" s="60">
        <v>1.3171234656132433</v>
      </c>
      <c r="N178" s="60">
        <v>1.3188968109231933</v>
      </c>
      <c r="O178" s="60">
        <v>1.3223572273361237</v>
      </c>
      <c r="P178" s="60">
        <v>1.3240434473228406</v>
      </c>
      <c r="Q178" s="60">
        <v>1.3248754306889543</v>
      </c>
      <c r="R178" s="60">
        <v>1.3256999648436314</v>
      </c>
      <c r="S178" s="60">
        <v>1.3265170340436037</v>
      </c>
      <c r="T178" s="60">
        <v>1.327326628539081</v>
      </c>
      <c r="U178" s="60">
        <v>1.3281287443346934</v>
      </c>
      <c r="V178" s="60">
        <v>1.3289233829516987</v>
      </c>
      <c r="W178" s="60">
        <v>1.3297105511919183</v>
      </c>
      <c r="X178" s="60">
        <v>1.3304902609038367</v>
      </c>
      <c r="Y178" s="60">
        <v>1.3312625287512687</v>
      </c>
      <c r="Z178" s="60">
        <v>1.3320273759849832</v>
      </c>
      <c r="AA178" s="60">
        <v>1.332784828217632</v>
      </c>
      <c r="AB178" s="60">
        <v>1.3335349152023197</v>
      </c>
      <c r="AC178" s="60">
        <v>1.3342776706151076</v>
      </c>
      <c r="AD178" s="60">
        <v>1.3350131318417364</v>
      </c>
      <c r="AE178" s="60">
        <v>1.3357413397688049</v>
      </c>
      <c r="AF178" s="60">
        <v>1.3364623385796353</v>
      </c>
      <c r="AG178" s="60">
        <v>1.3371761755550149</v>
      </c>
      <c r="AH178" s="60">
        <v>1.3378829008789901</v>
      </c>
      <c r="AI178" s="60">
        <f t="shared" si="5"/>
        <v>1.3378829008789901</v>
      </c>
      <c r="AJ178" s="13">
        <v>960</v>
      </c>
      <c r="AK178" s="14"/>
      <c r="AL178" s="14"/>
    </row>
    <row r="179" spans="1:38" ht="11.25" customHeight="1" x14ac:dyDescent="0.25">
      <c r="A179" s="60">
        <f t="shared" si="4"/>
        <v>1.3150304839571216</v>
      </c>
      <c r="B179" s="60">
        <v>1.3150304839571216</v>
      </c>
      <c r="C179" s="60">
        <v>1.315043911474902</v>
      </c>
      <c r="D179" s="60">
        <v>1.3150662873416246</v>
      </c>
      <c r="E179" s="60">
        <v>1.315093132885977</v>
      </c>
      <c r="F179" s="60">
        <v>1.3151110265835702</v>
      </c>
      <c r="G179" s="60">
        <v>1.3152004550582137</v>
      </c>
      <c r="H179" s="60">
        <v>1.3152898167719724</v>
      </c>
      <c r="I179" s="60">
        <v>1.3153791116273277</v>
      </c>
      <c r="J179" s="60">
        <v>1.3154237339528612</v>
      </c>
      <c r="K179" s="60">
        <v>1.3154683395276103</v>
      </c>
      <c r="L179" s="60">
        <v>1.3159134713788838</v>
      </c>
      <c r="M179" s="60">
        <v>1.3167986602691639</v>
      </c>
      <c r="N179" s="60">
        <v>1.3185484448435223</v>
      </c>
      <c r="O179" s="60">
        <v>1.3219637046169059</v>
      </c>
      <c r="P179" s="60">
        <v>1.3236283424707573</v>
      </c>
      <c r="Q179" s="60">
        <v>1.3244497855021251</v>
      </c>
      <c r="R179" s="60">
        <v>1.3252639466949256</v>
      </c>
      <c r="S179" s="60">
        <v>1.326070810282993</v>
      </c>
      <c r="T179" s="60">
        <v>1.326870366350865</v>
      </c>
      <c r="U179" s="60">
        <v>1.3276626106003466</v>
      </c>
      <c r="V179" s="60">
        <v>1.3284475441184198</v>
      </c>
      <c r="W179" s="60">
        <v>1.329225173146936</v>
      </c>
      <c r="X179" s="60">
        <v>1.3299955088545037</v>
      </c>
      <c r="Y179" s="60">
        <v>1.3307585671109654</v>
      </c>
      <c r="Z179" s="60">
        <v>1.331514368264813</v>
      </c>
      <c r="AA179" s="60">
        <v>1.332262936923889</v>
      </c>
      <c r="AB179" s="60">
        <v>1.3330043017396831</v>
      </c>
      <c r="AC179" s="60">
        <v>1.3337384951955034</v>
      </c>
      <c r="AD179" s="60">
        <v>1.3344655533987886</v>
      </c>
      <c r="AE179" s="60">
        <v>1.3351855158777934</v>
      </c>
      <c r="AF179" s="60">
        <v>1.3358984253828534</v>
      </c>
      <c r="AG179" s="60">
        <v>1.3366043276924213</v>
      </c>
      <c r="AH179" s="60">
        <v>1.3373032714240269</v>
      </c>
      <c r="AI179" s="60">
        <f t="shared" si="5"/>
        <v>1.3373032714240269</v>
      </c>
      <c r="AJ179" s="13">
        <v>965</v>
      </c>
      <c r="AK179" s="14"/>
      <c r="AL179" s="14"/>
    </row>
    <row r="180" spans="1:38" ht="11.25" customHeight="1" x14ac:dyDescent="0.25">
      <c r="A180" s="60">
        <f t="shared" si="4"/>
        <v>1.3147330592276247</v>
      </c>
      <c r="B180" s="60">
        <v>1.3147330592276247</v>
      </c>
      <c r="C180" s="60">
        <v>1.3147463063561597</v>
      </c>
      <c r="D180" s="60">
        <v>1.3147683816508204</v>
      </c>
      <c r="E180" s="60">
        <v>1.3147948666352565</v>
      </c>
      <c r="F180" s="60">
        <v>1.3148125200362974</v>
      </c>
      <c r="G180" s="60">
        <v>1.3149007479494481</v>
      </c>
      <c r="H180" s="60">
        <v>1.3149889106385235</v>
      </c>
      <c r="I180" s="60">
        <v>1.3150770080078518</v>
      </c>
      <c r="J180" s="60">
        <v>1.3151210321679407</v>
      </c>
      <c r="K180" s="60">
        <v>1.3151650399625925</v>
      </c>
      <c r="L180" s="60">
        <v>1.3156042152560739</v>
      </c>
      <c r="M180" s="60">
        <v>1.3164776075647622</v>
      </c>
      <c r="N180" s="60">
        <v>1.3182042705199652</v>
      </c>
      <c r="O180" s="60">
        <v>1.3215752070898366</v>
      </c>
      <c r="P180" s="60">
        <v>1.3232186565212092</v>
      </c>
      <c r="Q180" s="60">
        <v>1.3240297502304987</v>
      </c>
      <c r="R180" s="60">
        <v>1.3248337255583662</v>
      </c>
      <c r="S180" s="60">
        <v>1.3256305667063728</v>
      </c>
      <c r="T180" s="60">
        <v>1.3264202635887459</v>
      </c>
      <c r="U180" s="60">
        <v>1.3272028116043921</v>
      </c>
      <c r="V180" s="60">
        <v>1.3279782114103318</v>
      </c>
      <c r="W180" s="60">
        <v>1.328746468696969</v>
      </c>
      <c r="X180" s="60">
        <v>1.3295075939655856</v>
      </c>
      <c r="Y180" s="60">
        <v>1.3302616023084293</v>
      </c>
      <c r="Z180" s="60">
        <v>1.331008513191734</v>
      </c>
      <c r="AA180" s="60">
        <v>1.3317483502420036</v>
      </c>
      <c r="AB180" s="60">
        <v>1.3324811410358348</v>
      </c>
      <c r="AC180" s="60">
        <v>1.3332069168935656</v>
      </c>
      <c r="AD180" s="60">
        <v>1.3339257126769879</v>
      </c>
      <c r="AE180" s="60">
        <v>1.334637566591345</v>
      </c>
      <c r="AF180" s="60">
        <v>1.3353425199918134</v>
      </c>
      <c r="AG180" s="60">
        <v>1.3360406171946448</v>
      </c>
      <c r="AH180" s="60">
        <v>1.3367319052931179</v>
      </c>
      <c r="AI180" s="60">
        <f t="shared" si="5"/>
        <v>1.3367319052931179</v>
      </c>
      <c r="AJ180" s="13">
        <v>970</v>
      </c>
      <c r="AK180" s="14"/>
      <c r="AL180" s="14"/>
    </row>
    <row r="181" spans="1:38" ht="11.25" customHeight="1" x14ac:dyDescent="0.25">
      <c r="A181" s="60">
        <f t="shared" si="4"/>
        <v>1.3144388835791321</v>
      </c>
      <c r="B181" s="60">
        <v>1.3144388835791321</v>
      </c>
      <c r="C181" s="60">
        <v>1.3144519536885761</v>
      </c>
      <c r="D181" s="60">
        <v>1.3144737340264065</v>
      </c>
      <c r="E181" s="60">
        <v>1.3144998651864115</v>
      </c>
      <c r="F181" s="60">
        <v>1.3145172827795302</v>
      </c>
      <c r="G181" s="60">
        <v>1.3146043325539911</v>
      </c>
      <c r="H181" s="60">
        <v>1.3146913186072315</v>
      </c>
      <c r="I181" s="60">
        <v>1.3147782408453572</v>
      </c>
      <c r="J181" s="60">
        <v>1.3148216780046327</v>
      </c>
      <c r="K181" s="60">
        <v>1.3148650991752886</v>
      </c>
      <c r="L181" s="60">
        <v>1.3152984290009926</v>
      </c>
      <c r="M181" s="60">
        <v>1.3161602443145273</v>
      </c>
      <c r="N181" s="60">
        <v>1.3178642142449539</v>
      </c>
      <c r="O181" s="60">
        <v>1.3211916411409379</v>
      </c>
      <c r="P181" s="60">
        <v>1.322814286509882</v>
      </c>
      <c r="Q181" s="60">
        <v>1.3236152173910358</v>
      </c>
      <c r="R181" s="60">
        <v>1.3244091895381009</v>
      </c>
      <c r="S181" s="60">
        <v>1.3251961871119484</v>
      </c>
      <c r="T181" s="60">
        <v>1.3259761998526156</v>
      </c>
      <c r="U181" s="60">
        <v>1.3267492228566085</v>
      </c>
      <c r="V181" s="60">
        <v>1.3275152563556889</v>
      </c>
      <c r="W181" s="60">
        <v>1.3282743054975479</v>
      </c>
      <c r="X181" s="60">
        <v>1.3290263801287259</v>
      </c>
      <c r="Y181" s="60">
        <v>1.3297714945801318</v>
      </c>
      <c r="Z181" s="60">
        <v>1.3305096674554908</v>
      </c>
      <c r="AA181" s="60">
        <v>1.3312409214230103</v>
      </c>
      <c r="AB181" s="60">
        <v>1.3319652830105579</v>
      </c>
      <c r="AC181" s="60">
        <v>1.3326827824045973</v>
      </c>
      <c r="AD181" s="60">
        <v>1.3333934532531144</v>
      </c>
      <c r="AE181" s="60">
        <v>1.3340973324727488</v>
      </c>
      <c r="AF181" s="60">
        <v>1.3347944600603137</v>
      </c>
      <c r="AG181" s="60">
        <v>1.3354848789088642</v>
      </c>
      <c r="AH181" s="60">
        <v>1.3361686346284689</v>
      </c>
      <c r="AI181" s="60">
        <f t="shared" si="5"/>
        <v>1.3361686346284689</v>
      </c>
      <c r="AJ181" s="13">
        <v>975</v>
      </c>
      <c r="AK181" s="14"/>
      <c r="AL181" s="14"/>
    </row>
    <row r="182" spans="1:38" ht="11.25" customHeight="1" x14ac:dyDescent="0.25">
      <c r="A182" s="60">
        <f t="shared" si="4"/>
        <v>1.3141479053198017</v>
      </c>
      <c r="B182" s="60">
        <v>1.3141479053198017</v>
      </c>
      <c r="C182" s="60">
        <v>1.3141608016999238</v>
      </c>
      <c r="D182" s="60">
        <v>1.3141822925622206</v>
      </c>
      <c r="E182" s="60">
        <v>1.3142080764726221</v>
      </c>
      <c r="F182" s="60">
        <v>1.3142252626393833</v>
      </c>
      <c r="G182" s="60">
        <v>1.3143111561631147</v>
      </c>
      <c r="H182" s="60">
        <v>1.3143969874353221</v>
      </c>
      <c r="I182" s="60">
        <v>1.3144827563638284</v>
      </c>
      <c r="J182" s="60">
        <v>1.3145256174206055</v>
      </c>
      <c r="K182" s="60">
        <v>1.3145684628572507</v>
      </c>
      <c r="L182" s="60">
        <v>1.314996055655228</v>
      </c>
      <c r="M182" s="60">
        <v>1.3158465083223909</v>
      </c>
      <c r="N182" s="60">
        <v>1.3175282036062352</v>
      </c>
      <c r="O182" s="60">
        <v>1.3208129150315029</v>
      </c>
      <c r="P182" s="60">
        <v>1.3224151316198702</v>
      </c>
      <c r="Q182" s="60">
        <v>1.323206081779368</v>
      </c>
      <c r="R182" s="60">
        <v>1.3239902291448988</v>
      </c>
      <c r="S182" s="60">
        <v>1.3247675578291205</v>
      </c>
      <c r="T182" s="60">
        <v>1.3255380573947069</v>
      </c>
      <c r="U182" s="60">
        <v>1.3263017226367813</v>
      </c>
      <c r="V182" s="60">
        <v>1.3270585533668973</v>
      </c>
      <c r="W182" s="60">
        <v>1.3278085541989462</v>
      </c>
      <c r="X182" s="60">
        <v>1.328551734337331</v>
      </c>
      <c r="Y182" s="60">
        <v>1.3292881073677465</v>
      </c>
      <c r="Z182" s="60">
        <v>1.330017691050867</v>
      </c>
      <c r="AA182" s="60">
        <v>1.3307405071192313</v>
      </c>
      <c r="AB182" s="60">
        <v>1.3314565810775878</v>
      </c>
      <c r="AC182" s="60">
        <v>1.3321659420069423</v>
      </c>
      <c r="AD182" s="60">
        <v>1.3328686223725259</v>
      </c>
      <c r="AE182" s="60">
        <v>1.333564657835882</v>
      </c>
      <c r="AF182" s="60">
        <v>1.3342540870712514</v>
      </c>
      <c r="AG182" s="60">
        <v>1.3349369515864047</v>
      </c>
      <c r="AH182" s="60">
        <v>1.3356132955480622</v>
      </c>
      <c r="AI182" s="60">
        <f t="shared" si="5"/>
        <v>1.3356132955480622</v>
      </c>
      <c r="AJ182" s="13">
        <v>980</v>
      </c>
      <c r="AK182" s="14"/>
      <c r="AL182" s="14"/>
    </row>
    <row r="183" spans="1:38" ht="11.25" customHeight="1" x14ac:dyDescent="0.25">
      <c r="A183" s="60">
        <f t="shared" si="4"/>
        <v>1.3138600734310428</v>
      </c>
      <c r="B183" s="60">
        <v>1.3138600734310428</v>
      </c>
      <c r="C183" s="60">
        <v>1.3138727992935391</v>
      </c>
      <c r="D183" s="60">
        <v>1.3138940060315141</v>
      </c>
      <c r="E183" s="60">
        <v>1.3139194491111046</v>
      </c>
      <c r="F183" s="60">
        <v>1.3139364081290876</v>
      </c>
      <c r="G183" s="60">
        <v>1.3140211667705894</v>
      </c>
      <c r="H183" s="60">
        <v>1.31410586459789</v>
      </c>
      <c r="I183" s="60">
        <v>1.3141905015204658</v>
      </c>
      <c r="J183" s="60">
        <v>1.3142327971144057</v>
      </c>
      <c r="K183" s="60">
        <v>1.3142750774485707</v>
      </c>
      <c r="L183" s="60">
        <v>1.3146970390852488</v>
      </c>
      <c r="M183" s="60">
        <v>1.3155363383682861</v>
      </c>
      <c r="N183" s="60">
        <v>1.3171961674630397</v>
      </c>
      <c r="O183" s="60">
        <v>1.320438938854418</v>
      </c>
      <c r="P183" s="60">
        <v>1.3220210931286558</v>
      </c>
      <c r="Q183" s="60">
        <v>1.3228022404122715</v>
      </c>
      <c r="R183" s="60">
        <v>1.323576737234242</v>
      </c>
      <c r="S183" s="60">
        <v>1.3243445676523176</v>
      </c>
      <c r="T183" s="60">
        <v>1.3251057210492845</v>
      </c>
      <c r="U183" s="60">
        <v>1.3258601919203798</v>
      </c>
      <c r="V183" s="60">
        <v>1.3266079796623116</v>
      </c>
      <c r="W183" s="60">
        <v>1.3273490883642349</v>
      </c>
      <c r="X183" s="60">
        <v>1.3280835266010196</v>
      </c>
      <c r="Y183" s="60">
        <v>1.3288113072291181</v>
      </c>
      <c r="Z183" s="60">
        <v>1.329532447185328</v>
      </c>
      <c r="AA183" s="60">
        <v>1.3302469672887249</v>
      </c>
      <c r="AB183" s="60">
        <v>1.3309548920460019</v>
      </c>
      <c r="AC183" s="60">
        <v>1.3316562494604631</v>
      </c>
      <c r="AD183" s="60">
        <v>1.3323510708448594</v>
      </c>
      <c r="AE183" s="60">
        <v>1.3330393906382703</v>
      </c>
      <c r="AF183" s="60">
        <v>1.3337212462271855</v>
      </c>
      <c r="AG183" s="60">
        <v>1.3343966777709386</v>
      </c>
      <c r="AH183" s="60">
        <v>1.3350657280316223</v>
      </c>
      <c r="AI183" s="60">
        <f t="shared" si="5"/>
        <v>1.3350657280316223</v>
      </c>
      <c r="AJ183" s="13">
        <v>985</v>
      </c>
      <c r="AK183" s="14"/>
      <c r="AL183" s="14"/>
    </row>
    <row r="184" spans="1:38" ht="11.25" customHeight="1" x14ac:dyDescent="0.25">
      <c r="A184" s="60">
        <f t="shared" si="4"/>
        <v>1.3135753375642911</v>
      </c>
      <c r="B184" s="60">
        <v>1.3135753375642911</v>
      </c>
      <c r="C184" s="60">
        <v>1.313587896045018</v>
      </c>
      <c r="D184" s="60">
        <v>1.313608823883524</v>
      </c>
      <c r="E184" s="60">
        <v>1.3136339323995248</v>
      </c>
      <c r="F184" s="60">
        <v>1.3136506684453013</v>
      </c>
      <c r="G184" s="60">
        <v>1.3137343130684855</v>
      </c>
      <c r="H184" s="60">
        <v>1.313817898283179</v>
      </c>
      <c r="I184" s="60">
        <v>1.313901424000453</v>
      </c>
      <c r="J184" s="60">
        <v>1.3139431645199753</v>
      </c>
      <c r="K184" s="60">
        <v>1.3139848901321403</v>
      </c>
      <c r="L184" s="60">
        <v>1.3144013239741028</v>
      </c>
      <c r="M184" s="60">
        <v>1.3152296741947662</v>
      </c>
      <c r="N184" s="60">
        <v>1.3168680359227121</v>
      </c>
      <c r="O184" s="60">
        <v>1.3200696244917243</v>
      </c>
      <c r="P184" s="60">
        <v>1.3216320743566992</v>
      </c>
      <c r="Q184" s="60">
        <v>1.3224035924719333</v>
      </c>
      <c r="R184" s="60">
        <v>1.3231686089463772</v>
      </c>
      <c r="S184" s="60">
        <v>1.3239271077769479</v>
      </c>
      <c r="T184" s="60">
        <v>1.3246790781646212</v>
      </c>
      <c r="U184" s="60">
        <v>1.3254245143066832</v>
      </c>
      <c r="V184" s="60">
        <v>1.3261634151906352</v>
      </c>
      <c r="W184" s="60">
        <v>1.3268957843900868</v>
      </c>
      <c r="X184" s="60">
        <v>1.3276216298629548</v>
      </c>
      <c r="Y184" s="60">
        <v>1.3283409637522627</v>
      </c>
      <c r="Z184" s="60">
        <v>1.3290538021898144</v>
      </c>
      <c r="AA184" s="60">
        <v>1.3297601651030055</v>
      </c>
      <c r="AB184" s="60">
        <v>1.3304600760250038</v>
      </c>
      <c r="AC184" s="60">
        <v>1.3311535619085153</v>
      </c>
      <c r="AD184" s="60">
        <v>1.331840652943334</v>
      </c>
      <c r="AE184" s="60">
        <v>1.3325213823778526</v>
      </c>
      <c r="AF184" s="60">
        <v>1.3331957863446868</v>
      </c>
      <c r="AG184" s="60">
        <v>1.3338639036905562</v>
      </c>
      <c r="AH184" s="60">
        <v>1.3345257758105356</v>
      </c>
      <c r="AI184" s="60">
        <f t="shared" si="5"/>
        <v>1.3345257758105356</v>
      </c>
      <c r="AJ184" s="13">
        <v>990</v>
      </c>
      <c r="AK184" s="14"/>
      <c r="AL184" s="14"/>
    </row>
    <row r="185" spans="1:38" ht="11.25" customHeight="1" x14ac:dyDescent="0.25">
      <c r="A185" s="60">
        <f t="shared" si="4"/>
        <v>1.3132936480374631</v>
      </c>
      <c r="B185" s="60">
        <v>1.3132936480374631</v>
      </c>
      <c r="C185" s="60">
        <v>1.3133060421985985</v>
      </c>
      <c r="D185" s="60">
        <v>1.3133266962397265</v>
      </c>
      <c r="E185" s="60">
        <v>1.3133514763121072</v>
      </c>
      <c r="F185" s="60">
        <v>1.3133679934641163</v>
      </c>
      <c r="G185" s="60">
        <v>1.3134505444426852</v>
      </c>
      <c r="H185" s="60">
        <v>1.3135330373876033</v>
      </c>
      <c r="I185" s="60">
        <v>1.3136154722114823</v>
      </c>
      <c r="J185" s="60">
        <v>1.3136566678009283</v>
      </c>
      <c r="K185" s="60">
        <v>1.3136978488276811</v>
      </c>
      <c r="L185" s="60">
        <v>1.314108855812989</v>
      </c>
      <c r="M185" s="60">
        <v>1.3149264564936902</v>
      </c>
      <c r="N185" s="60">
        <v>1.3165437403177918</v>
      </c>
      <c r="O185" s="60">
        <v>1.3197048855733744</v>
      </c>
      <c r="P185" s="60">
        <v>1.3212479806175772</v>
      </c>
      <c r="Q185" s="60">
        <v>1.3220100392519334</v>
      </c>
      <c r="R185" s="60">
        <v>1.3227657416482481</v>
      </c>
      <c r="S185" s="60">
        <v>1.3235150717373976</v>
      </c>
      <c r="T185" s="60">
        <v>1.3242580185371795</v>
      </c>
      <c r="U185" s="60">
        <v>1.3249945759492596</v>
      </c>
      <c r="V185" s="60">
        <v>1.3257247425578182</v>
      </c>
      <c r="W185" s="60">
        <v>1.3264485214302111</v>
      </c>
      <c r="X185" s="60">
        <v>1.3271659199199481</v>
      </c>
      <c r="Y185" s="60">
        <v>1.327876949472264</v>
      </c>
      <c r="Z185" s="60">
        <v>1.3285816254325542</v>
      </c>
      <c r="AA185" s="60">
        <v>1.3292799668579052</v>
      </c>
      <c r="AB185" s="60">
        <v>1.3299719963319547</v>
      </c>
      <c r="AC185" s="60">
        <v>1.3306577397832813</v>
      </c>
      <c r="AD185" s="60">
        <v>1.3313372263075083</v>
      </c>
      <c r="AE185" s="60">
        <v>1.3320104879932904</v>
      </c>
      <c r="AF185" s="60">
        <v>1.3326775597523299</v>
      </c>
      <c r="AG185" s="60">
        <v>1.333338479153555</v>
      </c>
      <c r="AH185" s="60">
        <v>1.333993286261568</v>
      </c>
      <c r="AI185" s="60">
        <f t="shared" si="5"/>
        <v>1.333993286261568</v>
      </c>
      <c r="AJ185" s="13">
        <v>995</v>
      </c>
      <c r="AK185" s="14"/>
      <c r="AL185" s="14"/>
    </row>
    <row r="186" spans="1:38" ht="11.25" customHeight="1" x14ac:dyDescent="0.25">
      <c r="A186" s="60">
        <f t="shared" si="4"/>
        <v>1.3130149558311204</v>
      </c>
      <c r="B186" s="60">
        <v>1.3130149558311204</v>
      </c>
      <c r="C186" s="60">
        <v>1.3130271886632519</v>
      </c>
      <c r="D186" s="60">
        <v>1.313047573889812</v>
      </c>
      <c r="E186" s="60">
        <v>1.3130720314954643</v>
      </c>
      <c r="F186" s="60">
        <v>1.3130883337367965</v>
      </c>
      <c r="G186" s="60">
        <v>1.3131698109681398</v>
      </c>
      <c r="H186" s="60">
        <v>1.3132512315105302</v>
      </c>
      <c r="I186" s="60">
        <v>1.3133325952780672</v>
      </c>
      <c r="J186" s="60">
        <v>1.3133732558446216</v>
      </c>
      <c r="K186" s="60">
        <v>1.3134139021855802</v>
      </c>
      <c r="L186" s="60">
        <v>1.3138195808927213</v>
      </c>
      <c r="M186" s="60">
        <v>1.3146266268929865</v>
      </c>
      <c r="N186" s="60">
        <v>1.3162232131835425</v>
      </c>
      <c r="O186" s="60">
        <v>1.3193446374371511</v>
      </c>
      <c r="P186" s="60">
        <v>1.3208687191696153</v>
      </c>
      <c r="Q186" s="60">
        <v>1.3216214841048826</v>
      </c>
      <c r="R186" s="60">
        <v>1.3223680348772486</v>
      </c>
      <c r="S186" s="60">
        <v>1.3231083553470033</v>
      </c>
      <c r="T186" s="60">
        <v>1.3238424343479094</v>
      </c>
      <c r="U186" s="60">
        <v>1.3245702654887062</v>
      </c>
      <c r="V186" s="60">
        <v>1.3252918469563564</v>
      </c>
      <c r="W186" s="60">
        <v>1.3260071813213332</v>
      </c>
      <c r="X186" s="60">
        <v>1.32671627534523</v>
      </c>
      <c r="Y186" s="60">
        <v>1.3274191397909576</v>
      </c>
      <c r="Z186" s="60">
        <v>1.3281157892357858</v>
      </c>
      <c r="AA186" s="60">
        <v>1.3288062418874487</v>
      </c>
      <c r="AB186" s="60">
        <v>1.3294905194035307</v>
      </c>
      <c r="AC186" s="60">
        <v>1.3301686467143286</v>
      </c>
      <c r="AD186" s="60">
        <v>1.3308406518493618</v>
      </c>
      <c r="AE186" s="60">
        <v>1.3315065657676899</v>
      </c>
      <c r="AF186" s="60">
        <v>1.3321664221921734</v>
      </c>
      <c r="AG186" s="60">
        <v>1.3328202574478065</v>
      </c>
      <c r="AH186" s="60">
        <v>1.3334681103042245</v>
      </c>
      <c r="AI186" s="60">
        <f t="shared" si="5"/>
        <v>1.3334681103042245</v>
      </c>
      <c r="AJ186" s="13">
        <v>1000</v>
      </c>
      <c r="AK186" s="14"/>
      <c r="AL186" s="14"/>
    </row>
    <row r="187" spans="1:38" ht="11.25" customHeight="1" x14ac:dyDescent="0.25">
      <c r="A187" s="60">
        <f t="shared" si="4"/>
        <v>1.3127392125843644</v>
      </c>
      <c r="B187" s="60">
        <v>1.3127392125843644</v>
      </c>
      <c r="C187" s="60">
        <v>1.3127512870085087</v>
      </c>
      <c r="D187" s="60">
        <v>1.3127714082873954</v>
      </c>
      <c r="E187" s="60">
        <v>1.3127955492641707</v>
      </c>
      <c r="F187" s="60">
        <v>1.3128116404852588</v>
      </c>
      <c r="G187" s="60">
        <v>1.3128920634038996</v>
      </c>
      <c r="H187" s="60">
        <v>1.31297243094885</v>
      </c>
      <c r="I187" s="60">
        <v>1.3130527430356471</v>
      </c>
      <c r="J187" s="60">
        <v>1.313092878256038</v>
      </c>
      <c r="K187" s="60">
        <v>1.3131329995805407</v>
      </c>
      <c r="L187" s="60">
        <v>1.3135334462951056</v>
      </c>
      <c r="M187" s="60">
        <v>1.314330127943504</v>
      </c>
      <c r="N187" s="60">
        <v>1.3159063882359208</v>
      </c>
      <c r="O187" s="60">
        <v>1.3189887970897016</v>
      </c>
      <c r="P187" s="60">
        <v>1.3204941991689652</v>
      </c>
      <c r="Q187" s="60">
        <v>1.3212378323916638</v>
      </c>
      <c r="R187" s="60">
        <v>1.3219753902867206</v>
      </c>
      <c r="S187" s="60">
        <v>1.3227068566399143</v>
      </c>
      <c r="T187" s="60">
        <v>1.323432220100585</v>
      </c>
      <c r="U187" s="60">
        <v>1.3241514739875659</v>
      </c>
      <c r="V187" s="60">
        <v>1.324864616096898</v>
      </c>
      <c r="W187" s="60">
        <v>1.3255716485116025</v>
      </c>
      <c r="X187" s="60">
        <v>1.3262725774137789</v>
      </c>
      <c r="Y187" s="60">
        <v>1.3269674128992914</v>
      </c>
      <c r="Z187" s="60">
        <v>1.3276561687952666</v>
      </c>
      <c r="AA187" s="60">
        <v>1.3283388624806298</v>
      </c>
      <c r="AB187" s="60">
        <v>1.3290155147098761</v>
      </c>
      <c r="AC187" s="60">
        <v>1.3296861494402572</v>
      </c>
      <c r="AD187" s="60">
        <v>1.3303507936625565</v>
      </c>
      <c r="AE187" s="60">
        <v>1.3310094772355938</v>
      </c>
      <c r="AF187" s="60">
        <v>1.3316622327245955</v>
      </c>
      <c r="AG187" s="60">
        <v>1.3323090952435446</v>
      </c>
      <c r="AH187" s="60">
        <v>1.3329501023016086</v>
      </c>
      <c r="AI187" s="60">
        <f t="shared" si="5"/>
        <v>1.3329501023016086</v>
      </c>
      <c r="AJ187" s="13">
        <v>1005</v>
      </c>
      <c r="AK187" s="14"/>
      <c r="AL187" s="14"/>
    </row>
    <row r="188" spans="1:38" ht="11.25" customHeight="1" x14ac:dyDescent="0.25">
      <c r="A188" s="60">
        <f t="shared" si="4"/>
        <v>1.3124663705904913</v>
      </c>
      <c r="B188" s="60">
        <v>1.3124663705904913</v>
      </c>
      <c r="C188" s="60">
        <v>1.3124782894600491</v>
      </c>
      <c r="D188" s="60">
        <v>1.3124981515454965</v>
      </c>
      <c r="E188" s="60">
        <v>1.3125219815961104</v>
      </c>
      <c r="F188" s="60">
        <v>1.3125378655973299</v>
      </c>
      <c r="G188" s="60">
        <v>1.3126172531879239</v>
      </c>
      <c r="H188" s="60">
        <v>1.3126965866913467</v>
      </c>
      <c r="I188" s="60">
        <v>1.3127758660245237</v>
      </c>
      <c r="J188" s="60">
        <v>1.3128154853515004</v>
      </c>
      <c r="K188" s="60">
        <v>1.3128550911050796</v>
      </c>
      <c r="L188" s="60">
        <v>1.3132503998842391</v>
      </c>
      <c r="M188" s="60">
        <v>1.3140369031059635</v>
      </c>
      <c r="N188" s="60">
        <v>1.3155932003499804</v>
      </c>
      <c r="O188" s="60">
        <v>1.3186372831686606</v>
      </c>
      <c r="P188" s="60">
        <v>1.3201243316240721</v>
      </c>
      <c r="Q188" s="60">
        <v>1.3208589914322091</v>
      </c>
      <c r="R188" s="60">
        <v>1.3215877115931425</v>
      </c>
      <c r="S188" s="60">
        <v>1.3223104758147868</v>
      </c>
      <c r="T188" s="60">
        <v>1.3230272725621035</v>
      </c>
      <c r="U188" s="60">
        <v>1.3237380948673405</v>
      </c>
      <c r="V188" s="60">
        <v>1.3244429401420765</v>
      </c>
      <c r="W188" s="60">
        <v>1.3251418099913499</v>
      </c>
      <c r="X188" s="60">
        <v>1.3258347100301133</v>
      </c>
      <c r="Y188" s="60">
        <v>1.3265216497022632</v>
      </c>
      <c r="Z188" s="60">
        <v>1.3272026421024639</v>
      </c>
      <c r="AA188" s="60">
        <v>1.3278777038009693</v>
      </c>
      <c r="AB188" s="60">
        <v>1.3285468546716432</v>
      </c>
      <c r="AC188" s="60">
        <v>1.3292101177233313</v>
      </c>
      <c r="AD188" s="60">
        <v>1.3298675189347655</v>
      </c>
      <c r="AE188" s="60">
        <v>1.3305190870931185</v>
      </c>
      <c r="AF188" s="60">
        <v>1.3311648536363518</v>
      </c>
      <c r="AG188" s="60">
        <v>1.3318048524994499</v>
      </c>
      <c r="AH188" s="60">
        <v>1.3324391199646424</v>
      </c>
      <c r="AI188" s="60">
        <f t="shared" si="5"/>
        <v>1.3324391199646424</v>
      </c>
      <c r="AJ188" s="13">
        <v>1010</v>
      </c>
      <c r="AK188" s="14"/>
      <c r="AL188" s="14"/>
    </row>
    <row r="189" spans="1:38" ht="11.25" customHeight="1" x14ac:dyDescent="0.25">
      <c r="A189" s="60">
        <f t="shared" si="4"/>
        <v>1.3121963827924255</v>
      </c>
      <c r="B189" s="60">
        <v>1.3121963827924255</v>
      </c>
      <c r="C189" s="60">
        <v>1.3122081488950701</v>
      </c>
      <c r="D189" s="60">
        <v>1.3122277564318008</v>
      </c>
      <c r="E189" s="60">
        <v>1.3122512811276106</v>
      </c>
      <c r="F189" s="60">
        <v>1.3122669616217988</v>
      </c>
      <c r="G189" s="60">
        <v>1.3123453324317125</v>
      </c>
      <c r="H189" s="60">
        <v>1.3124236504129037</v>
      </c>
      <c r="I189" s="60">
        <v>1.3125019154836415</v>
      </c>
      <c r="J189" s="60">
        <v>1.3125410281522363</v>
      </c>
      <c r="K189" s="60">
        <v>1.3125801275628795</v>
      </c>
      <c r="L189" s="60">
        <v>1.3129703902977545</v>
      </c>
      <c r="M189" s="60">
        <v>1.3137468967380104</v>
      </c>
      <c r="N189" s="60">
        <v>1.3152835855387057</v>
      </c>
      <c r="O189" s="60">
        <v>1.3182900159058233</v>
      </c>
      <c r="P189" s="60">
        <v>1.3197590293514905</v>
      </c>
      <c r="Q189" s="60">
        <v>1.3204848704577667</v>
      </c>
      <c r="R189" s="60">
        <v>1.3212049045249383</v>
      </c>
      <c r="S189" s="60">
        <v>1.3219191151802332</v>
      </c>
      <c r="T189" s="60">
        <v>1.3226274907046776</v>
      </c>
      <c r="U189" s="60">
        <v>1.3233300238475163</v>
      </c>
      <c r="V189" s="60">
        <v>1.3240267116424731</v>
      </c>
      <c r="W189" s="60">
        <v>1.3247175552260966</v>
      </c>
      <c r="X189" s="60">
        <v>1.3254025596584453</v>
      </c>
      <c r="Y189" s="60">
        <v>1.32608173374633</v>
      </c>
      <c r="Z189" s="60">
        <v>1.3267550898693248</v>
      </c>
      <c r="AA189" s="60">
        <v>1.3274226438087495</v>
      </c>
      <c r="AB189" s="60">
        <v>1.3280844145797959</v>
      </c>
      <c r="AC189" s="60">
        <v>1.3287404242669607</v>
      </c>
      <c r="AD189" s="60">
        <v>1.3293906978629406</v>
      </c>
      <c r="AE189" s="60">
        <v>1.3300352631111132</v>
      </c>
      <c r="AF189" s="60">
        <v>1.3306741503517281</v>
      </c>
      <c r="AG189" s="60">
        <v>1.3313073923719025</v>
      </c>
      <c r="AH189" s="60">
        <v>1.3319350242595172</v>
      </c>
      <c r="AI189" s="60">
        <f t="shared" si="5"/>
        <v>1.3319350242595172</v>
      </c>
      <c r="AJ189" s="13">
        <v>1015</v>
      </c>
      <c r="AK189" s="14"/>
      <c r="AL189" s="14"/>
    </row>
    <row r="190" spans="1:38" ht="11.25" customHeight="1" x14ac:dyDescent="0.25">
      <c r="A190" s="60">
        <f t="shared" si="4"/>
        <v>1.3119292027779514</v>
      </c>
      <c r="B190" s="60">
        <v>1.3119292027779514</v>
      </c>
      <c r="C190" s="60">
        <v>1.3119408188374577</v>
      </c>
      <c r="D190" s="60">
        <v>1.3119601763637296</v>
      </c>
      <c r="E190" s="60">
        <v>1.3119834011483882</v>
      </c>
      <c r="F190" s="60">
        <v>1.3119988817632804</v>
      </c>
      <c r="G190" s="60">
        <v>1.312076253914757</v>
      </c>
      <c r="H190" s="60">
        <v>1.3121535744685489</v>
      </c>
      <c r="I190" s="60">
        <v>1.3122308433442236</v>
      </c>
      <c r="J190" s="60">
        <v>1.3122694583778154</v>
      </c>
      <c r="K190" s="60">
        <v>1.3123080604620203</v>
      </c>
      <c r="L190" s="60">
        <v>1.3126933669380203</v>
      </c>
      <c r="M190" s="60">
        <v>1.3134600540813808</v>
      </c>
      <c r="N190" s="60">
        <v>1.3149774809322621</v>
      </c>
      <c r="O190" s="60">
        <v>1.3179469170913352</v>
      </c>
      <c r="P190" s="60">
        <v>1.319398206932995</v>
      </c>
      <c r="Q190" s="60">
        <v>1.3201153805646024</v>
      </c>
      <c r="R190" s="60">
        <v>1.3208268767728575</v>
      </c>
      <c r="S190" s="60">
        <v>1.3215326791019715</v>
      </c>
      <c r="T190" s="60">
        <v>1.3222327756498395</v>
      </c>
      <c r="U190" s="60">
        <v>1.3229271588865332</v>
      </c>
      <c r="V190" s="60">
        <v>1.3236158254746437</v>
      </c>
      <c r="W190" s="60">
        <v>1.3242987760917333</v>
      </c>
      <c r="X190" s="60">
        <v>1.3249760152551182</v>
      </c>
      <c r="Y190" s="60">
        <v>1.3256475511491965</v>
      </c>
      <c r="Z190" s="60">
        <v>1.3263133954555235</v>
      </c>
      <c r="AA190" s="60">
        <v>1.3269735631858195</v>
      </c>
      <c r="AB190" s="60">
        <v>1.327628072518078</v>
      </c>
      <c r="AC190" s="60">
        <v>1.328276944635931</v>
      </c>
      <c r="AD190" s="60">
        <v>1.3289202035714078</v>
      </c>
      <c r="AE190" s="60">
        <v>1.3295578760512183</v>
      </c>
      <c r="AF190" s="60">
        <v>1.3301899913466624</v>
      </c>
      <c r="AG190" s="60">
        <v>1.3308165811272687</v>
      </c>
      <c r="AH190" s="60">
        <v>1.3314376793182452</v>
      </c>
      <c r="AI190" s="60">
        <f t="shared" si="5"/>
        <v>1.3314376793182452</v>
      </c>
      <c r="AJ190" s="13">
        <v>1020</v>
      </c>
      <c r="AK190" s="14"/>
      <c r="AL190" s="14"/>
    </row>
    <row r="191" spans="1:38" ht="11.25" customHeight="1" x14ac:dyDescent="0.25">
      <c r="A191" s="60">
        <f t="shared" si="4"/>
        <v>1.3116647847747696</v>
      </c>
      <c r="B191" s="60">
        <v>1.3116647847747696</v>
      </c>
      <c r="C191" s="60">
        <v>1.3116762534527828</v>
      </c>
      <c r="D191" s="60">
        <v>1.3116953654033372</v>
      </c>
      <c r="E191" s="60">
        <v>1.3117182955963305</v>
      </c>
      <c r="F191" s="60">
        <v>1.3117335798769141</v>
      </c>
      <c r="G191" s="60">
        <v>1.3118099710788498</v>
      </c>
      <c r="H191" s="60">
        <v>1.3118863118873674</v>
      </c>
      <c r="I191" s="60">
        <v>1.3119626022232929</v>
      </c>
      <c r="J191" s="60">
        <v>1.3120007284394708</v>
      </c>
      <c r="K191" s="60">
        <v>1.3120388420081079</v>
      </c>
      <c r="L191" s="60">
        <v>1.3124192799633059</v>
      </c>
      <c r="M191" s="60">
        <v>1.3131763212491876</v>
      </c>
      <c r="N191" s="60">
        <v>1.3146748247576694</v>
      </c>
      <c r="O191" s="60">
        <v>1.3176079100388676</v>
      </c>
      <c r="P191" s="60">
        <v>1.3190417806739496</v>
      </c>
      <c r="Q191" s="60">
        <v>1.319750434669084</v>
      </c>
      <c r="R191" s="60">
        <v>1.3204535379418632</v>
      </c>
      <c r="S191" s="60">
        <v>1.3211510739516021</v>
      </c>
      <c r="T191" s="60">
        <v>1.3218430306142084</v>
      </c>
      <c r="U191" s="60">
        <v>1.3225294001246186</v>
      </c>
      <c r="V191" s="60">
        <v>1.3232101787811203</v>
      </c>
      <c r="W191" s="60">
        <v>1.3238853668117849</v>
      </c>
      <c r="X191" s="60">
        <v>1.3245549682032267</v>
      </c>
      <c r="Y191" s="60">
        <v>1.3252189905318947</v>
      </c>
      <c r="Z191" s="60">
        <v>1.325877444798091</v>
      </c>
      <c r="AA191" s="60">
        <v>1.3265303452628761</v>
      </c>
      <c r="AB191" s="60">
        <v>1.3271777092880408</v>
      </c>
      <c r="AC191" s="60">
        <v>1.3278195571792766</v>
      </c>
      <c r="AD191" s="60">
        <v>1.3284559120326809</v>
      </c>
      <c r="AE191" s="60">
        <v>1.3290867995847175</v>
      </c>
      <c r="AF191" s="60">
        <v>1.3297122480657322</v>
      </c>
      <c r="AG191" s="60">
        <v>1.3303322880571165</v>
      </c>
      <c r="AH191" s="60">
        <v>1.3309469523521937</v>
      </c>
      <c r="AI191" s="60">
        <f t="shared" si="5"/>
        <v>1.3309469523521937</v>
      </c>
      <c r="AJ191" s="13">
        <v>1025</v>
      </c>
      <c r="AK191" s="14"/>
      <c r="AL191" s="14"/>
    </row>
    <row r="192" spans="1:38" ht="11.25" customHeight="1" x14ac:dyDescent="0.25">
      <c r="A192" s="60">
        <f t="shared" si="4"/>
        <v>1.3114030836453821</v>
      </c>
      <c r="B192" s="60">
        <v>1.3114030836453821</v>
      </c>
      <c r="C192" s="60">
        <v>1.3114144075431311</v>
      </c>
      <c r="D192" s="60">
        <v>1.3114332782520448</v>
      </c>
      <c r="E192" s="60">
        <v>1.3114559190521138</v>
      </c>
      <c r="F192" s="60">
        <v>1.3114710104629115</v>
      </c>
      <c r="G192" s="60">
        <v>1.3115464380222486</v>
      </c>
      <c r="H192" s="60">
        <v>1.3116218163662905</v>
      </c>
      <c r="I192" s="60">
        <v>1.31169714541708</v>
      </c>
      <c r="J192" s="60">
        <v>1.3117347914333193</v>
      </c>
      <c r="K192" s="60">
        <v>1.3117724250973033</v>
      </c>
      <c r="L192" s="60">
        <v>1.3121480802789309</v>
      </c>
      <c r="M192" s="60">
        <v>1.3128956452133294</v>
      </c>
      <c r="N192" s="60">
        <v>1.314375556318875</v>
      </c>
      <c r="O192" s="60">
        <v>1.3172729195517452</v>
      </c>
      <c r="P192" s="60">
        <v>1.3186896685628831</v>
      </c>
      <c r="Q192" s="60">
        <v>1.3193899474641038</v>
      </c>
      <c r="R192" s="60">
        <v>1.3200847995044767</v>
      </c>
      <c r="S192" s="60">
        <v>1.3207742080569675</v>
      </c>
      <c r="T192" s="60">
        <v>1.3214581608569369</v>
      </c>
      <c r="U192" s="60">
        <v>1.3221366498284219</v>
      </c>
      <c r="V192" s="60">
        <v>1.3228096709123198</v>
      </c>
      <c r="W192" s="60">
        <v>1.3234772238966832</v>
      </c>
      <c r="X192" s="60">
        <v>1.3241393122493466</v>
      </c>
      <c r="Y192" s="60">
        <v>1.3247959429530622</v>
      </c>
      <c r="Z192" s="60">
        <v>1.3254471263433352</v>
      </c>
      <c r="AA192" s="60">
        <v>1.3260928759491202</v>
      </c>
      <c r="AB192" s="60">
        <v>1.3267332083365282</v>
      </c>
      <c r="AC192" s="60">
        <v>1.3273681429556887</v>
      </c>
      <c r="AD192" s="60">
        <v>1.3279977019908826</v>
      </c>
      <c r="AE192" s="60">
        <v>1.3286219102140684</v>
      </c>
      <c r="AF192" s="60">
        <v>1.3292407948418861</v>
      </c>
      <c r="AG192" s="60">
        <v>1.3298543853962346</v>
      </c>
      <c r="AH192" s="60">
        <v>1.3304627135684897</v>
      </c>
      <c r="AI192" s="60">
        <f t="shared" si="5"/>
        <v>1.3304627135684897</v>
      </c>
      <c r="AJ192" s="13">
        <v>1030</v>
      </c>
      <c r="AK192" s="14"/>
      <c r="AL192" s="14"/>
    </row>
    <row r="193" spans="1:38" ht="11.25" customHeight="1" x14ac:dyDescent="0.25">
      <c r="A193" s="60">
        <f t="shared" si="4"/>
        <v>1.3111440548818416</v>
      </c>
      <c r="B193" s="60">
        <v>1.3111440548818416</v>
      </c>
      <c r="C193" s="60">
        <v>1.3111552365417947</v>
      </c>
      <c r="D193" s="60">
        <v>1.3111738702452431</v>
      </c>
      <c r="E193" s="60">
        <v>1.3111962267336956</v>
      </c>
      <c r="F193" s="60">
        <v>1.3112111286609709</v>
      </c>
      <c r="G193" s="60">
        <v>1.3112856094937291</v>
      </c>
      <c r="H193" s="60">
        <v>1.3113600422637794</v>
      </c>
      <c r="I193" s="60">
        <v>1.3114344268943448</v>
      </c>
      <c r="J193" s="60">
        <v>1.3114716011335004</v>
      </c>
      <c r="K193" s="60">
        <v>1.3115087633092792</v>
      </c>
      <c r="L193" s="60">
        <v>1.3118797195284031</v>
      </c>
      <c r="M193" s="60">
        <v>1.3126179737920247</v>
      </c>
      <c r="N193" s="60">
        <v>1.3140796159772319</v>
      </c>
      <c r="O193" s="60">
        <v>1.3169418718900017</v>
      </c>
      <c r="P193" s="60">
        <v>1.318341790232241</v>
      </c>
      <c r="Q193" s="60">
        <v>1.319033835376787</v>
      </c>
      <c r="R193" s="60">
        <v>1.3197205747555303</v>
      </c>
      <c r="S193" s="60">
        <v>1.3204019916540193</v>
      </c>
      <c r="T193" s="60">
        <v>1.3210780736287897</v>
      </c>
      <c r="U193" s="60">
        <v>1.3217488123373835</v>
      </c>
      <c r="V193" s="60">
        <v>1.3224142033702844</v>
      </c>
      <c r="W193" s="60">
        <v>1.3230742460849718</v>
      </c>
      <c r="X193" s="60">
        <v>1.3237289434422936</v>
      </c>
      <c r="Y193" s="60">
        <v>1.3243783018453372</v>
      </c>
      <c r="Z193" s="60">
        <v>1.325022330980969</v>
      </c>
      <c r="AA193" s="60">
        <v>1.325661043664202</v>
      </c>
      <c r="AB193" s="60">
        <v>1.3262944556855303</v>
      </c>
      <c r="AC193" s="60">
        <v>1.3269225856613645</v>
      </c>
      <c r="AD193" s="60">
        <v>1.3275454548876851</v>
      </c>
      <c r="AE193" s="60">
        <v>1.3281630871970163</v>
      </c>
      <c r="AF193" s="60">
        <v>1.3287755088188162</v>
      </c>
      <c r="AG193" s="60">
        <v>1.3293827482433591</v>
      </c>
      <c r="AH193" s="60">
        <v>1.3299848360891762</v>
      </c>
      <c r="AI193" s="60">
        <f t="shared" si="5"/>
        <v>1.3299848360891762</v>
      </c>
      <c r="AJ193" s="13">
        <v>1035</v>
      </c>
      <c r="AK193" s="14"/>
      <c r="AL193" s="14"/>
    </row>
    <row r="194" spans="1:38" ht="11.25" customHeight="1" x14ac:dyDescent="0.25">
      <c r="A194" s="60">
        <f t="shared" ref="A194:A226" si="6">B194</f>
        <v>1.3108876546003616</v>
      </c>
      <c r="B194" s="60">
        <v>1.3108876546003616</v>
      </c>
      <c r="C194" s="60">
        <v>1.3108986965078337</v>
      </c>
      <c r="D194" s="60">
        <v>1.3109170973467623</v>
      </c>
      <c r="E194" s="60">
        <v>1.3109391744906806</v>
      </c>
      <c r="F194" s="60">
        <v>1.3109538902445779</v>
      </c>
      <c r="G194" s="60">
        <v>1.3110274408865277</v>
      </c>
      <c r="H194" s="60">
        <v>1.3111009445934192</v>
      </c>
      <c r="I194" s="60">
        <v>1.311174401289618</v>
      </c>
      <c r="J194" s="60">
        <v>1.3112111119852419</v>
      </c>
      <c r="K194" s="60">
        <v>1.31124781090011</v>
      </c>
      <c r="L194" s="60">
        <v>1.3116141500845602</v>
      </c>
      <c r="M194" s="60">
        <v>1.3123432556374888</v>
      </c>
      <c r="N194" s="60">
        <v>1.3137869451323723</v>
      </c>
      <c r="O194" s="60">
        <v>1.3166146947383235</v>
      </c>
      <c r="P194" s="60">
        <v>1.3179980669202647</v>
      </c>
      <c r="Q194" s="60">
        <v>1.3186820165274493</v>
      </c>
      <c r="R194" s="60">
        <v>1.3193607787682737</v>
      </c>
      <c r="S194" s="60">
        <v>1.320034336840159</v>
      </c>
      <c r="T194" s="60">
        <v>1.3207026781227904</v>
      </c>
      <c r="U194" s="60">
        <v>1.3213657940117685</v>
      </c>
      <c r="V194" s="60">
        <v>1.3220236797541942</v>
      </c>
      <c r="W194" s="60">
        <v>1.3226763342863741</v>
      </c>
      <c r="X194" s="60">
        <v>1.3233237600738297</v>
      </c>
      <c r="Y194" s="60">
        <v>1.3239659629537959</v>
      </c>
      <c r="Z194" s="60">
        <v>1.3246029519803557</v>
      </c>
      <c r="AA194" s="60">
        <v>1.325234739272366</v>
      </c>
      <c r="AB194" s="60">
        <v>1.3258613398643129</v>
      </c>
      <c r="AC194" s="60">
        <v>1.326482771560209</v>
      </c>
      <c r="AD194" s="60">
        <v>1.3270990547906605</v>
      </c>
      <c r="AE194" s="60">
        <v>1.3277102124731848</v>
      </c>
      <c r="AF194" s="60">
        <v>1.3283162698758761</v>
      </c>
      <c r="AG194" s="60">
        <v>1.3289172544844932</v>
      </c>
      <c r="AH194" s="60">
        <v>1.3295131958730255</v>
      </c>
      <c r="AI194" s="60">
        <f t="shared" ref="AI194:AI226" si="7">AH194</f>
        <v>1.3295131958730255</v>
      </c>
      <c r="AJ194" s="13">
        <v>1040</v>
      </c>
      <c r="AK194" s="14"/>
      <c r="AL194" s="14"/>
    </row>
    <row r="195" spans="1:38" ht="11.25" customHeight="1" x14ac:dyDescent="0.25">
      <c r="A195" s="60">
        <f t="shared" si="6"/>
        <v>1.3106338395358181</v>
      </c>
      <c r="B195" s="60">
        <v>1.3106338395358181</v>
      </c>
      <c r="C195" s="60">
        <v>1.3106447441205211</v>
      </c>
      <c r="D195" s="60">
        <v>1.3106629161432362</v>
      </c>
      <c r="E195" s="60">
        <v>1.3106847187985826</v>
      </c>
      <c r="F195" s="60">
        <v>1.3106992516151936</v>
      </c>
      <c r="G195" s="60">
        <v>1.3107718882321957</v>
      </c>
      <c r="H195" s="60">
        <v>1.3108444790174321</v>
      </c>
      <c r="I195" s="60">
        <v>1.3109170238963761</v>
      </c>
      <c r="J195" s="60">
        <v>1.3109532790978655</v>
      </c>
      <c r="K195" s="60">
        <v>1.3109895227951092</v>
      </c>
      <c r="L195" s="60">
        <v>1.3113513250407192</v>
      </c>
      <c r="M195" s="60">
        <v>1.3120714402237383</v>
      </c>
      <c r="N195" s="60">
        <v>1.3134974862034658</v>
      </c>
      <c r="O195" s="60">
        <v>1.3162913171748669</v>
      </c>
      <c r="P195" s="60">
        <v>1.3176584214339651</v>
      </c>
      <c r="Q195" s="60">
        <v>1.318334410689755</v>
      </c>
      <c r="R195" s="60">
        <v>1.3190053283517897</v>
      </c>
      <c r="S195" s="60">
        <v>1.3196711575289852</v>
      </c>
      <c r="T195" s="60">
        <v>1.3203318854263777</v>
      </c>
      <c r="U195" s="60">
        <v>1.3209875031823135</v>
      </c>
      <c r="V195" s="60">
        <v>1.3216380057075789</v>
      </c>
      <c r="W195" s="60">
        <v>1.3222833915266516</v>
      </c>
      <c r="X195" s="60">
        <v>1.3229236626212513</v>
      </c>
      <c r="Y195" s="60">
        <v>1.3235588242763496</v>
      </c>
      <c r="Z195" s="60">
        <v>1.3241888849287997</v>
      </c>
      <c r="AA195" s="60">
        <v>1.324813856018715</v>
      </c>
      <c r="AB195" s="60">
        <v>1.3254337518437362</v>
      </c>
      <c r="AC195" s="60">
        <v>1.3260485894162906</v>
      </c>
      <c r="AD195" s="60">
        <v>1.3266583883239622</v>
      </c>
      <c r="AE195" s="60">
        <v>1.3272631705930562</v>
      </c>
      <c r="AF195" s="60">
        <v>1.3278629605554393</v>
      </c>
      <c r="AG195" s="60">
        <v>1.3284577847187309</v>
      </c>
      <c r="AH195" s="60">
        <v>1.3290476716398991</v>
      </c>
      <c r="AI195" s="60">
        <f t="shared" si="7"/>
        <v>1.3290476716398991</v>
      </c>
      <c r="AJ195" s="13">
        <v>1045</v>
      </c>
      <c r="AK195" s="14"/>
      <c r="AL195" s="14"/>
    </row>
    <row r="196" spans="1:38" ht="11.25" customHeight="1" x14ac:dyDescent="0.25">
      <c r="A196" s="60">
        <f t="shared" si="6"/>
        <v>1.3103825670361442</v>
      </c>
      <c r="B196" s="60">
        <v>1.3103825670361442</v>
      </c>
      <c r="C196" s="60">
        <v>1.3103933366736931</v>
      </c>
      <c r="D196" s="60">
        <v>1.3104112838383668</v>
      </c>
      <c r="E196" s="60">
        <v>1.3104328167529888</v>
      </c>
      <c r="F196" s="60">
        <v>1.3104471697963584</v>
      </c>
      <c r="G196" s="60">
        <v>1.3105189081943753</v>
      </c>
      <c r="H196" s="60">
        <v>1.3105906018401272</v>
      </c>
      <c r="I196" s="60">
        <v>1.3106622506601626</v>
      </c>
      <c r="J196" s="60">
        <v>1.3106980582377461</v>
      </c>
      <c r="K196" s="60">
        <v>1.3107338545816254</v>
      </c>
      <c r="L196" s="60">
        <v>1.3110911982018478</v>
      </c>
      <c r="M196" s="60">
        <v>1.3118024778345414</v>
      </c>
      <c r="N196" s="60">
        <v>1.3132111826108577</v>
      </c>
      <c r="O196" s="60">
        <v>1.3159716696409123</v>
      </c>
      <c r="P196" s="60">
        <v>1.3173227781131518</v>
      </c>
      <c r="Q196" s="60">
        <v>1.3179909392520337</v>
      </c>
      <c r="R196" s="60">
        <v>1.3186541420096713</v>
      </c>
      <c r="S196" s="60">
        <v>1.3193123694064013</v>
      </c>
      <c r="T196" s="60">
        <v>1.3199656084750206</v>
      </c>
      <c r="U196" s="60">
        <v>1.3206138501014215</v>
      </c>
      <c r="V196" s="60">
        <v>1.3212570888671662</v>
      </c>
      <c r="W196" s="60">
        <v>1.3218953228941908</v>
      </c>
      <c r="X196" s="60">
        <v>1.3225285536917859</v>
      </c>
      <c r="Y196" s="60">
        <v>1.3231567860060298</v>
      </c>
      <c r="Z196" s="60">
        <v>1.3237800276718008</v>
      </c>
      <c r="AA196" s="60">
        <v>1.3243982894675117</v>
      </c>
      <c r="AB196" s="60">
        <v>1.3250115849726845</v>
      </c>
      <c r="AC196" s="60">
        <v>1.3256199304284719</v>
      </c>
      <c r="AD196" s="60">
        <v>1.3262233446012341</v>
      </c>
      <c r="AE196" s="60">
        <v>1.326821848649244</v>
      </c>
      <c r="AF196" s="60">
        <v>1.3274154659926112</v>
      </c>
      <c r="AG196" s="60">
        <v>1.3280042221864792</v>
      </c>
      <c r="AH196" s="60">
        <v>1.3285881447975607</v>
      </c>
      <c r="AI196" s="60">
        <f t="shared" si="7"/>
        <v>1.3285881447975607</v>
      </c>
      <c r="AJ196" s="13">
        <v>1050</v>
      </c>
      <c r="AK196" s="14"/>
      <c r="AL196" s="14"/>
    </row>
    <row r="197" spans="1:38" ht="11.25" customHeight="1" x14ac:dyDescent="0.25">
      <c r="A197" s="60">
        <f t="shared" si="6"/>
        <v>1.3101337950566372</v>
      </c>
      <c r="B197" s="60">
        <v>1.3101337950566372</v>
      </c>
      <c r="C197" s="60">
        <v>1.3101444320700077</v>
      </c>
      <c r="D197" s="60">
        <v>1.3101621582471059</v>
      </c>
      <c r="E197" s="60">
        <v>1.3101834260636493</v>
      </c>
      <c r="F197" s="60">
        <v>1.3101976024277142</v>
      </c>
      <c r="G197" s="60">
        <v>1.3102684580625032</v>
      </c>
      <c r="H197" s="60">
        <v>1.3103392700012895</v>
      </c>
      <c r="I197" s="60">
        <v>1.3104100381716641</v>
      </c>
      <c r="J197" s="60">
        <v>1.3104454058212298</v>
      </c>
      <c r="K197" s="60">
        <v>1.3104807625018038</v>
      </c>
      <c r="L197" s="60">
        <v>1.3108337240757602</v>
      </c>
      <c r="M197" s="60">
        <v>1.3115363195515102</v>
      </c>
      <c r="N197" s="60">
        <v>1.3129279787580834</v>
      </c>
      <c r="O197" s="60">
        <v>1.3156556839113289</v>
      </c>
      <c r="P197" s="60">
        <v>1.3169910627954828</v>
      </c>
      <c r="Q197" s="60">
        <v>1.3176515251797214</v>
      </c>
      <c r="R197" s="60">
        <v>1.3183071398999195</v>
      </c>
      <c r="S197" s="60">
        <v>1.3189578898880396</v>
      </c>
      <c r="T197" s="60">
        <v>1.3196037620072383</v>
      </c>
      <c r="U197" s="60">
        <v>1.3202447468958487</v>
      </c>
      <c r="V197" s="60">
        <v>1.3208808388133164</v>
      </c>
      <c r="W197" s="60">
        <v>1.3215120354882457</v>
      </c>
      <c r="X197" s="60">
        <v>1.3221383379687297</v>
      </c>
      <c r="Y197" s="60">
        <v>1.322759750475093</v>
      </c>
      <c r="Z197" s="60">
        <v>1.3233762802552</v>
      </c>
      <c r="AA197" s="60">
        <v>1.3239879374424413</v>
      </c>
      <c r="AB197" s="60">
        <v>1.324594734916519</v>
      </c>
      <c r="AC197" s="60">
        <v>1.3251966881671375</v>
      </c>
      <c r="AD197" s="60">
        <v>1.3257938151606816</v>
      </c>
      <c r="AE197" s="60">
        <v>1.3263861362099787</v>
      </c>
      <c r="AF197" s="60">
        <v>1.3269736738472049</v>
      </c>
      <c r="AG197" s="60">
        <v>1.3275564527000017</v>
      </c>
      <c r="AH197" s="60">
        <v>1.3281344993708566</v>
      </c>
      <c r="AI197" s="60">
        <f t="shared" si="7"/>
        <v>1.3281344993708566</v>
      </c>
      <c r="AJ197" s="13">
        <v>1055</v>
      </c>
      <c r="AK197" s="14"/>
      <c r="AL197" s="14"/>
    </row>
    <row r="198" spans="1:38" ht="11.25" customHeight="1" x14ac:dyDescent="0.25">
      <c r="A198" s="60">
        <f t="shared" si="6"/>
        <v>1.3098874821541893</v>
      </c>
      <c r="B198" s="60">
        <v>1.3098874821541893</v>
      </c>
      <c r="C198" s="60">
        <v>1.3098979888151272</v>
      </c>
      <c r="D198" s="60">
        <v>1.3099154977897609</v>
      </c>
      <c r="E198" s="60">
        <v>1.3099365050484901</v>
      </c>
      <c r="F198" s="60">
        <v>1.309950507758961</v>
      </c>
      <c r="G198" s="60">
        <v>1.3100204957454658</v>
      </c>
      <c r="H198" s="60">
        <v>1.3100904410695298</v>
      </c>
      <c r="I198" s="60">
        <v>1.3101603436597575</v>
      </c>
      <c r="J198" s="60">
        <v>1.3101952789075286</v>
      </c>
      <c r="K198" s="60">
        <v>1.3102302034453266</v>
      </c>
      <c r="L198" s="60">
        <v>1.3105788578643467</v>
      </c>
      <c r="M198" s="60">
        <v>1.311272917242337</v>
      </c>
      <c r="N198" s="60">
        <v>1.3126478200142453</v>
      </c>
      <c r="O198" s="60">
        <v>1.3153432930658335</v>
      </c>
      <c r="P198" s="60">
        <v>1.316663202782506</v>
      </c>
      <c r="Q198" s="60">
        <v>1.3173160929788836</v>
      </c>
      <c r="R198" s="60">
        <v>1.3179642437960157</v>
      </c>
      <c r="S198" s="60">
        <v>1.3186076380779526</v>
      </c>
      <c r="T198" s="60">
        <v>1.3192462625209742</v>
      </c>
      <c r="U198" s="60">
        <v>1.3198801075208384</v>
      </c>
      <c r="V198" s="60">
        <v>1.3205091670219742</v>
      </c>
      <c r="W198" s="60">
        <v>1.3211334383687947</v>
      </c>
      <c r="X198" s="60">
        <v>1.3217529221592657</v>
      </c>
      <c r="Y198" s="60">
        <v>1.3223676221008784</v>
      </c>
      <c r="Z198" s="60">
        <v>1.3229775448691481</v>
      </c>
      <c r="AA198" s="60">
        <v>1.3235826999687641</v>
      </c>
      <c r="AB198" s="60">
        <v>1.3241830995974906</v>
      </c>
      <c r="AC198" s="60">
        <v>1.3247787585129278</v>
      </c>
      <c r="AD198" s="60">
        <v>1.3253696939022086</v>
      </c>
      <c r="AE198" s="60">
        <v>1.3259559252547184</v>
      </c>
      <c r="AF198" s="60">
        <v>1.3265374742378955</v>
      </c>
      <c r="AG198" s="60">
        <v>1.3271143645761827</v>
      </c>
      <c r="AH198" s="60">
        <v>1.3276866219331624</v>
      </c>
      <c r="AI198" s="60">
        <f t="shared" si="7"/>
        <v>1.3276866219331624</v>
      </c>
      <c r="AJ198" s="13">
        <v>1060</v>
      </c>
      <c r="AK198" s="14"/>
      <c r="AL198" s="14"/>
    </row>
    <row r="199" spans="1:38" ht="11.25" customHeight="1" x14ac:dyDescent="0.25">
      <c r="A199" s="60">
        <f t="shared" si="6"/>
        <v>1.3096435874814485</v>
      </c>
      <c r="B199" s="60">
        <v>1.3096435874814485</v>
      </c>
      <c r="C199" s="60">
        <v>1.3096539660118383</v>
      </c>
      <c r="D199" s="60">
        <v>1.309671261486042</v>
      </c>
      <c r="E199" s="60">
        <v>1.3096920126275733</v>
      </c>
      <c r="F199" s="60">
        <v>1.3097058446437539</v>
      </c>
      <c r="G199" s="60">
        <v>1.3097749797652012</v>
      </c>
      <c r="H199" s="60">
        <v>1.309844073235596</v>
      </c>
      <c r="I199" s="60">
        <v>1.3099131249845259</v>
      </c>
      <c r="J199" s="60">
        <v>1.3099476351915924</v>
      </c>
      <c r="K199" s="60">
        <v>1.3099821349421426</v>
      </c>
      <c r="L199" s="60">
        <v>1.3103265554548451</v>
      </c>
      <c r="M199" s="60">
        <v>1.3110122235491821</v>
      </c>
      <c r="N199" s="60">
        <v>1.3123706526967509</v>
      </c>
      <c r="O199" s="60">
        <v>1.3150344314610103</v>
      </c>
      <c r="P199" s="60">
        <v>1.3163391268066491</v>
      </c>
      <c r="Q199" s="60">
        <v>1.3169845686607851</v>
      </c>
      <c r="R199" s="60">
        <v>1.3176253770491324</v>
      </c>
      <c r="S199" s="60">
        <v>1.3182615347285238</v>
      </c>
      <c r="T199" s="60">
        <v>1.3188930282312812</v>
      </c>
      <c r="U199" s="60">
        <v>1.3195198477156342</v>
      </c>
      <c r="V199" s="60">
        <v>1.3201419868180928</v>
      </c>
      <c r="W199" s="60">
        <v>1.3207594425079283</v>
      </c>
      <c r="X199" s="60">
        <v>1.3213722149438984</v>
      </c>
      <c r="Y199" s="60">
        <v>1.3219803073333511</v>
      </c>
      <c r="Z199" s="60">
        <v>1.32258372579383</v>
      </c>
      <c r="AA199" s="60">
        <v>1.323182479217289</v>
      </c>
      <c r="AB199" s="60">
        <v>1.3237765791370262</v>
      </c>
      <c r="AC199" s="60">
        <v>1.3243660395974193</v>
      </c>
      <c r="AD199" s="60">
        <v>1.3249508770265521</v>
      </c>
      <c r="AE199" s="60">
        <v>1.3255311101118059</v>
      </c>
      <c r="AF199" s="60">
        <v>1.3261067596784706</v>
      </c>
      <c r="AG199" s="60">
        <v>1.3266778485714388</v>
      </c>
      <c r="AH199" s="60">
        <v>1.3272444015400198</v>
      </c>
      <c r="AI199" s="60">
        <f t="shared" si="7"/>
        <v>1.3272444015400198</v>
      </c>
      <c r="AJ199" s="13">
        <v>1065</v>
      </c>
      <c r="AK199" s="14"/>
      <c r="AL199" s="14"/>
    </row>
    <row r="200" spans="1:38" ht="11.25" customHeight="1" x14ac:dyDescent="0.25">
      <c r="A200" s="60">
        <f t="shared" si="6"/>
        <v>1.3094020707809235</v>
      </c>
      <c r="B200" s="60">
        <v>1.3094020707809235</v>
      </c>
      <c r="C200" s="60">
        <v>1.3094123233541131</v>
      </c>
      <c r="D200" s="60">
        <v>1.309429408949053</v>
      </c>
      <c r="E200" s="60">
        <v>1.3094499083170013</v>
      </c>
      <c r="F200" s="60">
        <v>1.3094635725335528</v>
      </c>
      <c r="G200" s="60">
        <v>1.3095318692502678</v>
      </c>
      <c r="H200" s="60">
        <v>1.3096001253056568</v>
      </c>
      <c r="I200" s="60">
        <v>1.309668340630264</v>
      </c>
      <c r="J200" s="60">
        <v>1.3097024329969698</v>
      </c>
      <c r="K200" s="60">
        <v>1.3097365151551843</v>
      </c>
      <c r="L200" s="60">
        <v>1.3100767734111582</v>
      </c>
      <c r="M200" s="60">
        <v>1.310754191877207</v>
      </c>
      <c r="N200" s="60">
        <v>1.3120964240544013</v>
      </c>
      <c r="O200" s="60">
        <v>1.3147290347030687</v>
      </c>
      <c r="P200" s="60">
        <v>1.3160187649991337</v>
      </c>
      <c r="Q200" s="60">
        <v>1.31665687970747</v>
      </c>
      <c r="R200" s="60">
        <v>1.3172904645514365</v>
      </c>
      <c r="S200" s="60">
        <v>1.3179195022015628</v>
      </c>
      <c r="T200" s="60">
        <v>1.3185439790292619</v>
      </c>
      <c r="U200" s="60">
        <v>1.3191638849603418</v>
      </c>
      <c r="V200" s="60">
        <v>1.3197792133304693</v>
      </c>
      <c r="W200" s="60">
        <v>1.320389960742735</v>
      </c>
      <c r="X200" s="60">
        <v>1.3209961269274451</v>
      </c>
      <c r="Y200" s="60">
        <v>1.3215977146042728</v>
      </c>
      <c r="Z200" s="60">
        <v>1.3221947293468761</v>
      </c>
      <c r="AA200" s="60">
        <v>1.3227871794500974</v>
      </c>
      <c r="AB200" s="60">
        <v>1.3233750757998344</v>
      </c>
      <c r="AC200" s="60">
        <v>1.3239584317456685</v>
      </c>
      <c r="AD200" s="60">
        <v>1.3245372629763357</v>
      </c>
      <c r="AE200" s="60">
        <v>1.3251115873981016</v>
      </c>
      <c r="AF200" s="60">
        <v>1.3256814250161009</v>
      </c>
      <c r="AG200" s="60">
        <v>1.3262467978186947</v>
      </c>
      <c r="AH200" s="60">
        <v>1.3268077296648833</v>
      </c>
      <c r="AI200" s="60">
        <f t="shared" si="7"/>
        <v>1.3268077296648833</v>
      </c>
      <c r="AJ200" s="13">
        <v>1070</v>
      </c>
      <c r="AK200" s="14"/>
      <c r="AL200" s="14"/>
    </row>
    <row r="201" spans="1:38" ht="11.25" customHeight="1" x14ac:dyDescent="0.25">
      <c r="A201" s="60">
        <f t="shared" si="6"/>
        <v>1.3091628923790448</v>
      </c>
      <c r="B201" s="60">
        <v>1.3091628923790448</v>
      </c>
      <c r="C201" s="60">
        <v>1.3091730211211283</v>
      </c>
      <c r="D201" s="60">
        <v>1.3091899003792393</v>
      </c>
      <c r="E201" s="60">
        <v>1.3092101522227841</v>
      </c>
      <c r="F201" s="60">
        <v>1.3092236514714366</v>
      </c>
      <c r="G201" s="60">
        <v>1.3092911239293843</v>
      </c>
      <c r="H201" s="60">
        <v>1.3093585566945707</v>
      </c>
      <c r="I201" s="60">
        <v>1.309425949698469</v>
      </c>
      <c r="J201" s="60">
        <v>1.309459631268669</v>
      </c>
      <c r="K201" s="60">
        <v>1.3094933028730946</v>
      </c>
      <c r="L201" s="60">
        <v>1.3098294689652188</v>
      </c>
      <c r="M201" s="60">
        <v>1.3104987763832567</v>
      </c>
      <c r="N201" s="60">
        <v>1.3118250822508266</v>
      </c>
      <c r="O201" s="60">
        <v>1.3144270396213213</v>
      </c>
      <c r="P201" s="60">
        <v>1.3157020488587885</v>
      </c>
      <c r="Q201" s="60">
        <v>1.3163329550383189</v>
      </c>
      <c r="R201" s="60">
        <v>1.3169594327004577</v>
      </c>
      <c r="S201" s="60">
        <v>1.3175814644305377</v>
      </c>
      <c r="T201" s="60">
        <v>1.3181990364422322</v>
      </c>
      <c r="U201" s="60">
        <v>1.3188121384340776</v>
      </c>
      <c r="V201" s="60">
        <v>1.3194207634479469</v>
      </c>
      <c r="W201" s="60">
        <v>1.3200249077296149</v>
      </c>
      <c r="X201" s="60">
        <v>1.3206245705915312</v>
      </c>
      <c r="Y201" s="60">
        <v>1.3212197542779356</v>
      </c>
      <c r="Z201" s="60">
        <v>1.3218104638324062</v>
      </c>
      <c r="AA201" s="60">
        <v>1.3223967069679534</v>
      </c>
      <c r="AB201" s="60">
        <v>1.3229784939397469</v>
      </c>
      <c r="AC201" s="60">
        <v>1.3235558374205554</v>
      </c>
      <c r="AD201" s="60">
        <v>1.3241287523789746</v>
      </c>
      <c r="AE201" s="60">
        <v>1.3246972559605081</v>
      </c>
      <c r="AF201" s="60">
        <v>1.3252613673715532</v>
      </c>
      <c r="AG201" s="60">
        <v>1.3258211077663451</v>
      </c>
      <c r="AH201" s="60">
        <v>1.3263765001368886</v>
      </c>
      <c r="AI201" s="60">
        <f t="shared" si="7"/>
        <v>1.3263765001368886</v>
      </c>
      <c r="AJ201" s="13">
        <v>1075</v>
      </c>
      <c r="AK201" s="14"/>
      <c r="AL201" s="14"/>
    </row>
    <row r="202" spans="1:38" ht="11.25" customHeight="1" x14ac:dyDescent="0.25">
      <c r="A202" s="60">
        <f t="shared" si="6"/>
        <v>1.3089260131801812</v>
      </c>
      <c r="B202" s="60">
        <v>1.3089260131801812</v>
      </c>
      <c r="C202" s="60">
        <v>1.308936020171245</v>
      </c>
      <c r="D202" s="60">
        <v>1.308952696558304</v>
      </c>
      <c r="E202" s="60">
        <v>1.3089727050346762</v>
      </c>
      <c r="F202" s="60">
        <v>1.308986042085885</v>
      </c>
      <c r="G202" s="60">
        <v>1.3090527041249476</v>
      </c>
      <c r="H202" s="60">
        <v>1.3091193274191395</v>
      </c>
      <c r="I202" s="60">
        <v>1.3091859119008389</v>
      </c>
      <c r="J202" s="60">
        <v>1.309219189566017</v>
      </c>
      <c r="K202" s="60">
        <v>1.3092524575029536</v>
      </c>
      <c r="L202" s="60">
        <v>1.3095846000084155</v>
      </c>
      <c r="M202" s="60">
        <v>1.3102459319646991</v>
      </c>
      <c r="N202" s="60">
        <v>1.3115565763482588</v>
      </c>
      <c r="O202" s="60">
        <v>1.3141283842423572</v>
      </c>
      <c r="P202" s="60">
        <v>1.3153889112217145</v>
      </c>
      <c r="Q202" s="60">
        <v>1.3160127249775533</v>
      </c>
      <c r="R202" s="60">
        <v>1.3166322093644764</v>
      </c>
      <c r="S202" s="60">
        <v>1.3172473468839065</v>
      </c>
      <c r="T202" s="60">
        <v>1.3178581235950533</v>
      </c>
      <c r="U202" s="60">
        <v>1.3184645289743639</v>
      </c>
      <c r="V202" s="60">
        <v>1.3190665557769328</v>
      </c>
      <c r="W202" s="60">
        <v>1.3196641998999796</v>
      </c>
      <c r="X202" s="60">
        <v>1.3202574602485317</v>
      </c>
      <c r="Y202" s="60">
        <v>1.3208463386034124</v>
      </c>
      <c r="Z202" s="60">
        <v>1.3214308394916419</v>
      </c>
      <c r="AA202" s="60">
        <v>1.3220109700593445</v>
      </c>
      <c r="AB202" s="60">
        <v>1.3225867399472497</v>
      </c>
      <c r="AC202" s="60">
        <v>1.3231581611688605</v>
      </c>
      <c r="AD202" s="60">
        <v>1.323725247991363</v>
      </c>
      <c r="AE202" s="60">
        <v>1.3242880168193305</v>
      </c>
      <c r="AF202" s="60">
        <v>1.3248464860812832</v>
      </c>
      <c r="AG202" s="60">
        <v>1.3254006761191359</v>
      </c>
      <c r="AH202" s="60">
        <v>1.3259506090805839</v>
      </c>
      <c r="AI202" s="60">
        <f t="shared" si="7"/>
        <v>1.3259506090805839</v>
      </c>
      <c r="AJ202" s="13">
        <v>1080</v>
      </c>
      <c r="AK202" s="14"/>
      <c r="AL202" s="14"/>
    </row>
    <row r="203" spans="1:38" ht="11.25" customHeight="1" x14ac:dyDescent="0.25">
      <c r="A203" s="60">
        <f t="shared" si="6"/>
        <v>1.3086913946606293</v>
      </c>
      <c r="B203" s="60">
        <v>1.3086913946606293</v>
      </c>
      <c r="C203" s="60">
        <v>1.3087012819359547</v>
      </c>
      <c r="D203" s="60">
        <v>1.3087177588430925</v>
      </c>
      <c r="E203" s="60">
        <v>1.3087375280199838</v>
      </c>
      <c r="F203" s="60">
        <v>1.3087507055845358</v>
      </c>
      <c r="G203" s="60">
        <v>1.3088165707465371</v>
      </c>
      <c r="H203" s="60">
        <v>1.3088823980913613</v>
      </c>
      <c r="I203" s="60">
        <v>1.3089481875522646</v>
      </c>
      <c r="J203" s="60">
        <v>1.3089810680555316</v>
      </c>
      <c r="K203" s="60">
        <v>1.3090139390630255</v>
      </c>
      <c r="L203" s="60">
        <v>1.3093421250830757</v>
      </c>
      <c r="M203" s="60">
        <v>1.3099956142484088</v>
      </c>
      <c r="N203" s="60">
        <v>1.3112908562916299</v>
      </c>
      <c r="O203" s="60">
        <v>1.3138330077648872</v>
      </c>
      <c r="P203" s="60">
        <v>1.3150792862317966</v>
      </c>
      <c r="Q203" s="60">
        <v>1.3156961212226472</v>
      </c>
      <c r="R203" s="60">
        <v>1.3163087238488986</v>
      </c>
      <c r="S203" s="60">
        <v>1.3169170765295133</v>
      </c>
      <c r="T203" s="60">
        <v>1.3175211651726009</v>
      </c>
      <c r="U203" s="60">
        <v>1.3181209790377291</v>
      </c>
      <c r="V203" s="60">
        <v>1.3187165106001828</v>
      </c>
      <c r="W203" s="60">
        <v>1.3193077554172863</v>
      </c>
      <c r="X203" s="60">
        <v>1.3198947119969096</v>
      </c>
      <c r="Y203" s="60">
        <v>1.3204773816682547</v>
      </c>
      <c r="Z203" s="60">
        <v>1.3210557684550284</v>
      </c>
      <c r="AA203" s="60">
        <v>1.3216298789510865</v>
      </c>
      <c r="AB203" s="60">
        <v>1.3221997221986259</v>
      </c>
      <c r="AC203" s="60">
        <v>1.3227653095690102</v>
      </c>
      <c r="AD203" s="60">
        <v>1.3233266546462765</v>
      </c>
      <c r="AE203" s="60">
        <v>1.3238837731133948</v>
      </c>
      <c r="AF203" s="60">
        <v>1.3244366826413208</v>
      </c>
      <c r="AG203" s="60">
        <v>1.3249854027808816</v>
      </c>
      <c r="AH203" s="60">
        <v>1.325529954857535</v>
      </c>
      <c r="AI203" s="60">
        <f t="shared" si="7"/>
        <v>1.325529954857535</v>
      </c>
      <c r="AJ203" s="13">
        <v>1085</v>
      </c>
      <c r="AK203" s="14"/>
      <c r="AL203" s="14"/>
    </row>
    <row r="204" spans="1:38" ht="11.25" customHeight="1" x14ac:dyDescent="0.25">
      <c r="A204" s="60">
        <f t="shared" si="6"/>
        <v>1.3084589988625781</v>
      </c>
      <c r="B204" s="60">
        <v>1.3084589988625781</v>
      </c>
      <c r="C204" s="60">
        <v>1.3084687684138143</v>
      </c>
      <c r="D204" s="60">
        <v>1.3084850491594604</v>
      </c>
      <c r="E204" s="60">
        <v>1.3085045830173616</v>
      </c>
      <c r="F204" s="60">
        <v>1.3085176037479311</v>
      </c>
      <c r="G204" s="60">
        <v>1.3085826852844176</v>
      </c>
      <c r="H204" s="60">
        <v>1.3086477299116841</v>
      </c>
      <c r="I204" s="60">
        <v>1.3087127375638448</v>
      </c>
      <c r="J204" s="60">
        <v>1.3087452275038105</v>
      </c>
      <c r="K204" s="60">
        <v>1.3087777081755234</v>
      </c>
      <c r="L204" s="60">
        <v>1.3091020033740146</v>
      </c>
      <c r="M204" s="60">
        <v>1.3097477795799068</v>
      </c>
      <c r="N204" s="60">
        <v>1.3110278728930074</v>
      </c>
      <c r="O204" s="60">
        <v>1.3135408505352435</v>
      </c>
      <c r="P204" s="60">
        <v>1.3147731093120156</v>
      </c>
      <c r="Q204" s="60">
        <v>1.3153830768136274</v>
      </c>
      <c r="R204" s="60">
        <v>1.3159889068635917</v>
      </c>
      <c r="S204" s="60">
        <v>1.3165905818000074</v>
      </c>
      <c r="T204" s="60">
        <v>1.3171880873833295</v>
      </c>
      <c r="U204" s="60">
        <v>1.3177814126614669</v>
      </c>
      <c r="V204" s="60">
        <v>1.3183705498368168</v>
      </c>
      <c r="W204" s="60">
        <v>1.3189554941353576</v>
      </c>
      <c r="X204" s="60">
        <v>1.3195362436779001</v>
      </c>
      <c r="Y204" s="60">
        <v>1.320112799353599</v>
      </c>
      <c r="Z204" s="60">
        <v>1.3206851646958202</v>
      </c>
      <c r="AA204" s="60">
        <v>1.3212533457604405</v>
      </c>
      <c r="AB204" s="60">
        <v>1.3218173510066669</v>
      </c>
      <c r="AC204" s="60">
        <v>1.3223771911804307</v>
      </c>
      <c r="AD204" s="60">
        <v>1.3229328792004307</v>
      </c>
      <c r="AE204" s="60">
        <v>1.3234844300468647</v>
      </c>
      <c r="AF204" s="60">
        <v>1.3240318606529089</v>
      </c>
      <c r="AG204" s="60">
        <v>1.3245751897989695</v>
      </c>
      <c r="AH204" s="60">
        <v>1.325114438009749</v>
      </c>
      <c r="AI204" s="60">
        <f t="shared" si="7"/>
        <v>1.325114438009749</v>
      </c>
      <c r="AJ204" s="13">
        <v>1090</v>
      </c>
      <c r="AK204" s="14"/>
      <c r="AL204" s="14"/>
    </row>
    <row r="205" spans="1:38" ht="11.25" customHeight="1" x14ac:dyDescent="0.25">
      <c r="A205" s="60">
        <f t="shared" si="6"/>
        <v>1.3082287883880581</v>
      </c>
      <c r="B205" s="60">
        <v>1.3082287883880581</v>
      </c>
      <c r="C205" s="60">
        <v>1.3082384421643536</v>
      </c>
      <c r="D205" s="60">
        <v>1.3082545299961259</v>
      </c>
      <c r="E205" s="60">
        <v>1.308273832430592</v>
      </c>
      <c r="F205" s="60">
        <v>1.3082866989232531</v>
      </c>
      <c r="G205" s="60">
        <v>1.308351009803032</v>
      </c>
      <c r="H205" s="60">
        <v>1.3084152846622676</v>
      </c>
      <c r="I205" s="60">
        <v>1.3084795234359079</v>
      </c>
      <c r="J205" s="60">
        <v>1.3085116292704375</v>
      </c>
      <c r="K205" s="60">
        <v>1.3085437260593999</v>
      </c>
      <c r="L205" s="60">
        <v>1.3088641947001485</v>
      </c>
      <c r="M205" s="60">
        <v>1.3095023850126513</v>
      </c>
      <c r="N205" s="60">
        <v>1.3107675778163306</v>
      </c>
      <c r="O205" s="60">
        <v>1.3132518540235116</v>
      </c>
      <c r="P205" s="60">
        <v>1.3144703171365444</v>
      </c>
      <c r="Q205" s="60">
        <v>1.3150735261032227</v>
      </c>
      <c r="R205" s="60">
        <v>1.315672690491138</v>
      </c>
      <c r="S205" s="60">
        <v>1.3162677925592547</v>
      </c>
      <c r="T205" s="60">
        <v>1.316858817923888</v>
      </c>
      <c r="U205" s="60">
        <v>1.3174457554265122</v>
      </c>
      <c r="V205" s="60">
        <v>1.3180285970035064</v>
      </c>
      <c r="W205" s="60">
        <v>1.3186073375579388</v>
      </c>
      <c r="X205" s="60">
        <v>1.3191819748334916</v>
      </c>
      <c r="Y205" s="60">
        <v>1.3197525092906255</v>
      </c>
      <c r="Z205" s="60">
        <v>1.3203189439850651</v>
      </c>
      <c r="AA205" s="60">
        <v>1.3208812844486861</v>
      </c>
      <c r="AB205" s="60">
        <v>1.3214395385728803</v>
      </c>
      <c r="AC205" s="60">
        <v>1.3219937164944555</v>
      </c>
      <c r="AD205" s="60">
        <v>1.3225438304841337</v>
      </c>
      <c r="AE205" s="60">
        <v>1.3230898948376939</v>
      </c>
      <c r="AF205" s="60">
        <v>1.3236319257698037</v>
      </c>
      <c r="AG205" s="60">
        <v>1.3241699413105705</v>
      </c>
      <c r="AH205" s="60">
        <v>1.3247039612048475</v>
      </c>
      <c r="AI205" s="60">
        <f t="shared" si="7"/>
        <v>1.3247039612048475</v>
      </c>
      <c r="AJ205" s="13">
        <v>1095</v>
      </c>
      <c r="AK205" s="14"/>
      <c r="AL205" s="14"/>
    </row>
    <row r="206" spans="1:38" ht="11.25" customHeight="1" x14ac:dyDescent="0.25">
      <c r="A206" s="60">
        <f t="shared" si="6"/>
        <v>1.3080007263928795</v>
      </c>
      <c r="B206" s="60">
        <v>1.3080007263928795</v>
      </c>
      <c r="C206" s="60">
        <v>1.3080102663019815</v>
      </c>
      <c r="D206" s="60">
        <v>1.3080261643985194</v>
      </c>
      <c r="E206" s="60">
        <v>1.3080452392223647</v>
      </c>
      <c r="F206" s="60">
        <v>1.3080579540180535</v>
      </c>
      <c r="G206" s="60">
        <v>1.30812150693451</v>
      </c>
      <c r="H206" s="60">
        <v>1.3081850247002598</v>
      </c>
      <c r="I206" s="60">
        <v>1.3082485072510612</v>
      </c>
      <c r="J206" s="60">
        <v>1.3082802353009158</v>
      </c>
      <c r="K206" s="60">
        <v>1.3083119545231652</v>
      </c>
      <c r="L206" s="60">
        <v>1.3086286595061838</v>
      </c>
      <c r="M206" s="60">
        <v>1.309259388297479</v>
      </c>
      <c r="N206" s="60">
        <v>1.3105099235624704</v>
      </c>
      <c r="O206" s="60">
        <v>1.3129659608002766</v>
      </c>
      <c r="P206" s="60">
        <v>1.3141708476036</v>
      </c>
      <c r="Q206" s="60">
        <v>1.314767404727839</v>
      </c>
      <c r="R206" s="60">
        <v>1.3153600081559813</v>
      </c>
      <c r="S206" s="60">
        <v>1.3159486400697069</v>
      </c>
      <c r="T206" s="60">
        <v>1.31653328594476</v>
      </c>
      <c r="U206" s="60">
        <v>1.317113934421406</v>
      </c>
      <c r="V206" s="60">
        <v>1.3176905771768128</v>
      </c>
      <c r="W206" s="60">
        <v>1.3182632087994579</v>
      </c>
      <c r="X206" s="60">
        <v>1.3188318266656596</v>
      </c>
      <c r="Y206" s="60">
        <v>1.3193964308183188</v>
      </c>
      <c r="Z206" s="60">
        <v>1.3199570238479519</v>
      </c>
      <c r="AA206" s="60">
        <v>1.3205136107760984</v>
      </c>
      <c r="AB206" s="60">
        <v>1.3210661989411567</v>
      </c>
      <c r="AC206" s="60">
        <v>1.3216147978867221</v>
      </c>
      <c r="AD206" s="60">
        <v>1.3221594192524746</v>
      </c>
      <c r="AE206" s="60">
        <v>1.3227000766676573</v>
      </c>
      <c r="AF206" s="60">
        <v>1.3232367856472005</v>
      </c>
      <c r="AG206" s="60">
        <v>1.3237695634905027</v>
      </c>
      <c r="AH206" s="60">
        <v>1.3242984291829172</v>
      </c>
      <c r="AI206" s="60">
        <f t="shared" si="7"/>
        <v>1.3242984291829172</v>
      </c>
      <c r="AJ206" s="13">
        <v>1100</v>
      </c>
      <c r="AK206" s="14"/>
      <c r="AL206" s="14"/>
    </row>
    <row r="207" spans="1:38" ht="11.25" customHeight="1" x14ac:dyDescent="0.25">
      <c r="A207" s="60">
        <f t="shared" si="6"/>
        <v>1.3077747765805652</v>
      </c>
      <c r="B207" s="60">
        <v>1.3077747765805652</v>
      </c>
      <c r="C207" s="60">
        <v>1.3077842044898871</v>
      </c>
      <c r="D207" s="60">
        <v>1.3077999159626263</v>
      </c>
      <c r="E207" s="60">
        <v>1.3078187669080572</v>
      </c>
      <c r="F207" s="60">
        <v>1.3078313324939912</v>
      </c>
      <c r="G207" s="60">
        <v>1.3078941398721811</v>
      </c>
      <c r="H207" s="60">
        <v>1.3079569129510891</v>
      </c>
      <c r="I207" s="60">
        <v>1.3080196516672655</v>
      </c>
      <c r="J207" s="60">
        <v>1.3080510081196337</v>
      </c>
      <c r="K207" s="60">
        <v>1.3080823559577435</v>
      </c>
      <c r="L207" s="60">
        <v>1.3083953588543751</v>
      </c>
      <c r="M207" s="60">
        <v>1.3090187478721969</v>
      </c>
      <c r="N207" s="60">
        <v>1.310254863454587</v>
      </c>
      <c r="O207" s="60">
        <v>1.312683114513965</v>
      </c>
      <c r="P207" s="60">
        <v>1.3138746398090297</v>
      </c>
      <c r="Q207" s="60">
        <v>1.314464649579334</v>
      </c>
      <c r="R207" s="60">
        <v>1.315050794594437</v>
      </c>
      <c r="S207" s="60">
        <v>1.3156330569606904</v>
      </c>
      <c r="T207" s="60">
        <v>1.3162114220168863</v>
      </c>
      <c r="U207" s="60">
        <v>1.3167858782072954</v>
      </c>
      <c r="V207" s="60">
        <v>1.3173564169566161</v>
      </c>
      <c r="W207" s="60">
        <v>1.317923032546938</v>
      </c>
      <c r="X207" s="60">
        <v>1.31848572199681</v>
      </c>
      <c r="Y207" s="60">
        <v>1.3190444849424896</v>
      </c>
      <c r="Z207" s="60">
        <v>1.3195993235214591</v>
      </c>
      <c r="AA207" s="60">
        <v>1.3201502422582778</v>
      </c>
      <c r="AB207" s="60">
        <v>1.3206972479528274</v>
      </c>
      <c r="AC207" s="60">
        <v>1.3212403495710183</v>
      </c>
      <c r="AD207" s="60">
        <v>1.3217795581379965</v>
      </c>
      <c r="AE207" s="60">
        <v>1.3223148866339016</v>
      </c>
      <c r="AF207" s="60">
        <v>1.3228463498922083</v>
      </c>
      <c r="AG207" s="60">
        <v>1.3233739645006857</v>
      </c>
      <c r="AH207" s="60">
        <v>1.3238977487049917</v>
      </c>
      <c r="AI207" s="60">
        <f t="shared" si="7"/>
        <v>1.3238977487049917</v>
      </c>
      <c r="AJ207" s="13">
        <v>1105</v>
      </c>
      <c r="AK207" s="14"/>
      <c r="AL207" s="14"/>
    </row>
    <row r="208" spans="1:38" ht="11.25" customHeight="1" x14ac:dyDescent="0.25">
      <c r="A208" s="60">
        <f t="shared" si="6"/>
        <v>1.3075509031962873</v>
      </c>
      <c r="B208" s="60">
        <v>1.3075509031962873</v>
      </c>
      <c r="C208" s="60">
        <v>1.3075602209339403</v>
      </c>
      <c r="D208" s="60">
        <v>1.307575748828836</v>
      </c>
      <c r="E208" s="60">
        <v>1.3075943795495173</v>
      </c>
      <c r="F208" s="60">
        <v>1.3076067983605755</v>
      </c>
      <c r="G208" s="60">
        <v>1.3076688723641023</v>
      </c>
      <c r="H208" s="60">
        <v>1.3077309129017827</v>
      </c>
      <c r="I208" s="60">
        <v>1.3077929199109379</v>
      </c>
      <c r="J208" s="60">
        <v>1.3078239108228615</v>
      </c>
      <c r="K208" s="60">
        <v>1.3078548933293643</v>
      </c>
      <c r="L208" s="60">
        <v>1.3081642544163594</v>
      </c>
      <c r="M208" s="60">
        <v>1.3087804228513293</v>
      </c>
      <c r="N208" s="60">
        <v>1.3100023516237846</v>
      </c>
      <c r="O208" s="60">
        <v>1.3124032598687598</v>
      </c>
      <c r="P208" s="60">
        <v>1.3135816340206001</v>
      </c>
      <c r="Q208" s="60">
        <v>1.3141651987775607</v>
      </c>
      <c r="R208" s="60">
        <v>1.3147449858255338</v>
      </c>
      <c r="S208" s="60">
        <v>1.3153209771975951</v>
      </c>
      <c r="T208" s="60">
        <v>1.3158931580992426</v>
      </c>
      <c r="U208" s="60">
        <v>1.3164615167839475</v>
      </c>
      <c r="V208" s="60">
        <v>1.3170260444306123</v>
      </c>
      <c r="W208" s="60">
        <v>1.3175867350230233</v>
      </c>
      <c r="X208" s="60">
        <v>1.3181435852313839</v>
      </c>
      <c r="Y208" s="60">
        <v>1.3186965942960116</v>
      </c>
      <c r="Z208" s="60">
        <v>1.3192457639132686</v>
      </c>
      <c r="AA208" s="60">
        <v>1.3197910981237897</v>
      </c>
      <c r="AB208" s="60">
        <v>1.3203326032030782</v>
      </c>
      <c r="AC208" s="60">
        <v>1.3208702875545086</v>
      </c>
      <c r="AD208" s="60">
        <v>1.3214041616047949</v>
      </c>
      <c r="AE208" s="60">
        <v>1.3219342377019587</v>
      </c>
      <c r="AF208" s="60">
        <v>1.3224605300158327</v>
      </c>
      <c r="AG208" s="60">
        <v>1.3229830544411296</v>
      </c>
      <c r="AH208" s="60">
        <v>1.3235018285030953</v>
      </c>
      <c r="AI208" s="60">
        <f t="shared" si="7"/>
        <v>1.3235018285030953</v>
      </c>
      <c r="AJ208" s="13">
        <v>1110</v>
      </c>
      <c r="AK208" s="14"/>
      <c r="AL208" s="14"/>
    </row>
    <row r="209" spans="1:38" ht="11.25" customHeight="1" x14ac:dyDescent="0.25">
      <c r="A209" s="60">
        <f t="shared" si="6"/>
        <v>1.3073290710208065</v>
      </c>
      <c r="B209" s="60">
        <v>1.3073290710208065</v>
      </c>
      <c r="C209" s="60">
        <v>1.3073382803766045</v>
      </c>
      <c r="D209" s="60">
        <v>1.3073536276758027</v>
      </c>
      <c r="E209" s="60">
        <v>1.3073720417488617</v>
      </c>
      <c r="F209" s="60">
        <v>1.3073843161689176</v>
      </c>
      <c r="G209" s="60">
        <v>1.3074456687066101</v>
      </c>
      <c r="H209" s="60">
        <v>1.3075069885943102</v>
      </c>
      <c r="I209" s="60">
        <v>1.3075682757700915</v>
      </c>
      <c r="J209" s="60">
        <v>1.3075989070717886</v>
      </c>
      <c r="K209" s="60">
        <v>1.3076295301724945</v>
      </c>
      <c r="L209" s="60">
        <v>1.3079353084650704</v>
      </c>
      <c r="M209" s="60">
        <v>1.3085443730160047</v>
      </c>
      <c r="N209" s="60">
        <v>1.3097523429950582</v>
      </c>
      <c r="O209" s="60">
        <v>1.3121263426030823</v>
      </c>
      <c r="P209" s="60">
        <v>1.3132917716529788</v>
      </c>
      <c r="Q209" s="60">
        <v>1.3138689916436603</v>
      </c>
      <c r="R209" s="60">
        <v>1.3144425191226625</v>
      </c>
      <c r="S209" s="60">
        <v>1.3150123360519224</v>
      </c>
      <c r="T209" s="60">
        <v>1.315578427507329</v>
      </c>
      <c r="U209" s="60">
        <v>1.3161407815567316</v>
      </c>
      <c r="V209" s="60">
        <v>1.316699389139836</v>
      </c>
      <c r="W209" s="60">
        <v>1.3172542439500836</v>
      </c>
      <c r="X209" s="60">
        <v>1.317805342318592</v>
      </c>
      <c r="Y209" s="60">
        <v>1.3183526831002284</v>
      </c>
      <c r="Z209" s="60">
        <v>1.3188962675618912</v>
      </c>
      <c r="AA209" s="60">
        <v>1.3194360992730583</v>
      </c>
      <c r="AB209" s="60">
        <v>1.3199721839986562</v>
      </c>
      <c r="AC209" s="60">
        <v>1.3205045295943085</v>
      </c>
      <c r="AD209" s="60">
        <v>1.3210331459039963</v>
      </c>
      <c r="AE209" s="60">
        <v>1.3215580446601793</v>
      </c>
      <c r="AF209" s="60">
        <v>1.3220792393864005</v>
      </c>
      <c r="AG209" s="60">
        <v>1.3225967453024059</v>
      </c>
      <c r="AH209" s="60">
        <v>1.3231105792317976</v>
      </c>
      <c r="AI209" s="60">
        <f t="shared" si="7"/>
        <v>1.3231105792317976</v>
      </c>
      <c r="AJ209" s="13">
        <v>1115</v>
      </c>
      <c r="AK209" s="14"/>
      <c r="AL209" s="14"/>
    </row>
    <row r="210" spans="1:38" ht="11.25" customHeight="1" x14ac:dyDescent="0.25">
      <c r="A210" s="60">
        <f t="shared" si="6"/>
        <v>1.307109245364422</v>
      </c>
      <c r="B210" s="60">
        <v>1.307109245364422</v>
      </c>
      <c r="C210" s="60">
        <v>1.307118348090855</v>
      </c>
      <c r="D210" s="60">
        <v>1.3071335177143149</v>
      </c>
      <c r="E210" s="60">
        <v>1.307151718642287</v>
      </c>
      <c r="F210" s="60">
        <v>1.3071638510055059</v>
      </c>
      <c r="G210" s="60">
        <v>1.3072244937378918</v>
      </c>
      <c r="H210" s="60">
        <v>1.3072851046189571</v>
      </c>
      <c r="I210" s="60">
        <v>1.3073456835875108</v>
      </c>
      <c r="J210" s="60">
        <v>1.3073759610855988</v>
      </c>
      <c r="K210" s="60">
        <v>1.3074062305828185</v>
      </c>
      <c r="L210" s="60">
        <v>1.3077084838667297</v>
      </c>
      <c r="M210" s="60">
        <v>1.3083105588040023</v>
      </c>
      <c r="N210" s="60">
        <v>1.3095047932735244</v>
      </c>
      <c r="O210" s="60">
        <v>1.3118523094686079</v>
      </c>
      <c r="P210" s="60">
        <v>1.3130049952433731</v>
      </c>
      <c r="Q210" s="60">
        <v>1.3135759686740747</v>
      </c>
      <c r="R210" s="60">
        <v>1.3141433329860026</v>
      </c>
      <c r="S210" s="60">
        <v>1.3147070700721661</v>
      </c>
      <c r="T210" s="60">
        <v>1.3152671648825569</v>
      </c>
      <c r="U210" s="60">
        <v>1.3158236053045471</v>
      </c>
      <c r="V210" s="60">
        <v>1.3163763820451688</v>
      </c>
      <c r="W210" s="60">
        <v>1.3169254885153567</v>
      </c>
      <c r="X210" s="60">
        <v>1.317470920716231</v>
      </c>
      <c r="Y210" s="60">
        <v>1.3180126771274883</v>
      </c>
      <c r="Z210" s="60">
        <v>1.3185507585979743</v>
      </c>
      <c r="AA210" s="60">
        <v>1.3190851682384808</v>
      </c>
      <c r="AB210" s="60">
        <v>1.31961591131684</v>
      </c>
      <c r="AC210" s="60">
        <v>1.3201429951553487</v>
      </c>
      <c r="AD210" s="60">
        <v>1.3206664290305656</v>
      </c>
      <c r="AE210" s="60">
        <v>1.3211862240755243</v>
      </c>
      <c r="AF210" s="60">
        <v>1.3217023931843832</v>
      </c>
      <c r="AG210" s="60">
        <v>1.3222149509195389</v>
      </c>
      <c r="AH210" s="60">
        <v>1.3227239134212234</v>
      </c>
      <c r="AI210" s="60">
        <f t="shared" si="7"/>
        <v>1.3227239134212234</v>
      </c>
      <c r="AJ210" s="13">
        <v>1120</v>
      </c>
      <c r="AK210" s="14"/>
      <c r="AL210" s="14"/>
    </row>
    <row r="211" spans="1:38" ht="11.25" customHeight="1" x14ac:dyDescent="0.25">
      <c r="A211" s="60">
        <f t="shared" si="6"/>
        <v>1.3068913920609389</v>
      </c>
      <c r="B211" s="60">
        <v>1.3068913920609389</v>
      </c>
      <c r="C211" s="60">
        <v>1.3069003898741169</v>
      </c>
      <c r="D211" s="60">
        <v>1.3069153846811832</v>
      </c>
      <c r="E211" s="60">
        <v>1.3069333758938997</v>
      </c>
      <c r="F211" s="60">
        <v>1.3069453684859973</v>
      </c>
      <c r="G211" s="60">
        <v>1.3070053128315866</v>
      </c>
      <c r="H211" s="60">
        <v>1.3070652261077351</v>
      </c>
      <c r="I211" s="60">
        <v>1.3071251082539692</v>
      </c>
      <c r="J211" s="60">
        <v>1.3071550376345928</v>
      </c>
      <c r="K211" s="60">
        <v>1.3071849592102629</v>
      </c>
      <c r="L211" s="60">
        <v>1.3074837440729195</v>
      </c>
      <c r="M211" s="60">
        <v>1.3080789412999383</v>
      </c>
      <c r="N211" s="60">
        <v>1.3092596589309289</v>
      </c>
      <c r="O211" s="60">
        <v>1.3115811082098119</v>
      </c>
      <c r="P211" s="60">
        <v>1.3127212484278157</v>
      </c>
      <c r="Q211" s="60">
        <v>1.3132860715152586</v>
      </c>
      <c r="R211" s="60">
        <v>1.3138473671157016</v>
      </c>
      <c r="S211" s="60">
        <v>1.3144051170555047</v>
      </c>
      <c r="T211" s="60">
        <v>1.3149593061624854</v>
      </c>
      <c r="U211" s="60">
        <v>1.3155099221486526</v>
      </c>
      <c r="V211" s="60">
        <v>1.3160569554948078</v>
      </c>
      <c r="W211" s="60">
        <v>1.3166003993370916</v>
      </c>
      <c r="X211" s="60">
        <v>1.3171402493555486</v>
      </c>
      <c r="Y211" s="60">
        <v>1.3176765036647788</v>
      </c>
      <c r="Z211" s="60">
        <v>1.3182091627067327</v>
      </c>
      <c r="AA211" s="60">
        <v>1.3187382291457115</v>
      </c>
      <c r="AB211" s="60">
        <v>1.3192637077656142</v>
      </c>
      <c r="AC211" s="60">
        <v>1.3197856053694861</v>
      </c>
      <c r="AD211" s="60">
        <v>1.3203039306813933</v>
      </c>
      <c r="AE211" s="60">
        <v>1.3208186942506726</v>
      </c>
      <c r="AF211" s="60">
        <v>1.3213299083585668</v>
      </c>
      <c r="AG211" s="60">
        <v>1.3218375869272809</v>
      </c>
      <c r="AH211" s="60">
        <v>1.3223417454314699</v>
      </c>
      <c r="AI211" s="60">
        <f t="shared" si="7"/>
        <v>1.3223417454314699</v>
      </c>
      <c r="AJ211" s="13">
        <v>1125</v>
      </c>
      <c r="AK211" s="14"/>
      <c r="AL211" s="14"/>
    </row>
    <row r="212" spans="1:38" ht="11.25" customHeight="1" x14ac:dyDescent="0.25">
      <c r="A212" s="60">
        <f t="shared" si="6"/>
        <v>1.3066754774616509</v>
      </c>
      <c r="B212" s="60">
        <v>1.3066754774616509</v>
      </c>
      <c r="C212" s="60">
        <v>1.3066843720422205</v>
      </c>
      <c r="D212" s="60">
        <v>1.3066991948331519</v>
      </c>
      <c r="E212" s="60">
        <v>1.306716979689571</v>
      </c>
      <c r="F212" s="60">
        <v>1.3067288347490331</v>
      </c>
      <c r="G212" s="60">
        <v>1.3067880918904156</v>
      </c>
      <c r="H212" s="60">
        <v>1.3068473187278256</v>
      </c>
      <c r="I212" s="60">
        <v>1.3069065152014891</v>
      </c>
      <c r="J212" s="60">
        <v>1.306936102033357</v>
      </c>
      <c r="K212" s="60">
        <v>1.306965681252072</v>
      </c>
      <c r="L212" s="60">
        <v>1.3072610531127391</v>
      </c>
      <c r="M212" s="60">
        <v>1.3078494822255993</v>
      </c>
      <c r="N212" s="60">
        <v>1.3090168971924281</v>
      </c>
      <c r="O212" s="60">
        <v>1.3113126875440277</v>
      </c>
      <c r="P212" s="60">
        <v>1.3124404759180694</v>
      </c>
      <c r="Q212" s="60">
        <v>1.3129992429390673</v>
      </c>
      <c r="R212" s="60">
        <v>1.3135545623857854</v>
      </c>
      <c r="S212" s="60">
        <v>1.3141064160202673</v>
      </c>
      <c r="T212" s="60">
        <v>1.3146547885518909</v>
      </c>
      <c r="U212" s="60">
        <v>1.3151996675223774</v>
      </c>
      <c r="V212" s="60">
        <v>1.3157410431926573</v>
      </c>
      <c r="W212" s="60">
        <v>1.316278908431664</v>
      </c>
      <c r="X212" s="60">
        <v>1.3168132586071228</v>
      </c>
      <c r="Y212" s="60">
        <v>1.317344091478402</v>
      </c>
      <c r="Z212" s="60">
        <v>1.3178714070914794</v>
      </c>
      <c r="AA212" s="60">
        <v>1.3183952076760772</v>
      </c>
      <c r="AB212" s="60">
        <v>1.3189154975450155</v>
      </c>
      <c r="AC212" s="60">
        <v>1.3194322829958196</v>
      </c>
      <c r="AD212" s="60">
        <v>1.3199455722146254</v>
      </c>
      <c r="AE212" s="60">
        <v>1.3204553751824002</v>
      </c>
      <c r="AF212" s="60">
        <v>1.3209617035835202</v>
      </c>
      <c r="AG212" s="60">
        <v>1.3214645707167101</v>
      </c>
      <c r="AH212" s="60">
        <v>1.3219639914083723</v>
      </c>
      <c r="AI212" s="60">
        <f t="shared" si="7"/>
        <v>1.3219639914083723</v>
      </c>
      <c r="AJ212" s="13">
        <v>1130</v>
      </c>
      <c r="AK212" s="14"/>
      <c r="AL212" s="14"/>
    </row>
    <row r="213" spans="1:38" ht="11.25" customHeight="1" x14ac:dyDescent="0.25">
      <c r="A213" s="60">
        <f t="shared" si="6"/>
        <v>1.3064614684293467</v>
      </c>
      <c r="B213" s="60">
        <v>1.3064614684293467</v>
      </c>
      <c r="C213" s="60">
        <v>1.3064702614233805</v>
      </c>
      <c r="D213" s="60">
        <v>1.3064849149408311</v>
      </c>
      <c r="E213" s="60">
        <v>1.3065024967308156</v>
      </c>
      <c r="F213" s="60">
        <v>1.3065142164500838</v>
      </c>
      <c r="G213" s="60">
        <v>1.306572797339848</v>
      </c>
      <c r="H213" s="60">
        <v>1.306631348675066</v>
      </c>
      <c r="I213" s="60">
        <v>1.3066898703966481</v>
      </c>
      <c r="J213" s="60">
        <v>1.3067191201339783</v>
      </c>
      <c r="K213" s="60">
        <v>1.3067483624459362</v>
      </c>
      <c r="L213" s="60">
        <v>1.3070403755850426</v>
      </c>
      <c r="M213" s="60">
        <v>1.3076221439304254</v>
      </c>
      <c r="N213" s="60">
        <v>1.3087764660236312</v>
      </c>
      <c r="O213" s="60">
        <v>1.3110469971419942</v>
      </c>
      <c r="P213" s="60">
        <v>1.3121626234791381</v>
      </c>
      <c r="Q213" s="60">
        <v>1.3127154268188008</v>
      </c>
      <c r="R213" s="60">
        <v>1.3132648608187707</v>
      </c>
      <c r="S213" s="60">
        <v>1.313810907179159</v>
      </c>
      <c r="T213" s="60">
        <v>1.3143535504946393</v>
      </c>
      <c r="U213" s="60">
        <v>1.3148927781416786</v>
      </c>
      <c r="V213" s="60">
        <v>1.3154285801676113</v>
      </c>
      <c r="W213" s="60">
        <v>1.315960949181624</v>
      </c>
      <c r="X213" s="60">
        <v>1.3164898802477136</v>
      </c>
      <c r="Y213" s="60">
        <v>1.3170153707796808</v>
      </c>
      <c r="Z213" s="60">
        <v>1.3175374204382098</v>
      </c>
      <c r="AA213" s="60">
        <v>1.3180560310300886</v>
      </c>
      <c r="AB213" s="60">
        <v>1.3185712064096053</v>
      </c>
      <c r="AC213" s="60">
        <v>1.3190829523821694</v>
      </c>
      <c r="AD213" s="60">
        <v>1.3195912766101803</v>
      </c>
      <c r="AE213" s="60">
        <v>1.3200961885211819</v>
      </c>
      <c r="AF213" s="60">
        <v>1.3205976992183186</v>
      </c>
      <c r="AG213" s="60">
        <v>1.3210958213931139</v>
      </c>
      <c r="AH213" s="60">
        <v>1.3215905692405852</v>
      </c>
      <c r="AI213" s="60">
        <f t="shared" si="7"/>
        <v>1.3215905692405852</v>
      </c>
      <c r="AJ213" s="13">
        <v>1135</v>
      </c>
      <c r="AK213" s="14"/>
      <c r="AL213" s="14"/>
    </row>
    <row r="214" spans="1:38" ht="11.25" customHeight="1" x14ac:dyDescent="0.25">
      <c r="A214" s="60">
        <f t="shared" si="6"/>
        <v>1.3062493323323379</v>
      </c>
      <c r="B214" s="60">
        <v>1.3062493323323379</v>
      </c>
      <c r="C214" s="60">
        <v>1.3062580253521991</v>
      </c>
      <c r="D214" s="60">
        <v>1.3062725122826568</v>
      </c>
      <c r="E214" s="60">
        <v>1.3062898942287016</v>
      </c>
      <c r="F214" s="60">
        <v>1.3063014807553219</v>
      </c>
      <c r="G214" s="60">
        <v>1.3063593961217992</v>
      </c>
      <c r="H214" s="60">
        <v>1.3064172826674771</v>
      </c>
      <c r="I214" s="60">
        <v>1.3064751403339343</v>
      </c>
      <c r="J214" s="60">
        <v>1.3065040583193146</v>
      </c>
      <c r="K214" s="60">
        <v>1.3065329690631735</v>
      </c>
      <c r="L214" s="60">
        <v>1.3068216766507619</v>
      </c>
      <c r="M214" s="60">
        <v>1.3073968893821293</v>
      </c>
      <c r="N214" s="60">
        <v>1.3085383241179063</v>
      </c>
      <c r="O214" s="60">
        <v>1.3107839876088856</v>
      </c>
      <c r="P214" s="60">
        <v>1.3118876379073552</v>
      </c>
      <c r="Q214" s="60">
        <v>1.3124345681058753</v>
      </c>
      <c r="R214" s="60">
        <v>1.3129782055609591</v>
      </c>
      <c r="S214" s="60">
        <v>1.3135185319132099</v>
      </c>
      <c r="T214" s="60">
        <v>1.3140555316463292</v>
      </c>
      <c r="U214" s="60">
        <v>1.3145891919765165</v>
      </c>
      <c r="V214" s="60">
        <v>1.3151195027436982</v>
      </c>
      <c r="W214" s="60">
        <v>1.3156464563046484</v>
      </c>
      <c r="X214" s="60">
        <v>1.3161700474280613</v>
      </c>
      <c r="Y214" s="60">
        <v>1.3166902731916337</v>
      </c>
      <c r="Z214" s="60">
        <v>1.3172071328812045</v>
      </c>
      <c r="AA214" s="60">
        <v>1.3177206278920015</v>
      </c>
      <c r="AB214" s="60">
        <v>1.318230761632035</v>
      </c>
      <c r="AC214" s="60">
        <v>1.318737539427671</v>
      </c>
      <c r="AD214" s="60">
        <v>1.3192409684314224</v>
      </c>
      <c r="AE214" s="60">
        <v>1.3197410575319743</v>
      </c>
      <c r="AF214" s="60">
        <v>1.3202378172664753</v>
      </c>
      <c r="AG214" s="60">
        <v>1.3207312597351029</v>
      </c>
      <c r="AH214" s="60">
        <v>1.3212213985179211</v>
      </c>
      <c r="AI214" s="60">
        <f t="shared" si="7"/>
        <v>1.3212213985179211</v>
      </c>
      <c r="AJ214" s="13">
        <v>1140</v>
      </c>
      <c r="AK214" s="14"/>
      <c r="AL214" s="14"/>
    </row>
    <row r="215" spans="1:38" ht="11.25" customHeight="1" x14ac:dyDescent="0.25">
      <c r="A215" s="60">
        <f t="shared" si="6"/>
        <v>1.3060390370385204</v>
      </c>
      <c r="B215" s="60">
        <v>1.3060390370385204</v>
      </c>
      <c r="C215" s="60">
        <v>1.3060476316636993</v>
      </c>
      <c r="D215" s="60">
        <v>1.3060619546388839</v>
      </c>
      <c r="E215" s="60">
        <v>1.3060791398977891</v>
      </c>
      <c r="F215" s="60">
        <v>1.3060905953355302</v>
      </c>
      <c r="G215" s="60">
        <v>1.306147855688373</v>
      </c>
      <c r="H215" s="60">
        <v>1.3062050879388358</v>
      </c>
      <c r="I215" s="60">
        <v>1.3062622920291511</v>
      </c>
      <c r="J215" s="60">
        <v>1.3062908834963149</v>
      </c>
      <c r="K215" s="60">
        <v>1.3063194679019678</v>
      </c>
      <c r="L215" s="60">
        <v>1.3066049220253133</v>
      </c>
      <c r="M215" s="60">
        <v>1.3071736821574622</v>
      </c>
      <c r="N215" s="60">
        <v>1.3083024308839379</v>
      </c>
      <c r="O215" s="60">
        <v>1.3105236104658093</v>
      </c>
      <c r="P215" s="60">
        <v>1.3116154670090407</v>
      </c>
      <c r="Q215" s="60">
        <v>1.3121566128071145</v>
      </c>
      <c r="R215" s="60">
        <v>1.312694540858393</v>
      </c>
      <c r="S215" s="60">
        <v>1.3132292327464323</v>
      </c>
      <c r="T215" s="60">
        <v>1.3137606728476856</v>
      </c>
      <c r="U215" s="60">
        <v>1.3142888482230224</v>
      </c>
      <c r="V215" s="60">
        <v>1.3148137485110591</v>
      </c>
      <c r="W215" s="60">
        <v>1.3153353658233655</v>
      </c>
      <c r="X215" s="60">
        <v>1.3158536946415962</v>
      </c>
      <c r="Y215" s="60">
        <v>1.3163687317166095</v>
      </c>
      <c r="Z215" s="60">
        <v>1.3168804759696153</v>
      </c>
      <c r="AA215" s="60">
        <v>1.317388928395399</v>
      </c>
      <c r="AB215" s="60">
        <v>1.3178940919676529</v>
      </c>
      <c r="AC215" s="60">
        <v>1.3183959715464597</v>
      </c>
      <c r="AD215" s="60">
        <v>1.3188945737879469</v>
      </c>
      <c r="AE215" s="60">
        <v>1.319389907056141</v>
      </c>
      <c r="AF215" s="60">
        <v>1.3198819813370415</v>
      </c>
      <c r="AG215" s="60">
        <v>1.320370808154927</v>
      </c>
      <c r="AH215" s="60">
        <v>1.3208564004909076</v>
      </c>
      <c r="AI215" s="60">
        <f t="shared" si="7"/>
        <v>1.3208564004909076</v>
      </c>
      <c r="AJ215" s="13">
        <v>1145</v>
      </c>
      <c r="AK215" s="14"/>
      <c r="AL215" s="14"/>
    </row>
    <row r="216" spans="1:38" ht="11.25" customHeight="1" x14ac:dyDescent="0.25">
      <c r="A216" s="60">
        <f t="shared" si="6"/>
        <v>1.3058305509094599</v>
      </c>
      <c r="B216" s="60">
        <v>1.3058305509094599</v>
      </c>
      <c r="C216" s="60">
        <v>1.305839048687389</v>
      </c>
      <c r="D216" s="60">
        <v>1.3058532102856073</v>
      </c>
      <c r="E216" s="60">
        <v>1.3058702019501076</v>
      </c>
      <c r="F216" s="60">
        <v>1.3058815283600438</v>
      </c>
      <c r="G216" s="60">
        <v>1.3059381439956399</v>
      </c>
      <c r="H216" s="60">
        <v>1.3059947322322933</v>
      </c>
      <c r="I216" s="60">
        <v>1.3060512930128747</v>
      </c>
      <c r="J216" s="60">
        <v>1.3060795630893978</v>
      </c>
      <c r="K216" s="60">
        <v>1.3061078262806645</v>
      </c>
      <c r="L216" s="60">
        <v>1.3063900779710911</v>
      </c>
      <c r="M216" s="60">
        <v>1.306952486433119</v>
      </c>
      <c r="N216" s="60">
        <v>1.3080687464335308</v>
      </c>
      <c r="O216" s="60">
        <v>1.3102658181317488</v>
      </c>
      <c r="P216" s="60">
        <v>1.3113460595797073</v>
      </c>
      <c r="Q216" s="60">
        <v>1.311881507962628</v>
      </c>
      <c r="R216" s="60">
        <v>1.3124138120334476</v>
      </c>
      <c r="S216" s="60">
        <v>1.3129429533211596</v>
      </c>
      <c r="T216" s="60">
        <v>1.313468916098679</v>
      </c>
      <c r="U216" s="60">
        <v>1.3139916872764315</v>
      </c>
      <c r="V216" s="60">
        <v>1.3145112562977317</v>
      </c>
      <c r="W216" s="60">
        <v>1.3150276150360245</v>
      </c>
      <c r="X216" s="60">
        <v>1.3155407576940263</v>
      </c>
      <c r="Y216" s="60">
        <v>1.3160506807048296</v>
      </c>
      <c r="Z216" s="60">
        <v>1.3165573826350063</v>
      </c>
      <c r="AA216" s="60">
        <v>1.3170608640897572</v>
      </c>
      <c r="AB216" s="60">
        <v>1.3175611276201376</v>
      </c>
      <c r="AC216" s="60">
        <v>1.3180581776323939</v>
      </c>
      <c r="AD216" s="60">
        <v>1.3185520202994374</v>
      </c>
      <c r="AE216" s="60">
        <v>1.3190426634744783</v>
      </c>
      <c r="AF216" s="60">
        <v>1.3195301166068349</v>
      </c>
      <c r="AG216" s="60">
        <v>1.3200143906599349</v>
      </c>
      <c r="AH216" s="60">
        <v>1.3204954980315178</v>
      </c>
      <c r="AI216" s="60">
        <f t="shared" si="7"/>
        <v>1.3204954980315178</v>
      </c>
      <c r="AJ216" s="13">
        <v>1150</v>
      </c>
      <c r="AK216" s="14"/>
      <c r="AL216" s="14"/>
    </row>
    <row r="217" spans="1:38" ht="11.25" customHeight="1" x14ac:dyDescent="0.25">
      <c r="A217" s="60">
        <f t="shared" si="6"/>
        <v>1.3056238427945144</v>
      </c>
      <c r="B217" s="60">
        <v>1.3056238427945144</v>
      </c>
      <c r="C217" s="60">
        <v>1.3056322452413598</v>
      </c>
      <c r="D217" s="60">
        <v>1.3056462479888227</v>
      </c>
      <c r="E217" s="60">
        <v>1.3056630490891645</v>
      </c>
      <c r="F217" s="60">
        <v>1.3056742484907287</v>
      </c>
      <c r="G217" s="60">
        <v>1.3057302294974615</v>
      </c>
      <c r="H217" s="60">
        <v>1.3057861837940414</v>
      </c>
      <c r="I217" s="60">
        <v>1.3058421113239633</v>
      </c>
      <c r="J217" s="60">
        <v>1.3058700650338806</v>
      </c>
      <c r="K217" s="60">
        <v>1.3058980120311268</v>
      </c>
      <c r="L217" s="60">
        <v>1.306177111290046</v>
      </c>
      <c r="M217" s="60">
        <v>1.3067332669767793</v>
      </c>
      <c r="N217" s="60">
        <v>1.3078372315696574</v>
      </c>
      <c r="O217" s="60">
        <v>1.3100105639059507</v>
      </c>
      <c r="P217" s="60">
        <v>1.3110793653837891</v>
      </c>
      <c r="Q217" s="60">
        <v>1.3116092016242695</v>
      </c>
      <c r="R217" s="60">
        <v>1.3121359654620395</v>
      </c>
      <c r="S217" s="60">
        <v>1.3126596383740397</v>
      </c>
      <c r="T217" s="60">
        <v>1.3131802045333416</v>
      </c>
      <c r="U217" s="60">
        <v>1.3136976507047549</v>
      </c>
      <c r="V217" s="60">
        <v>1.3142119661422087</v>
      </c>
      <c r="W217" s="60">
        <v>1.3147231424879764</v>
      </c>
      <c r="X217" s="60">
        <v>1.3152311736737774</v>
      </c>
      <c r="Y217" s="60">
        <v>1.3157360558238187</v>
      </c>
      <c r="Z217" s="60">
        <v>1.3162377871598039</v>
      </c>
      <c r="AA217" s="60">
        <v>1.3167363679079582</v>
      </c>
      <c r="AB217" s="60">
        <v>1.3172318002081014</v>
      </c>
      <c r="AC217" s="60">
        <v>1.3177240880247894</v>
      </c>
      <c r="AD217" s="60">
        <v>1.3182132370605613</v>
      </c>
      <c r="AE217" s="60">
        <v>1.3186992546713039</v>
      </c>
      <c r="AF217" s="60">
        <v>1.3191821497837548</v>
      </c>
      <c r="AG217" s="60">
        <v>1.3196619328151515</v>
      </c>
      <c r="AH217" s="60">
        <v>1.3201386155950419</v>
      </c>
      <c r="AI217" s="60">
        <f t="shared" si="7"/>
        <v>1.3201386155950419</v>
      </c>
      <c r="AJ217" s="13">
        <v>1155</v>
      </c>
      <c r="AK217" s="14"/>
      <c r="AL217" s="14"/>
    </row>
    <row r="218" spans="1:38" ht="11.25" customHeight="1" x14ac:dyDescent="0.25">
      <c r="A218" s="60">
        <f t="shared" si="6"/>
        <v>1.3054188820249915</v>
      </c>
      <c r="B218" s="60">
        <v>1.3054188820249915</v>
      </c>
      <c r="C218" s="60">
        <v>1.3054271906264183</v>
      </c>
      <c r="D218" s="60">
        <v>1.3054410369985214</v>
      </c>
      <c r="E218" s="60">
        <v>1.3054576505039983</v>
      </c>
      <c r="F218" s="60">
        <v>1.3054687248760048</v>
      </c>
      <c r="G218" s="60">
        <v>1.3055240811393591</v>
      </c>
      <c r="H218" s="60">
        <v>1.30557941136703</v>
      </c>
      <c r="I218" s="60">
        <v>1.3056347155031252</v>
      </c>
      <c r="J218" s="60">
        <v>1.3056623577694733</v>
      </c>
      <c r="K218" s="60">
        <v>1.305689993492148</v>
      </c>
      <c r="L218" s="60">
        <v>1.3059659893163471</v>
      </c>
      <c r="M218" s="60">
        <v>1.3065159891382885</v>
      </c>
      <c r="N218" s="60">
        <v>1.3076078477747402</v>
      </c>
      <c r="O218" s="60">
        <v>1.3097578019507339</v>
      </c>
      <c r="P218" s="60">
        <v>1.3108153351348928</v>
      </c>
      <c r="Q218" s="60">
        <v>1.3113396428346458</v>
      </c>
      <c r="R218" s="60">
        <v>1.3118609485514361</v>
      </c>
      <c r="S218" s="60">
        <v>1.3123792337126756</v>
      </c>
      <c r="T218" s="60">
        <v>1.3128944823952651</v>
      </c>
      <c r="U218" s="60">
        <v>1.3134066812231677</v>
      </c>
      <c r="V218" s="60">
        <v>1.3139158192667522</v>
      </c>
      <c r="W218" s="60">
        <v>1.3144218879439455</v>
      </c>
      <c r="X218" s="60">
        <v>1.3149248809232559</v>
      </c>
      <c r="Y218" s="60">
        <v>1.3154247940286927</v>
      </c>
      <c r="Z218" s="60">
        <v>1.3159216251466428</v>
      </c>
      <c r="AA218" s="60">
        <v>1.3164153741347233</v>
      </c>
      <c r="AB218" s="60">
        <v>1.3169060427326467</v>
      </c>
      <c r="AC218" s="60">
        <v>1.3173936344751302</v>
      </c>
      <c r="AD218" s="60">
        <v>1.3178781546068663</v>
      </c>
      <c r="AE218" s="60">
        <v>1.3183596099995742</v>
      </c>
      <c r="AF218" s="60">
        <v>1.3188380090711511</v>
      </c>
      <c r="AG218" s="60">
        <v>1.3193133617069286</v>
      </c>
      <c r="AH218" s="60">
        <v>1.3197856791830478</v>
      </c>
      <c r="AI218" s="60">
        <f t="shared" si="7"/>
        <v>1.3197856791830478</v>
      </c>
      <c r="AJ218" s="13">
        <v>1160</v>
      </c>
      <c r="AK218" s="14"/>
      <c r="AL218" s="14"/>
    </row>
    <row r="219" spans="1:38" ht="11.25" customHeight="1" x14ac:dyDescent="0.25">
      <c r="A219" s="60">
        <f t="shared" si="6"/>
        <v>1.305215638408338</v>
      </c>
      <c r="B219" s="60">
        <v>1.305215638408338</v>
      </c>
      <c r="C219" s="60">
        <v>1.3052238546202588</v>
      </c>
      <c r="D219" s="60">
        <v>1.3052375470428217</v>
      </c>
      <c r="E219" s="60">
        <v>1.3052539758632655</v>
      </c>
      <c r="F219" s="60">
        <v>1.3052649271449024</v>
      </c>
      <c r="G219" s="60">
        <v>1.3053196683524262</v>
      </c>
      <c r="H219" s="60">
        <v>1.3053743841847354</v>
      </c>
      <c r="I219" s="60">
        <v>1.3054290745865376</v>
      </c>
      <c r="J219" s="60">
        <v>1.305456410233826</v>
      </c>
      <c r="K219" s="60">
        <v>1.3054837395029284</v>
      </c>
      <c r="L219" s="60">
        <v>1.3057566799091336</v>
      </c>
      <c r="M219" s="60">
        <v>1.3063006188409687</v>
      </c>
      <c r="N219" s="60">
        <v>1.3073805571991635</v>
      </c>
      <c r="O219" s="60">
        <v>1.3095074872747097</v>
      </c>
      <c r="P219" s="60">
        <v>1.3105539204765393</v>
      </c>
      <c r="Q219" s="60">
        <v>1.3110727816066672</v>
      </c>
      <c r="R219" s="60">
        <v>1.3115887097186392</v>
      </c>
      <c r="S219" s="60">
        <v>1.3121016861928745</v>
      </c>
      <c r="T219" s="60">
        <v>1.3126116950137474</v>
      </c>
      <c r="U219" s="60">
        <v>1.3131187226690881</v>
      </c>
      <c r="V219" s="60">
        <v>1.3136227580514319</v>
      </c>
      <c r="W219" s="60">
        <v>1.3141237923610627</v>
      </c>
      <c r="X219" s="60">
        <v>1.3146218190109005</v>
      </c>
      <c r="Y219" s="60">
        <v>1.3151168335332657</v>
      </c>
      <c r="Z219" s="60">
        <v>1.3156088334885647</v>
      </c>
      <c r="AA219" s="60">
        <v>1.3160978183759291</v>
      </c>
      <c r="AB219" s="60">
        <v>1.3165837895458334</v>
      </c>
      <c r="AC219" s="60">
        <v>1.3170667501147182</v>
      </c>
      <c r="AD219" s="60">
        <v>1.3175467048816447</v>
      </c>
      <c r="AE219" s="60">
        <v>1.3180236602469901</v>
      </c>
      <c r="AF219" s="60">
        <v>1.3184976241332038</v>
      </c>
      <c r="AG219" s="60">
        <v>1.3189686059076304</v>
      </c>
      <c r="AH219" s="60">
        <v>1.3194366163074072</v>
      </c>
      <c r="AI219" s="60">
        <f t="shared" si="7"/>
        <v>1.3194366163074072</v>
      </c>
      <c r="AJ219" s="13">
        <v>1165</v>
      </c>
      <c r="AK219" s="14"/>
      <c r="AL219" s="14"/>
    </row>
    <row r="220" spans="1:38" ht="11.25" customHeight="1" x14ac:dyDescent="0.25">
      <c r="A220" s="60">
        <f t="shared" si="6"/>
        <v>1.3050140822223741</v>
      </c>
      <c r="B220" s="60">
        <v>1.3050140822223741</v>
      </c>
      <c r="C220" s="60">
        <v>1.30502220747167</v>
      </c>
      <c r="D220" s="60">
        <v>1.3050357483221466</v>
      </c>
      <c r="E220" s="60">
        <v>1.305051995309374</v>
      </c>
      <c r="F220" s="60">
        <v>1.3050628254011694</v>
      </c>
      <c r="G220" s="60">
        <v>1.3051169610472904</v>
      </c>
      <c r="H220" s="60">
        <v>1.3051710719649792</v>
      </c>
      <c r="I220" s="60">
        <v>1.3052251580995282</v>
      </c>
      <c r="J220" s="60">
        <v>1.3052521918561346</v>
      </c>
      <c r="K220" s="60">
        <v>1.3052792193966143</v>
      </c>
      <c r="L220" s="60">
        <v>1.3055491514453492</v>
      </c>
      <c r="M220" s="60">
        <v>1.3060871225730679</v>
      </c>
      <c r="N220" s="60">
        <v>1.3071553226500128</v>
      </c>
      <c r="O220" s="60">
        <v>1.3092595757164023</v>
      </c>
      <c r="P220" s="60">
        <v>1.3102950739633896</v>
      </c>
      <c r="Q220" s="60">
        <v>1.31080856890362</v>
      </c>
      <c r="R220" s="60">
        <v>1.3113191983693326</v>
      </c>
      <c r="S220" s="60">
        <v>1.3118269436964973</v>
      </c>
      <c r="T220" s="60">
        <v>1.3123317887805797</v>
      </c>
      <c r="U220" s="60">
        <v>1.3128337199779245</v>
      </c>
      <c r="V220" s="60">
        <v>1.3133327260088696</v>
      </c>
      <c r="W220" s="60">
        <v>1.3138287978626306</v>
      </c>
      <c r="X220" s="60">
        <v>1.3143219287040104</v>
      </c>
      <c r="Y220" s="60">
        <v>1.3148121137819622</v>
      </c>
      <c r="Z220" s="60">
        <v>1.3152993503400408</v>
      </c>
      <c r="AA220" s="60">
        <v>1.315783637528783</v>
      </c>
      <c r="AB220" s="60">
        <v>1.3162649763200305</v>
      </c>
      <c r="AC220" s="60">
        <v>1.3167433694232316</v>
      </c>
      <c r="AD220" s="60">
        <v>1.3172188212037295</v>
      </c>
      <c r="AE220" s="60">
        <v>1.3176913376030635</v>
      </c>
      <c r="AF220" s="60">
        <v>1.318160926061289</v>
      </c>
      <c r="AG220" s="60">
        <v>1.3186275954413245</v>
      </c>
      <c r="AH220" s="60">
        <v>1.319091355955335</v>
      </c>
      <c r="AI220" s="60">
        <f t="shared" si="7"/>
        <v>1.319091355955335</v>
      </c>
      <c r="AJ220" s="13">
        <v>1170</v>
      </c>
      <c r="AK220" s="14"/>
      <c r="AL220" s="14"/>
    </row>
    <row r="221" spans="1:38" ht="11.25" customHeight="1" x14ac:dyDescent="0.25">
      <c r="A221" s="60">
        <f t="shared" si="6"/>
        <v>1.3048141842095626</v>
      </c>
      <c r="B221" s="60">
        <v>1.3048141842095626</v>
      </c>
      <c r="C221" s="60">
        <v>1.3048222198947901</v>
      </c>
      <c r="D221" s="60">
        <v>1.3048356115034399</v>
      </c>
      <c r="E221" s="60">
        <v>1.3048516794526581</v>
      </c>
      <c r="F221" s="60">
        <v>1.3048623902174146</v>
      </c>
      <c r="G221" s="60">
        <v>1.3049159296081263</v>
      </c>
      <c r="H221" s="60">
        <v>1.3049694449038027</v>
      </c>
      <c r="I221" s="60">
        <v>1.3050229360503109</v>
      </c>
      <c r="J221" s="60">
        <v>1.3050496725508145</v>
      </c>
      <c r="K221" s="60">
        <v>1.3050764029938964</v>
      </c>
      <c r="L221" s="60">
        <v>1.3053433728126629</v>
      </c>
      <c r="M221" s="60">
        <v>1.3058754673793378</v>
      </c>
      <c r="N221" s="60">
        <v>1.3069321075800304</v>
      </c>
      <c r="O221" s="60">
        <v>1.3090140239282619</v>
      </c>
      <c r="P221" s="60">
        <v>1.3100387490429388</v>
      </c>
      <c r="Q221" s="60">
        <v>1.310546956619741</v>
      </c>
      <c r="R221" s="60">
        <v>1.3110523648773691</v>
      </c>
      <c r="S221" s="60">
        <v>1.3115549551098875</v>
      </c>
      <c r="T221" s="60">
        <v>1.3120547111274401</v>
      </c>
      <c r="U221" s="60">
        <v>1.3125516191594711</v>
      </c>
      <c r="V221" s="60">
        <v>1.3130456677596587</v>
      </c>
      <c r="W221" s="60">
        <v>1.3135368477126026</v>
      </c>
      <c r="X221" s="60">
        <v>1.314025151942307</v>
      </c>
      <c r="Y221" s="60">
        <v>1.3145105754224979</v>
      </c>
      <c r="Z221" s="60">
        <v>1.314993115088803</v>
      </c>
      <c r="AA221" s="60">
        <v>1.3154727697528226</v>
      </c>
      <c r="AB221" s="60">
        <v>1.3159495400181223</v>
      </c>
      <c r="AC221" s="60">
        <v>1.3164234281981644</v>
      </c>
      <c r="AD221" s="60">
        <v>1.3168944382361953</v>
      </c>
      <c r="AE221" s="60">
        <v>1.3173625756271083</v>
      </c>
      <c r="AF221" s="60">
        <v>1.3178278473412868</v>
      </c>
      <c r="AG221" s="60">
        <v>1.3182902617504384</v>
      </c>
      <c r="AH221" s="60">
        <v>1.3187498285554267</v>
      </c>
      <c r="AI221" s="60">
        <f t="shared" si="7"/>
        <v>1.3187498285554267</v>
      </c>
      <c r="AJ221" s="13">
        <v>1175</v>
      </c>
      <c r="AK221" s="14"/>
      <c r="AL221" s="14"/>
    </row>
    <row r="222" spans="1:38" ht="11.25" customHeight="1" x14ac:dyDescent="0.25">
      <c r="A222" s="60">
        <f t="shared" si="6"/>
        <v>1.3046159155713237</v>
      </c>
      <c r="B222" s="60">
        <v>1.3046159155713237</v>
      </c>
      <c r="C222" s="60">
        <v>1.3046238630633973</v>
      </c>
      <c r="D222" s="60">
        <v>1.3046371077144232</v>
      </c>
      <c r="E222" s="60">
        <v>1.3046529993655991</v>
      </c>
      <c r="F222" s="60">
        <v>1.3046635926293075</v>
      </c>
      <c r="G222" s="60">
        <v>1.3047165448867144</v>
      </c>
      <c r="H222" s="60">
        <v>1.3047694736693951</v>
      </c>
      <c r="I222" s="60">
        <v>1.3048223789237814</v>
      </c>
      <c r="J222" s="60">
        <v>1.3048488227112252</v>
      </c>
      <c r="K222" s="60">
        <v>1.304875260596674</v>
      </c>
      <c r="L222" s="60">
        <v>1.3051393134024756</v>
      </c>
      <c r="M222" s="60">
        <v>1.3056656208527371</v>
      </c>
      <c r="N222" s="60">
        <v>1.3067108760767898</v>
      </c>
      <c r="O222" s="60">
        <v>1.3087707893610461</v>
      </c>
      <c r="P222" s="60">
        <v>1.3097849000376616</v>
      </c>
      <c r="Q222" s="60">
        <v>1.3102878975612842</v>
      </c>
      <c r="R222" s="60">
        <v>1.3107881605647833</v>
      </c>
      <c r="S222" s="60">
        <v>1.3112856703028593</v>
      </c>
      <c r="T222" s="60">
        <v>1.3117804105038864</v>
      </c>
      <c r="U222" s="60">
        <v>1.3122723672749281</v>
      </c>
      <c r="V222" s="60">
        <v>1.3127615290084476</v>
      </c>
      <c r="W222" s="60">
        <v>1.3132478862907526</v>
      </c>
      <c r="X222" s="60">
        <v>1.313731431812218</v>
      </c>
      <c r="Y222" s="60">
        <v>1.3142121602793073</v>
      </c>
      <c r="Z222" s="60">
        <v>1.3146900683284404</v>
      </c>
      <c r="AA222" s="60">
        <v>1.3151651544417176</v>
      </c>
      <c r="AB222" s="60">
        <v>1.3156374188645363</v>
      </c>
      <c r="AC222" s="60">
        <v>1.3161068635251139</v>
      </c>
      <c r="AD222" s="60">
        <v>1.3165734919559329</v>
      </c>
      <c r="AE222" s="60">
        <v>1.3170373092171268</v>
      </c>
      <c r="AF222" s="60">
        <v>1.3174983218218081</v>
      </c>
      <c r="AG222" s="60">
        <v>1.3179565376633533</v>
      </c>
      <c r="AH222" s="60">
        <v>1.3184119659446438</v>
      </c>
      <c r="AI222" s="60">
        <f t="shared" si="7"/>
        <v>1.3184119659446438</v>
      </c>
      <c r="AJ222" s="13">
        <v>1180</v>
      </c>
      <c r="AK222" s="14"/>
      <c r="AL222" s="14"/>
    </row>
    <row r="223" spans="1:38" ht="11.25" customHeight="1" x14ac:dyDescent="0.25">
      <c r="A223" s="60">
        <f t="shared" si="6"/>
        <v>1.3044192479623884</v>
      </c>
      <c r="B223" s="60">
        <v>1.3044192479623884</v>
      </c>
      <c r="C223" s="60">
        <v>1.3044271086052446</v>
      </c>
      <c r="D223" s="60">
        <v>1.3044402085379025</v>
      </c>
      <c r="E223" s="60">
        <v>1.3044559265770883</v>
      </c>
      <c r="F223" s="60">
        <v>1.3044664041298111</v>
      </c>
      <c r="G223" s="60">
        <v>1.3045187781965508</v>
      </c>
      <c r="H223" s="60">
        <v>1.3045711293960767</v>
      </c>
      <c r="I223" s="60">
        <v>1.3046234576753726</v>
      </c>
      <c r="J223" s="60">
        <v>1.3046496132034657</v>
      </c>
      <c r="K223" s="60">
        <v>1.3046757629817842</v>
      </c>
      <c r="L223" s="60">
        <v>1.30493694310301</v>
      </c>
      <c r="M223" s="60">
        <v>1.3054575511262689</v>
      </c>
      <c r="N223" s="60">
        <v>1.3064915928520748</v>
      </c>
      <c r="O223" s="60">
        <v>1.3085298302485766</v>
      </c>
      <c r="P223" s="60">
        <v>1.3095334821275966</v>
      </c>
      <c r="Q223" s="60">
        <v>1.3100313454280597</v>
      </c>
      <c r="R223" s="60">
        <v>1.3105265376823112</v>
      </c>
      <c r="S223" s="60">
        <v>1.3110190401082253</v>
      </c>
      <c r="T223" s="60">
        <v>1.31150883635592</v>
      </c>
      <c r="U223" s="60">
        <v>1.3119959124145297</v>
      </c>
      <c r="V223" s="60">
        <v>1.312480256520651</v>
      </c>
      <c r="W223" s="60">
        <v>1.3129618590685062</v>
      </c>
      <c r="X223" s="60">
        <v>1.3134407125218546</v>
      </c>
      <c r="Y223" s="60">
        <v>1.3139168113276909</v>
      </c>
      <c r="Z223" s="60">
        <v>1.3143901518317491</v>
      </c>
      <c r="AA223" s="60">
        <v>1.3148607321958445</v>
      </c>
      <c r="AB223" s="60">
        <v>1.3153285523170739</v>
      </c>
      <c r="AC223" s="60">
        <v>1.3157936137488886</v>
      </c>
      <c r="AD223" s="60">
        <v>1.316255919624062</v>
      </c>
      <c r="AE223" s="60">
        <v>1.3167154745795573</v>
      </c>
      <c r="AF223" s="60">
        <v>1.3171722846833049</v>
      </c>
      <c r="AG223" s="60">
        <v>1.3176263573629015</v>
      </c>
      <c r="AH223" s="60">
        <v>1.3180777013362222</v>
      </c>
      <c r="AI223" s="60">
        <f t="shared" si="7"/>
        <v>1.3180777013362222</v>
      </c>
      <c r="AJ223" s="13">
        <v>1185</v>
      </c>
      <c r="AK223" s="14"/>
      <c r="AL223" s="14"/>
    </row>
    <row r="224" spans="1:38" ht="11.25" customHeight="1" x14ac:dyDescent="0.25">
      <c r="A224" s="60">
        <f t="shared" si="6"/>
        <v>1.3042241534851986</v>
      </c>
      <c r="B224" s="60">
        <v>1.3042241534851986</v>
      </c>
      <c r="C224" s="60">
        <v>1.304231928596443</v>
      </c>
      <c r="D224" s="60">
        <v>1.3042448860061167</v>
      </c>
      <c r="E224" s="60">
        <v>1.3042604330667409</v>
      </c>
      <c r="F224" s="60">
        <v>1.3042707966634721</v>
      </c>
      <c r="G224" s="60">
        <v>1.3043226013070128</v>
      </c>
      <c r="H224" s="60">
        <v>1.3043743836783366</v>
      </c>
      <c r="I224" s="60">
        <v>1.3044261437249682</v>
      </c>
      <c r="J224" s="60">
        <v>1.3044520153602235</v>
      </c>
      <c r="K224" s="60">
        <v>1.3044778813947897</v>
      </c>
      <c r="L224" s="60">
        <v>1.3047362322924865</v>
      </c>
      <c r="M224" s="60">
        <v>1.305251226864935</v>
      </c>
      <c r="N224" s="60">
        <v>1.3062742232314659</v>
      </c>
      <c r="O224" s="60">
        <v>1.3082911055928392</v>
      </c>
      <c r="P224" s="60">
        <v>1.3092844513333552</v>
      </c>
      <c r="Q224" s="60">
        <v>1.3097772547954327</v>
      </c>
      <c r="R224" s="60">
        <v>1.3102674493904065</v>
      </c>
      <c r="S224" s="60">
        <v>1.3107550163018504</v>
      </c>
      <c r="T224" s="60">
        <v>1.3112399391051026</v>
      </c>
      <c r="U224" s="60">
        <v>1.3117222036757528</v>
      </c>
      <c r="V224" s="60">
        <v>1.3122017980997842</v>
      </c>
      <c r="W224" s="60">
        <v>1.3126787125854136</v>
      </c>
      <c r="X224" s="60">
        <v>1.3131529393766581</v>
      </c>
      <c r="Y224" s="60">
        <v>1.3136244726686608</v>
      </c>
      <c r="Z224" s="60">
        <v>1.3140933085248003</v>
      </c>
      <c r="AA224" s="60">
        <v>1.3145594447956057</v>
      </c>
      <c r="AB224" s="60">
        <v>1.315022881039505</v>
      </c>
      <c r="AC224" s="60">
        <v>1.3154836184454088</v>
      </c>
      <c r="AD224" s="60">
        <v>1.3159416597571632</v>
      </c>
      <c r="AE224" s="60">
        <v>1.31639700919986</v>
      </c>
      <c r="AF224" s="60">
        <v>1.3168496724080345</v>
      </c>
      <c r="AG224" s="60">
        <v>1.3172996563557331</v>
      </c>
      <c r="AH224" s="60">
        <v>1.3177469692884722</v>
      </c>
      <c r="AI224" s="60">
        <f t="shared" si="7"/>
        <v>1.3177469692884722</v>
      </c>
      <c r="AJ224" s="13">
        <v>1190</v>
      </c>
      <c r="AK224" s="14"/>
      <c r="AL224" s="14"/>
    </row>
    <row r="225" spans="1:38" ht="11.25" customHeight="1" x14ac:dyDescent="0.25">
      <c r="A225" s="60">
        <f t="shared" si="6"/>
        <v>1.3040306046843513</v>
      </c>
      <c r="B225" s="60">
        <v>1.3040306046843513</v>
      </c>
      <c r="C225" s="60">
        <v>1.3040382955558845</v>
      </c>
      <c r="D225" s="60">
        <v>1.3040511125951315</v>
      </c>
      <c r="E225" s="60">
        <v>1.3040664912592552</v>
      </c>
      <c r="F225" s="60">
        <v>1.3040767426207576</v>
      </c>
      <c r="G225" s="60">
        <v>1.3041279864375726</v>
      </c>
      <c r="H225" s="60">
        <v>1.304179208564928</v>
      </c>
      <c r="I225" s="60">
        <v>1.3042304089508796</v>
      </c>
      <c r="J225" s="60">
        <v>1.3042560009746929</v>
      </c>
      <c r="K225" s="60">
        <v>1.3042815875438352</v>
      </c>
      <c r="L225" s="60">
        <v>1.3045371518323832</v>
      </c>
      <c r="M225" s="60">
        <v>1.3050466172578201</v>
      </c>
      <c r="N225" s="60">
        <v>1.3060587331441262</v>
      </c>
      <c r="O225" s="60">
        <v>1.3080545751494399</v>
      </c>
      <c r="P225" s="60">
        <v>1.3090377644995443</v>
      </c>
      <c r="Q225" s="60">
        <v>1.3095255810967672</v>
      </c>
      <c r="R225" s="60">
        <v>1.3100108497407275</v>
      </c>
      <c r="S225" s="60">
        <v>1.310493551583213</v>
      </c>
      <c r="T225" s="60">
        <v>1.3109736701282173</v>
      </c>
      <c r="U225" s="60">
        <v>1.3114511911420994</v>
      </c>
      <c r="V225" s="60">
        <v>1.3119261025653879</v>
      </c>
      <c r="W225" s="60">
        <v>1.3123983944262536</v>
      </c>
      <c r="X225" s="60">
        <v>1.3128680587556978</v>
      </c>
      <c r="Y225" s="60">
        <v>1.3133350895044629</v>
      </c>
      <c r="Z225" s="60">
        <v>1.3137994824617107</v>
      </c>
      <c r="AA225" s="60">
        <v>1.3142612351754748</v>
      </c>
      <c r="AB225" s="60">
        <v>1.3147203468749142</v>
      </c>
      <c r="AC225" s="60">
        <v>1.3151768183943768</v>
      </c>
      <c r="AD225" s="60">
        <v>1.3156306520992949</v>
      </c>
      <c r="AE225" s="60">
        <v>1.3160818518139117</v>
      </c>
      <c r="AF225" s="60">
        <v>1.3165304227508516</v>
      </c>
      <c r="AG225" s="60">
        <v>1.3169763714425349</v>
      </c>
      <c r="AH225" s="60">
        <v>1.3174197056744426</v>
      </c>
      <c r="AI225" s="60">
        <f t="shared" si="7"/>
        <v>1.3174197056744426</v>
      </c>
      <c r="AJ225" s="13">
        <v>1195</v>
      </c>
      <c r="AK225" s="14"/>
      <c r="AL225" s="14"/>
    </row>
    <row r="226" spans="1:38" ht="11.25" customHeight="1" x14ac:dyDescent="0.25">
      <c r="A226" s="60">
        <f t="shared" si="6"/>
        <v>1.3038385745410856</v>
      </c>
      <c r="B226" s="60">
        <v>1.3038385745410856</v>
      </c>
      <c r="C226" s="60">
        <v>1.3038461824397156</v>
      </c>
      <c r="D226" s="60">
        <v>1.3038588612192841</v>
      </c>
      <c r="E226" s="60">
        <v>1.3038740740188197</v>
      </c>
      <c r="F226" s="60">
        <v>1.3038842148324363</v>
      </c>
      <c r="G226" s="60">
        <v>1.303934906252064</v>
      </c>
      <c r="H226" s="60">
        <v>1.3039855765530191</v>
      </c>
      <c r="I226" s="60">
        <v>1.3040362256838798</v>
      </c>
      <c r="J226" s="60">
        <v>1.3040615422945494</v>
      </c>
      <c r="K226" s="60">
        <v>1.3040868535935686</v>
      </c>
      <c r="L226" s="60">
        <v>1.3043396730607768</v>
      </c>
      <c r="M226" s="60">
        <v>1.3048436920102935</v>
      </c>
      <c r="N226" s="60">
        <v>1.3058450891127795</v>
      </c>
      <c r="O226" s="60">
        <v>1.3078201994133882</v>
      </c>
      <c r="P226" s="60">
        <v>1.3087933792785877</v>
      </c>
      <c r="Q226" s="60">
        <v>1.3092762806063001</v>
      </c>
      <c r="R226" s="60">
        <v>1.3097566936580902</v>
      </c>
      <c r="S226" s="60">
        <v>1.3102345995564586</v>
      </c>
      <c r="T226" s="60">
        <v>1.3107099817374448</v>
      </c>
      <c r="U226" s="60">
        <v>1.3111828258624239</v>
      </c>
      <c r="V226" s="60">
        <v>1.31165311973153</v>
      </c>
      <c r="W226" s="60">
        <v>1.3121208531987321</v>
      </c>
      <c r="X226" s="60">
        <v>1.3125860180885944</v>
      </c>
      <c r="Y226" s="60">
        <v>1.3130486081147472</v>
      </c>
      <c r="Z226" s="60">
        <v>1.3135086188000888</v>
      </c>
      <c r="AA226" s="60">
        <v>1.3139660473987385</v>
      </c>
      <c r="AB226" s="60">
        <v>1.3144208928197632</v>
      </c>
      <c r="AC226" s="60">
        <v>1.3148731555526834</v>
      </c>
      <c r="AD226" s="60">
        <v>1.3153228375947743</v>
      </c>
      <c r="AE226" s="60">
        <v>1.3157699423801748</v>
      </c>
      <c r="AF226" s="60">
        <v>1.3162144747107984</v>
      </c>
      <c r="AG226" s="60">
        <v>1.3166564406890597</v>
      </c>
      <c r="AH226" s="60">
        <v>1.3170958476524128</v>
      </c>
      <c r="AI226" s="60">
        <f t="shared" si="7"/>
        <v>1.3170958476524128</v>
      </c>
      <c r="AJ226" s="13">
        <v>1200</v>
      </c>
      <c r="AK226" s="15"/>
      <c r="AL226" s="14"/>
    </row>
    <row r="227" spans="1:38" ht="11.25" customHeight="1" x14ac:dyDescent="0.25">
      <c r="A227" s="14">
        <v>9.9999999999999995E-8</v>
      </c>
      <c r="B227" s="14">
        <v>0.01</v>
      </c>
      <c r="C227" s="14">
        <v>2.5000000000000001E-2</v>
      </c>
      <c r="D227" s="14">
        <v>0.05</v>
      </c>
      <c r="E227" s="14">
        <v>0.08</v>
      </c>
      <c r="F227" s="14">
        <v>0.1</v>
      </c>
      <c r="G227" s="20">
        <v>0.2</v>
      </c>
      <c r="H227" s="14">
        <v>0.3</v>
      </c>
      <c r="I227" s="14">
        <v>0.4</v>
      </c>
      <c r="J227" s="14">
        <v>0.45</v>
      </c>
      <c r="K227" s="14">
        <v>0.5</v>
      </c>
      <c r="L227" s="14">
        <v>1</v>
      </c>
      <c r="M227" s="14">
        <v>2</v>
      </c>
      <c r="N227" s="16">
        <v>4</v>
      </c>
      <c r="O227" s="16">
        <v>8</v>
      </c>
      <c r="P227" s="16">
        <v>10</v>
      </c>
      <c r="Q227" s="16">
        <v>11</v>
      </c>
      <c r="R227" s="16">
        <v>12</v>
      </c>
      <c r="S227" s="16">
        <v>13</v>
      </c>
      <c r="T227" s="16">
        <v>14</v>
      </c>
      <c r="U227" s="16">
        <v>15</v>
      </c>
      <c r="V227" s="16">
        <v>16</v>
      </c>
      <c r="W227" s="16">
        <v>17</v>
      </c>
      <c r="X227" s="16">
        <v>18</v>
      </c>
      <c r="Y227" s="16">
        <v>19</v>
      </c>
      <c r="Z227" s="16">
        <v>20</v>
      </c>
      <c r="AA227" s="16">
        <v>21</v>
      </c>
      <c r="AB227" s="16">
        <v>22</v>
      </c>
      <c r="AC227" s="16">
        <v>23</v>
      </c>
      <c r="AD227" s="16">
        <v>24</v>
      </c>
      <c r="AE227" s="16">
        <v>25</v>
      </c>
      <c r="AF227" s="16">
        <v>26</v>
      </c>
      <c r="AG227" s="16">
        <v>27</v>
      </c>
      <c r="AH227" s="16">
        <v>28</v>
      </c>
      <c r="AI227" s="16">
        <v>2800000</v>
      </c>
      <c r="AJ227" s="15"/>
      <c r="AK227" s="16" t="s">
        <v>24</v>
      </c>
      <c r="AL227" s="15"/>
    </row>
    <row r="228" spans="1:38" x14ac:dyDescent="0.2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3" t="s">
        <v>25</v>
      </c>
      <c r="AK228" s="15"/>
      <c r="AL228" s="16" t="s">
        <v>24</v>
      </c>
    </row>
    <row r="229" spans="1:38" x14ac:dyDescent="0.25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>
        <f>AI227*10^5</f>
        <v>280000000000</v>
      </c>
      <c r="AL229" s="15"/>
    </row>
    <row r="230" spans="1:38" x14ac:dyDescent="0.25">
      <c r="A230" s="14">
        <v>1</v>
      </c>
      <c r="B230" s="14">
        <v>2</v>
      </c>
      <c r="C230" s="14">
        <v>3</v>
      </c>
      <c r="D230" s="14">
        <v>4</v>
      </c>
      <c r="E230" s="14">
        <v>5</v>
      </c>
      <c r="F230" s="14">
        <v>6</v>
      </c>
      <c r="G230" s="14">
        <v>7</v>
      </c>
      <c r="H230" s="14">
        <v>8</v>
      </c>
      <c r="I230" s="14">
        <v>9</v>
      </c>
      <c r="J230" s="14">
        <v>10</v>
      </c>
      <c r="K230" s="14">
        <v>11</v>
      </c>
      <c r="L230" s="14">
        <v>12</v>
      </c>
      <c r="M230" s="14">
        <v>13</v>
      </c>
      <c r="N230" s="14">
        <v>14</v>
      </c>
      <c r="O230" s="14">
        <v>15</v>
      </c>
      <c r="P230" s="14">
        <v>16</v>
      </c>
      <c r="Q230" s="14">
        <v>17</v>
      </c>
      <c r="R230" s="14">
        <v>18</v>
      </c>
      <c r="S230" s="14">
        <v>19</v>
      </c>
      <c r="T230" s="14">
        <v>20</v>
      </c>
      <c r="U230" s="14">
        <v>21</v>
      </c>
      <c r="V230" s="14">
        <v>22</v>
      </c>
      <c r="W230" s="14">
        <v>23</v>
      </c>
      <c r="X230" s="14">
        <v>24</v>
      </c>
      <c r="Y230" s="14">
        <v>25</v>
      </c>
      <c r="Z230" s="14">
        <v>26</v>
      </c>
      <c r="AA230" s="14">
        <v>27</v>
      </c>
      <c r="AB230" s="14">
        <v>28</v>
      </c>
      <c r="AC230" s="14">
        <v>29</v>
      </c>
      <c r="AD230" s="14">
        <v>30</v>
      </c>
      <c r="AE230" s="14">
        <v>31</v>
      </c>
      <c r="AF230" s="14">
        <v>32</v>
      </c>
      <c r="AG230" s="14">
        <v>33</v>
      </c>
      <c r="AH230" s="14">
        <v>34</v>
      </c>
      <c r="AI230" s="14">
        <v>35</v>
      </c>
      <c r="AJ230" s="15"/>
      <c r="AK230" s="15"/>
      <c r="AL230" s="14"/>
    </row>
    <row r="231" spans="1:38" x14ac:dyDescent="0.25">
      <c r="B231" s="14">
        <v>1</v>
      </c>
      <c r="C231" s="14">
        <v>2</v>
      </c>
      <c r="D231" s="14">
        <v>3</v>
      </c>
      <c r="E231" s="14">
        <v>4</v>
      </c>
      <c r="F231" s="14">
        <v>5</v>
      </c>
      <c r="G231" s="14">
        <v>6</v>
      </c>
      <c r="H231" s="14">
        <v>7</v>
      </c>
      <c r="I231" s="14">
        <v>8</v>
      </c>
      <c r="J231" s="14">
        <v>9</v>
      </c>
      <c r="K231" s="14">
        <v>10</v>
      </c>
      <c r="L231" s="14">
        <v>11</v>
      </c>
      <c r="M231" s="14">
        <v>12</v>
      </c>
      <c r="N231" s="14">
        <v>13</v>
      </c>
      <c r="O231" s="14">
        <v>14</v>
      </c>
      <c r="P231" s="14">
        <v>15</v>
      </c>
      <c r="Q231" s="14">
        <v>16</v>
      </c>
      <c r="R231" s="14">
        <v>17</v>
      </c>
      <c r="S231" s="14">
        <v>18</v>
      </c>
      <c r="T231" s="14">
        <v>19</v>
      </c>
      <c r="U231" s="14">
        <v>20</v>
      </c>
      <c r="V231" s="14">
        <v>21</v>
      </c>
      <c r="W231" s="14">
        <v>22</v>
      </c>
      <c r="X231" s="14">
        <v>23</v>
      </c>
      <c r="Y231" s="14">
        <v>24</v>
      </c>
      <c r="Z231" s="14">
        <v>25</v>
      </c>
      <c r="AA231" s="14">
        <v>26</v>
      </c>
      <c r="AB231" s="14">
        <v>27</v>
      </c>
      <c r="AC231" s="14">
        <v>28</v>
      </c>
      <c r="AD231" s="14">
        <v>29</v>
      </c>
      <c r="AE231" s="14">
        <v>30</v>
      </c>
      <c r="AF231" s="14">
        <v>31</v>
      </c>
      <c r="AG231" s="14">
        <v>32</v>
      </c>
      <c r="AH231" s="14">
        <v>33</v>
      </c>
      <c r="AI231" s="14">
        <v>34</v>
      </c>
      <c r="AJ231" s="14">
        <v>35</v>
      </c>
      <c r="AK231" s="15"/>
      <c r="AL231" s="1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E8B06-3459-4C75-9D24-71BD16336DAB}">
  <sheetPr>
    <tabColor theme="2" tint="-0.499984740745262"/>
  </sheetPr>
  <dimension ref="A1:C10"/>
  <sheetViews>
    <sheetView workbookViewId="0">
      <selection activeCell="A12" sqref="A12"/>
    </sheetView>
  </sheetViews>
  <sheetFormatPr defaultColWidth="8.85546875" defaultRowHeight="15" x14ac:dyDescent="0.25"/>
  <cols>
    <col min="1" max="1" width="9.28515625" customWidth="1"/>
    <col min="2" max="3" width="16.42578125" bestFit="1" customWidth="1"/>
  </cols>
  <sheetData>
    <row r="1" spans="1:3" x14ac:dyDescent="0.25">
      <c r="A1" t="s">
        <v>2</v>
      </c>
    </row>
    <row r="2" spans="1:3" x14ac:dyDescent="0.25">
      <c r="A2" t="s">
        <v>6</v>
      </c>
      <c r="B2" s="1">
        <v>7.8300000000000002E-3</v>
      </c>
    </row>
    <row r="3" spans="1:3" x14ac:dyDescent="0.25">
      <c r="A3" s="2" t="s">
        <v>4</v>
      </c>
      <c r="B3" s="2" t="s">
        <v>5</v>
      </c>
      <c r="C3" s="2" t="s">
        <v>3</v>
      </c>
    </row>
    <row r="4" spans="1:3" x14ac:dyDescent="0.25">
      <c r="A4" s="2">
        <v>77</v>
      </c>
      <c r="B4" s="2">
        <v>7.5</v>
      </c>
      <c r="C4" s="2">
        <v>145</v>
      </c>
    </row>
    <row r="5" spans="1:3" x14ac:dyDescent="0.25">
      <c r="A5" s="2">
        <v>203</v>
      </c>
      <c r="B5" s="2">
        <v>12.5</v>
      </c>
      <c r="C5" s="2">
        <v>320</v>
      </c>
    </row>
    <row r="6" spans="1:3" x14ac:dyDescent="0.25">
      <c r="A6" s="2">
        <v>293</v>
      </c>
      <c r="B6" s="2">
        <v>14.6</v>
      </c>
      <c r="C6" s="2">
        <v>435</v>
      </c>
    </row>
    <row r="7" spans="1:3" x14ac:dyDescent="0.25">
      <c r="A7" s="2">
        <v>373</v>
      </c>
      <c r="B7" s="2">
        <v>16.3</v>
      </c>
      <c r="C7" s="2">
        <v>450</v>
      </c>
    </row>
    <row r="8" spans="1:3" x14ac:dyDescent="0.25">
      <c r="A8" s="2">
        <v>573</v>
      </c>
      <c r="B8" s="2">
        <v>20.5</v>
      </c>
      <c r="C8" s="2">
        <v>500</v>
      </c>
    </row>
    <row r="9" spans="1:3" x14ac:dyDescent="0.25">
      <c r="A9" s="2">
        <v>773</v>
      </c>
      <c r="B9" s="2">
        <v>23.4</v>
      </c>
      <c r="C9" s="2">
        <v>630</v>
      </c>
    </row>
    <row r="10" spans="1:3" x14ac:dyDescent="0.25">
      <c r="A10" s="2">
        <v>1073</v>
      </c>
      <c r="B10" s="2">
        <v>31</v>
      </c>
      <c r="C10" s="2">
        <v>630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4BFA4-0645-4298-AA6F-0A2F87E0A770}">
  <dimension ref="A1:F34"/>
  <sheetViews>
    <sheetView topLeftCell="A10" zoomScale="145" zoomScaleNormal="145" workbookViewId="0">
      <selection activeCell="D36" sqref="D36"/>
    </sheetView>
  </sheetViews>
  <sheetFormatPr defaultColWidth="8.85546875" defaultRowHeight="15" x14ac:dyDescent="0.25"/>
  <cols>
    <col min="1" max="1" width="9.85546875" bestFit="1" customWidth="1"/>
    <col min="2" max="3" width="11.140625" bestFit="1" customWidth="1"/>
    <col min="4" max="4" width="14.85546875" bestFit="1" customWidth="1"/>
    <col min="5" max="5" width="2.140625" customWidth="1"/>
    <col min="6" max="6" width="7.85546875" bestFit="1" customWidth="1"/>
  </cols>
  <sheetData>
    <row r="1" spans="1:6" ht="15.75" thickBot="1" x14ac:dyDescent="0.3">
      <c r="A1" s="104" t="s">
        <v>324</v>
      </c>
      <c r="B1" s="105" t="s">
        <v>325</v>
      </c>
      <c r="C1" s="106" t="s">
        <v>326</v>
      </c>
      <c r="D1" s="107" t="s">
        <v>395</v>
      </c>
      <c r="E1" s="39"/>
      <c r="F1" s="39"/>
    </row>
    <row r="2" spans="1:6" x14ac:dyDescent="0.25">
      <c r="A2" s="97" t="s">
        <v>327</v>
      </c>
      <c r="B2" s="98" t="s">
        <v>399</v>
      </c>
      <c r="C2" s="117" t="s">
        <v>13</v>
      </c>
      <c r="D2" s="99" t="s">
        <v>400</v>
      </c>
      <c r="E2" s="193" t="s">
        <v>430</v>
      </c>
      <c r="F2" s="39"/>
    </row>
    <row r="3" spans="1:6" x14ac:dyDescent="0.25">
      <c r="A3" s="89" t="s">
        <v>399</v>
      </c>
      <c r="B3" s="87" t="s">
        <v>63</v>
      </c>
      <c r="C3" s="118" t="s">
        <v>13</v>
      </c>
      <c r="D3" s="90" t="s">
        <v>401</v>
      </c>
      <c r="E3" s="193"/>
      <c r="F3" s="39"/>
    </row>
    <row r="4" spans="1:6" ht="15.75" thickBot="1" x14ac:dyDescent="0.3">
      <c r="A4" s="91" t="s">
        <v>399</v>
      </c>
      <c r="B4" s="92" t="s">
        <v>328</v>
      </c>
      <c r="C4" s="119" t="s">
        <v>13</v>
      </c>
      <c r="D4" s="93" t="s">
        <v>402</v>
      </c>
      <c r="E4" s="193"/>
      <c r="F4" s="39"/>
    </row>
    <row r="5" spans="1:6" x14ac:dyDescent="0.25">
      <c r="A5" s="97" t="s">
        <v>327</v>
      </c>
      <c r="B5" s="98" t="s">
        <v>396</v>
      </c>
      <c r="C5" s="120" t="s">
        <v>14</v>
      </c>
      <c r="D5" s="99" t="s">
        <v>397</v>
      </c>
      <c r="E5" s="193"/>
      <c r="F5" s="39"/>
    </row>
    <row r="6" spans="1:6" x14ac:dyDescent="0.25">
      <c r="A6" s="89" t="s">
        <v>396</v>
      </c>
      <c r="B6" s="87" t="s">
        <v>62</v>
      </c>
      <c r="C6" s="121" t="s">
        <v>14</v>
      </c>
      <c r="D6" s="122" t="s">
        <v>398</v>
      </c>
      <c r="E6" s="193"/>
      <c r="F6" s="39"/>
    </row>
    <row r="7" spans="1:6" x14ac:dyDescent="0.25">
      <c r="A7" s="89" t="s">
        <v>423</v>
      </c>
      <c r="B7" s="4">
        <v>1</v>
      </c>
      <c r="C7" s="121" t="s">
        <v>14</v>
      </c>
      <c r="D7" s="90" t="s">
        <v>423</v>
      </c>
      <c r="E7" s="193"/>
      <c r="F7" s="39"/>
    </row>
    <row r="8" spans="1:6" x14ac:dyDescent="0.25">
      <c r="A8" s="101">
        <v>1</v>
      </c>
      <c r="B8" s="4" t="s">
        <v>433</v>
      </c>
      <c r="C8" s="121" t="s">
        <v>14</v>
      </c>
      <c r="D8" s="140" t="s">
        <v>424</v>
      </c>
      <c r="E8" s="193"/>
      <c r="F8" s="39"/>
    </row>
    <row r="9" spans="1:6" x14ac:dyDescent="0.25">
      <c r="A9" s="101" t="s">
        <v>433</v>
      </c>
      <c r="B9" s="4">
        <v>2</v>
      </c>
      <c r="C9" s="121" t="s">
        <v>14</v>
      </c>
      <c r="D9" s="140" t="s">
        <v>424</v>
      </c>
      <c r="E9" s="193"/>
      <c r="F9" s="39"/>
    </row>
    <row r="10" spans="1:6" x14ac:dyDescent="0.25">
      <c r="A10" s="101">
        <v>2</v>
      </c>
      <c r="B10" s="87" t="s">
        <v>62</v>
      </c>
      <c r="C10" s="121" t="s">
        <v>14</v>
      </c>
      <c r="D10" s="140" t="s">
        <v>424</v>
      </c>
      <c r="E10" s="193"/>
      <c r="F10" s="39"/>
    </row>
    <row r="11" spans="1:6" x14ac:dyDescent="0.25">
      <c r="A11" s="101">
        <v>1</v>
      </c>
      <c r="B11" s="4">
        <v>3</v>
      </c>
      <c r="C11" s="121" t="s">
        <v>14</v>
      </c>
      <c r="D11" s="123" t="s">
        <v>425</v>
      </c>
      <c r="E11" s="193"/>
      <c r="F11" s="39"/>
    </row>
    <row r="12" spans="1:6" ht="15.75" thickBot="1" x14ac:dyDescent="0.3">
      <c r="A12" s="102">
        <v>3</v>
      </c>
      <c r="B12" s="34" t="s">
        <v>63</v>
      </c>
      <c r="C12" s="124" t="s">
        <v>14</v>
      </c>
      <c r="D12" s="125" t="s">
        <v>425</v>
      </c>
      <c r="E12" s="193"/>
      <c r="F12" s="39"/>
    </row>
    <row r="13" spans="1:6" ht="15" customHeight="1" x14ac:dyDescent="0.25">
      <c r="A13" s="97" t="s">
        <v>399</v>
      </c>
      <c r="B13" s="103" t="s">
        <v>271</v>
      </c>
      <c r="C13" s="126" t="s">
        <v>13</v>
      </c>
      <c r="D13" s="127" t="s">
        <v>401</v>
      </c>
      <c r="E13" s="194" t="s">
        <v>69</v>
      </c>
      <c r="F13" s="39"/>
    </row>
    <row r="14" spans="1:6" ht="15.75" thickBot="1" x14ac:dyDescent="0.3">
      <c r="A14" s="100" t="s">
        <v>271</v>
      </c>
      <c r="B14" s="128" t="s">
        <v>63</v>
      </c>
      <c r="C14" s="129" t="s">
        <v>13</v>
      </c>
      <c r="D14" s="125" t="s">
        <v>401</v>
      </c>
      <c r="E14" s="194"/>
      <c r="F14" s="39"/>
    </row>
    <row r="15" spans="1:6" x14ac:dyDescent="0.25">
      <c r="A15" s="108" t="s">
        <v>396</v>
      </c>
      <c r="B15" s="130" t="s">
        <v>431</v>
      </c>
      <c r="C15" s="131" t="s">
        <v>14</v>
      </c>
      <c r="D15" s="132" t="s">
        <v>398</v>
      </c>
      <c r="E15" s="194"/>
      <c r="F15" s="189" t="s">
        <v>62</v>
      </c>
    </row>
    <row r="16" spans="1:6" x14ac:dyDescent="0.25">
      <c r="A16" s="109" t="s">
        <v>431</v>
      </c>
      <c r="B16" s="46" t="s">
        <v>306</v>
      </c>
      <c r="C16" s="133" t="s">
        <v>14</v>
      </c>
      <c r="D16" s="134" t="s">
        <v>398</v>
      </c>
      <c r="E16" s="194"/>
      <c r="F16" s="190"/>
    </row>
    <row r="17" spans="1:6" x14ac:dyDescent="0.25">
      <c r="A17" s="135" t="s">
        <v>396</v>
      </c>
      <c r="B17" s="46" t="s">
        <v>306</v>
      </c>
      <c r="C17" s="133" t="s">
        <v>14</v>
      </c>
      <c r="D17" s="134" t="s">
        <v>398</v>
      </c>
      <c r="E17" s="194"/>
      <c r="F17" s="190"/>
    </row>
    <row r="18" spans="1:6" x14ac:dyDescent="0.25">
      <c r="A18" s="109" t="s">
        <v>306</v>
      </c>
      <c r="B18" s="46" t="s">
        <v>432</v>
      </c>
      <c r="C18" s="133" t="s">
        <v>14</v>
      </c>
      <c r="D18" s="134" t="s">
        <v>398</v>
      </c>
      <c r="E18" s="194"/>
      <c r="F18" s="190"/>
    </row>
    <row r="19" spans="1:6" x14ac:dyDescent="0.25">
      <c r="A19" s="109" t="s">
        <v>306</v>
      </c>
      <c r="B19" s="46" t="s">
        <v>62</v>
      </c>
      <c r="C19" s="133" t="s">
        <v>14</v>
      </c>
      <c r="D19" s="134" t="s">
        <v>398</v>
      </c>
      <c r="E19" s="194"/>
      <c r="F19" s="190"/>
    </row>
    <row r="20" spans="1:6" x14ac:dyDescent="0.25">
      <c r="A20" s="109" t="s">
        <v>432</v>
      </c>
      <c r="B20" s="46" t="s">
        <v>62</v>
      </c>
      <c r="C20" s="133" t="s">
        <v>14</v>
      </c>
      <c r="D20" s="134" t="s">
        <v>398</v>
      </c>
      <c r="E20" s="194"/>
      <c r="F20" s="190"/>
    </row>
    <row r="21" spans="1:6" x14ac:dyDescent="0.25">
      <c r="A21" s="109">
        <v>1</v>
      </c>
      <c r="B21" s="46" t="s">
        <v>494</v>
      </c>
      <c r="C21" s="133" t="s">
        <v>14</v>
      </c>
      <c r="D21" s="139" t="s">
        <v>424</v>
      </c>
      <c r="E21" s="194"/>
      <c r="F21" s="191"/>
    </row>
    <row r="22" spans="1:6" x14ac:dyDescent="0.25">
      <c r="A22" s="46" t="s">
        <v>494</v>
      </c>
      <c r="B22" s="46" t="s">
        <v>493</v>
      </c>
      <c r="C22" s="133" t="s">
        <v>14</v>
      </c>
      <c r="D22" s="139" t="s">
        <v>424</v>
      </c>
      <c r="E22" s="194"/>
      <c r="F22" s="191"/>
    </row>
    <row r="23" spans="1:6" x14ac:dyDescent="0.25">
      <c r="A23" s="46" t="s">
        <v>493</v>
      </c>
      <c r="B23" s="46" t="s">
        <v>442</v>
      </c>
      <c r="C23" s="133" t="s">
        <v>14</v>
      </c>
      <c r="D23" s="139" t="s">
        <v>424</v>
      </c>
      <c r="E23" s="194"/>
      <c r="F23" s="191"/>
    </row>
    <row r="24" spans="1:6" x14ac:dyDescent="0.25">
      <c r="A24" s="109" t="s">
        <v>442</v>
      </c>
      <c r="B24" s="39">
        <v>2</v>
      </c>
      <c r="C24" s="133" t="s">
        <v>14</v>
      </c>
      <c r="D24" s="139" t="s">
        <v>424</v>
      </c>
      <c r="E24" s="194"/>
      <c r="F24" s="191"/>
    </row>
    <row r="25" spans="1:6" x14ac:dyDescent="0.25">
      <c r="A25" s="109">
        <v>2</v>
      </c>
      <c r="B25" s="52" t="s">
        <v>443</v>
      </c>
      <c r="C25" s="133" t="s">
        <v>14</v>
      </c>
      <c r="D25" s="139" t="s">
        <v>424</v>
      </c>
      <c r="E25" s="194"/>
      <c r="F25" s="191"/>
    </row>
    <row r="26" spans="1:6" ht="15.75" thickBot="1" x14ac:dyDescent="0.3">
      <c r="A26" s="100" t="s">
        <v>443</v>
      </c>
      <c r="B26" s="49" t="s">
        <v>62</v>
      </c>
      <c r="C26" s="136" t="s">
        <v>14</v>
      </c>
      <c r="D26" s="139" t="s">
        <v>424</v>
      </c>
      <c r="E26" s="194"/>
      <c r="F26" s="191"/>
    </row>
    <row r="27" spans="1:6" x14ac:dyDescent="0.25">
      <c r="A27" s="39">
        <v>1</v>
      </c>
      <c r="B27" s="52" t="s">
        <v>434</v>
      </c>
      <c r="C27" s="133" t="s">
        <v>14</v>
      </c>
      <c r="D27" s="137" t="s">
        <v>425</v>
      </c>
      <c r="E27" s="194"/>
      <c r="F27" s="192" t="s">
        <v>435</v>
      </c>
    </row>
    <row r="28" spans="1:6" x14ac:dyDescent="0.25">
      <c r="A28" s="39" t="s">
        <v>434</v>
      </c>
      <c r="B28" s="52" t="s">
        <v>451</v>
      </c>
      <c r="C28" s="133" t="s">
        <v>14</v>
      </c>
      <c r="D28" s="137" t="s">
        <v>425</v>
      </c>
      <c r="E28" s="194"/>
      <c r="F28" s="192"/>
    </row>
    <row r="29" spans="1:6" x14ac:dyDescent="0.25">
      <c r="A29" s="39">
        <v>3</v>
      </c>
      <c r="B29" s="52" t="s">
        <v>63</v>
      </c>
      <c r="C29" s="133" t="s">
        <v>14</v>
      </c>
      <c r="D29" s="137" t="s">
        <v>425</v>
      </c>
      <c r="E29" s="194"/>
      <c r="F29" s="192"/>
    </row>
    <row r="30" spans="1:6" x14ac:dyDescent="0.25">
      <c r="A30" s="39">
        <v>2</v>
      </c>
      <c r="B30" s="52" t="s">
        <v>452</v>
      </c>
      <c r="C30" s="133" t="s">
        <v>14</v>
      </c>
      <c r="D30" s="137" t="s">
        <v>425</v>
      </c>
      <c r="E30" s="194"/>
      <c r="F30" s="195" t="s">
        <v>436</v>
      </c>
    </row>
    <row r="31" spans="1:6" x14ac:dyDescent="0.25">
      <c r="A31" s="39">
        <v>2</v>
      </c>
      <c r="B31">
        <v>3</v>
      </c>
      <c r="C31" s="133" t="s">
        <v>14</v>
      </c>
      <c r="D31" s="137" t="s">
        <v>425</v>
      </c>
      <c r="E31" s="194"/>
      <c r="F31" s="195"/>
    </row>
    <row r="32" spans="1:6" x14ac:dyDescent="0.25">
      <c r="A32" s="39">
        <v>1</v>
      </c>
      <c r="B32">
        <v>2</v>
      </c>
      <c r="C32" s="133" t="s">
        <v>14</v>
      </c>
      <c r="D32" s="139" t="s">
        <v>424</v>
      </c>
    </row>
    <row r="33" spans="1:4" x14ac:dyDescent="0.25">
      <c r="A33" s="39">
        <v>3</v>
      </c>
      <c r="B33" s="52" t="s">
        <v>520</v>
      </c>
      <c r="C33" s="133" t="s">
        <v>14</v>
      </c>
      <c r="D33" s="137" t="s">
        <v>425</v>
      </c>
    </row>
    <row r="34" spans="1:4" x14ac:dyDescent="0.25">
      <c r="A34" t="s">
        <v>520</v>
      </c>
      <c r="B34" s="52" t="s">
        <v>63</v>
      </c>
      <c r="C34" s="133" t="s">
        <v>14</v>
      </c>
      <c r="D34" s="137" t="s">
        <v>425</v>
      </c>
    </row>
  </sheetData>
  <mergeCells count="6">
    <mergeCell ref="F15:F20"/>
    <mergeCell ref="F21:F26"/>
    <mergeCell ref="F27:F29"/>
    <mergeCell ref="E2:E12"/>
    <mergeCell ref="E13:E31"/>
    <mergeCell ref="F30:F31"/>
  </mergeCells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BCBCC-86D1-40AB-B9E9-48ADAFB9B84A}">
  <dimension ref="A3:N76"/>
  <sheetViews>
    <sheetView zoomScale="130" zoomScaleNormal="130" workbookViewId="0">
      <selection activeCell="I3" sqref="I3"/>
    </sheetView>
  </sheetViews>
  <sheetFormatPr defaultColWidth="8.85546875" defaultRowHeight="15" x14ac:dyDescent="0.25"/>
  <cols>
    <col min="1" max="1" width="10.85546875" bestFit="1" customWidth="1"/>
    <col min="2" max="2" width="54.85546875" customWidth="1"/>
    <col min="3" max="3" width="14" bestFit="1" customWidth="1"/>
    <col min="4" max="4" width="25.7109375" customWidth="1"/>
    <col min="5" max="5" width="14" bestFit="1" customWidth="1"/>
    <col min="6" max="6" width="11.140625" bestFit="1" customWidth="1"/>
    <col min="7" max="7" width="4.42578125" customWidth="1"/>
  </cols>
  <sheetData>
    <row r="3" spans="1:13" x14ac:dyDescent="0.25">
      <c r="A3" s="24" t="s">
        <v>30</v>
      </c>
      <c r="C3" s="24" t="s">
        <v>32</v>
      </c>
      <c r="E3" s="24" t="s">
        <v>35</v>
      </c>
      <c r="H3" s="24" t="s">
        <v>32</v>
      </c>
      <c r="I3" s="24" t="s">
        <v>35</v>
      </c>
      <c r="J3" s="24" t="s">
        <v>36</v>
      </c>
      <c r="L3" s="24" t="s">
        <v>40</v>
      </c>
    </row>
    <row r="4" spans="1:13" x14ac:dyDescent="0.25">
      <c r="A4" t="s">
        <v>33</v>
      </c>
      <c r="B4" t="s">
        <v>102</v>
      </c>
      <c r="C4" t="s">
        <v>59</v>
      </c>
      <c r="D4" t="s">
        <v>90</v>
      </c>
      <c r="E4" t="s">
        <v>56</v>
      </c>
      <c r="F4" t="s">
        <v>105</v>
      </c>
      <c r="H4" t="str">
        <f t="shared" ref="H4:H12" si="0">C4</f>
        <v>Pump</v>
      </c>
      <c r="I4" t="str">
        <f>E4</f>
        <v>In</v>
      </c>
      <c r="J4" t="s">
        <v>13</v>
      </c>
      <c r="K4" t="s">
        <v>107</v>
      </c>
      <c r="L4" t="s">
        <v>126</v>
      </c>
      <c r="M4" t="s">
        <v>110</v>
      </c>
    </row>
    <row r="5" spans="1:13" x14ac:dyDescent="0.25">
      <c r="A5" t="s">
        <v>67</v>
      </c>
      <c r="B5" t="s">
        <v>101</v>
      </c>
      <c r="C5" t="s">
        <v>60</v>
      </c>
      <c r="D5" t="s">
        <v>91</v>
      </c>
      <c r="E5" t="s">
        <v>57</v>
      </c>
      <c r="F5" t="s">
        <v>106</v>
      </c>
      <c r="H5" t="str">
        <f t="shared" si="0"/>
        <v>Turb</v>
      </c>
      <c r="I5" t="str">
        <f>E5</f>
        <v>Out</v>
      </c>
      <c r="J5" t="s">
        <v>14</v>
      </c>
      <c r="K5" t="s">
        <v>108</v>
      </c>
      <c r="L5" t="s">
        <v>127</v>
      </c>
      <c r="M5" t="s">
        <v>111</v>
      </c>
    </row>
    <row r="6" spans="1:13" x14ac:dyDescent="0.25">
      <c r="C6" t="s">
        <v>61</v>
      </c>
      <c r="D6" t="s">
        <v>92</v>
      </c>
      <c r="E6" s="25" t="s">
        <v>58</v>
      </c>
      <c r="F6" t="s">
        <v>52</v>
      </c>
      <c r="H6" t="str">
        <f t="shared" si="0"/>
        <v>Pipe</v>
      </c>
      <c r="J6" t="s">
        <v>167</v>
      </c>
      <c r="K6" t="s">
        <v>109</v>
      </c>
      <c r="L6" t="s">
        <v>128</v>
      </c>
      <c r="M6" t="s">
        <v>112</v>
      </c>
    </row>
    <row r="7" spans="1:13" x14ac:dyDescent="0.25">
      <c r="A7" t="s">
        <v>31</v>
      </c>
      <c r="B7" t="s">
        <v>100</v>
      </c>
      <c r="C7" t="s">
        <v>62</v>
      </c>
      <c r="D7" t="s">
        <v>27</v>
      </c>
      <c r="H7" t="str">
        <f t="shared" si="0"/>
        <v>Ch</v>
      </c>
      <c r="L7" t="s">
        <v>55</v>
      </c>
      <c r="M7" t="s">
        <v>129</v>
      </c>
    </row>
    <row r="8" spans="1:13" x14ac:dyDescent="0.25">
      <c r="A8" t="s">
        <v>153</v>
      </c>
      <c r="B8" t="s">
        <v>156</v>
      </c>
      <c r="C8" t="s">
        <v>63</v>
      </c>
      <c r="D8" t="s">
        <v>28</v>
      </c>
      <c r="H8" t="str">
        <f t="shared" si="0"/>
        <v>Gg</v>
      </c>
    </row>
    <row r="9" spans="1:13" x14ac:dyDescent="0.25">
      <c r="A9" t="s">
        <v>154</v>
      </c>
      <c r="B9" t="s">
        <v>157</v>
      </c>
      <c r="C9" t="s">
        <v>64</v>
      </c>
      <c r="D9" t="s">
        <v>93</v>
      </c>
      <c r="H9" t="str">
        <f t="shared" si="0"/>
        <v>Zu</v>
      </c>
      <c r="J9" t="s">
        <v>165</v>
      </c>
      <c r="K9" t="s">
        <v>166</v>
      </c>
    </row>
    <row r="10" spans="1:13" x14ac:dyDescent="0.25">
      <c r="A10" t="s">
        <v>155</v>
      </c>
      <c r="B10" t="s">
        <v>158</v>
      </c>
      <c r="C10" t="s">
        <v>65</v>
      </c>
      <c r="D10" t="s">
        <v>94</v>
      </c>
      <c r="H10" t="str">
        <f t="shared" si="0"/>
        <v>Ball</v>
      </c>
    </row>
    <row r="11" spans="1:13" x14ac:dyDescent="0.25">
      <c r="A11" t="s">
        <v>168</v>
      </c>
      <c r="B11" t="s">
        <v>169</v>
      </c>
      <c r="C11" t="s">
        <v>95</v>
      </c>
      <c r="D11" t="s">
        <v>210</v>
      </c>
      <c r="H11" t="str">
        <f t="shared" si="0"/>
        <v>Tank</v>
      </c>
    </row>
    <row r="12" spans="1:13" x14ac:dyDescent="0.25">
      <c r="C12" t="s">
        <v>66</v>
      </c>
      <c r="D12" t="s">
        <v>96</v>
      </c>
      <c r="H12" t="str">
        <f t="shared" si="0"/>
        <v>Val</v>
      </c>
    </row>
    <row r="13" spans="1:13" x14ac:dyDescent="0.25">
      <c r="A13" t="s">
        <v>68</v>
      </c>
      <c r="B13" t="s">
        <v>99</v>
      </c>
      <c r="C13" s="25" t="s">
        <v>121</v>
      </c>
      <c r="D13" s="25" t="s">
        <v>125</v>
      </c>
    </row>
    <row r="14" spans="1:13" x14ac:dyDescent="0.25">
      <c r="A14" t="s">
        <v>69</v>
      </c>
      <c r="B14" t="s">
        <v>98</v>
      </c>
      <c r="C14" s="25" t="s">
        <v>113</v>
      </c>
      <c r="D14" s="25" t="s">
        <v>124</v>
      </c>
    </row>
    <row r="15" spans="1:13" x14ac:dyDescent="0.25">
      <c r="A15" t="s">
        <v>199</v>
      </c>
      <c r="B15" t="s">
        <v>97</v>
      </c>
      <c r="C15" t="s">
        <v>206</v>
      </c>
      <c r="D15" t="s">
        <v>123</v>
      </c>
    </row>
    <row r="16" spans="1:13" x14ac:dyDescent="0.25">
      <c r="C16" t="s">
        <v>120</v>
      </c>
      <c r="D16" t="s">
        <v>122</v>
      </c>
    </row>
    <row r="17" spans="1:14" x14ac:dyDescent="0.25">
      <c r="A17" t="s">
        <v>103</v>
      </c>
      <c r="B17" t="s">
        <v>159</v>
      </c>
    </row>
    <row r="18" spans="1:14" x14ac:dyDescent="0.25">
      <c r="A18" t="s">
        <v>70</v>
      </c>
      <c r="B18" t="s">
        <v>173</v>
      </c>
      <c r="C18" t="s">
        <v>207</v>
      </c>
      <c r="D18" t="s">
        <v>162</v>
      </c>
    </row>
    <row r="19" spans="1:14" x14ac:dyDescent="0.25">
      <c r="B19" t="s">
        <v>193</v>
      </c>
      <c r="M19" s="22"/>
      <c r="N19" s="22"/>
    </row>
    <row r="20" spans="1:14" x14ac:dyDescent="0.25">
      <c r="C20" t="s">
        <v>164</v>
      </c>
      <c r="D20" t="s">
        <v>19</v>
      </c>
      <c r="M20" s="22"/>
      <c r="N20" s="22"/>
    </row>
    <row r="21" spans="1:14" x14ac:dyDescent="0.25">
      <c r="A21" t="s">
        <v>37</v>
      </c>
      <c r="B21" t="s">
        <v>104</v>
      </c>
    </row>
    <row r="23" spans="1:14" x14ac:dyDescent="0.25">
      <c r="C23" t="s">
        <v>185</v>
      </c>
      <c r="D23" t="s">
        <v>186</v>
      </c>
    </row>
    <row r="24" spans="1:14" x14ac:dyDescent="0.25">
      <c r="A24" t="s">
        <v>38</v>
      </c>
      <c r="B24" t="s">
        <v>194</v>
      </c>
    </row>
    <row r="25" spans="1:14" x14ac:dyDescent="0.25">
      <c r="A25" t="s">
        <v>160</v>
      </c>
      <c r="B25" t="s">
        <v>161</v>
      </c>
      <c r="C25" t="s">
        <v>187</v>
      </c>
      <c r="D25" t="s">
        <v>188</v>
      </c>
    </row>
    <row r="27" spans="1:14" x14ac:dyDescent="0.25">
      <c r="A27" t="s">
        <v>175</v>
      </c>
      <c r="B27" t="s">
        <v>177</v>
      </c>
      <c r="C27" t="s">
        <v>189</v>
      </c>
      <c r="D27" t="s">
        <v>190</v>
      </c>
    </row>
    <row r="28" spans="1:14" x14ac:dyDescent="0.25">
      <c r="A28" t="s">
        <v>176</v>
      </c>
      <c r="B28" t="s">
        <v>178</v>
      </c>
      <c r="C28" t="s">
        <v>191</v>
      </c>
      <c r="D28" t="s">
        <v>192</v>
      </c>
    </row>
    <row r="29" spans="1:14" x14ac:dyDescent="0.25">
      <c r="A29" t="s">
        <v>179</v>
      </c>
      <c r="B29" t="s">
        <v>180</v>
      </c>
    </row>
    <row r="33" spans="1:6" x14ac:dyDescent="0.25">
      <c r="A33" t="s">
        <v>172</v>
      </c>
      <c r="B33" t="s">
        <v>88</v>
      </c>
    </row>
    <row r="34" spans="1:6" x14ac:dyDescent="0.25">
      <c r="D34" s="24" t="s">
        <v>114</v>
      </c>
    </row>
    <row r="35" spans="1:6" x14ac:dyDescent="0.25">
      <c r="A35" t="s">
        <v>39</v>
      </c>
      <c r="B35" t="s">
        <v>87</v>
      </c>
    </row>
    <row r="36" spans="1:6" x14ac:dyDescent="0.25">
      <c r="A36" t="s">
        <v>150</v>
      </c>
      <c r="B36" t="s">
        <v>147</v>
      </c>
      <c r="D36" t="s">
        <v>202</v>
      </c>
      <c r="E36" t="s">
        <v>203</v>
      </c>
    </row>
    <row r="37" spans="1:6" x14ac:dyDescent="0.25">
      <c r="A37" t="s">
        <v>151</v>
      </c>
      <c r="B37" t="s">
        <v>148</v>
      </c>
      <c r="D37" t="s">
        <v>204</v>
      </c>
      <c r="E37" t="s">
        <v>205</v>
      </c>
    </row>
    <row r="38" spans="1:6" x14ac:dyDescent="0.25">
      <c r="A38" t="s">
        <v>152</v>
      </c>
      <c r="B38" t="s">
        <v>149</v>
      </c>
      <c r="D38" t="s">
        <v>115</v>
      </c>
      <c r="E38" t="s">
        <v>195</v>
      </c>
    </row>
    <row r="39" spans="1:6" x14ac:dyDescent="0.25">
      <c r="D39" t="s">
        <v>49</v>
      </c>
      <c r="E39" t="s">
        <v>196</v>
      </c>
    </row>
    <row r="40" spans="1:6" x14ac:dyDescent="0.25">
      <c r="A40" t="s">
        <v>41</v>
      </c>
      <c r="B40" t="s">
        <v>86</v>
      </c>
      <c r="D40" t="s">
        <v>197</v>
      </c>
    </row>
    <row r="41" spans="1:6" x14ac:dyDescent="0.25">
      <c r="A41" t="s">
        <v>141</v>
      </c>
      <c r="B41" t="s">
        <v>144</v>
      </c>
      <c r="D41" t="s">
        <v>118</v>
      </c>
    </row>
    <row r="42" spans="1:6" x14ac:dyDescent="0.25">
      <c r="A42" t="s">
        <v>142</v>
      </c>
      <c r="B42" t="s">
        <v>145</v>
      </c>
      <c r="D42" t="s">
        <v>117</v>
      </c>
      <c r="E42" t="s">
        <v>198</v>
      </c>
    </row>
    <row r="43" spans="1:6" x14ac:dyDescent="0.25">
      <c r="A43" t="s">
        <v>143</v>
      </c>
      <c r="B43" t="s">
        <v>146</v>
      </c>
    </row>
    <row r="44" spans="1:6" x14ac:dyDescent="0.25">
      <c r="D44" t="s">
        <v>200</v>
      </c>
      <c r="F44" t="s">
        <v>119</v>
      </c>
    </row>
    <row r="45" spans="1:6" x14ac:dyDescent="0.25">
      <c r="A45" t="s">
        <v>42</v>
      </c>
      <c r="B45" t="s">
        <v>85</v>
      </c>
      <c r="D45" t="s">
        <v>201</v>
      </c>
    </row>
    <row r="46" spans="1:6" x14ac:dyDescent="0.25">
      <c r="A46" t="s">
        <v>135</v>
      </c>
      <c r="B46" t="s">
        <v>138</v>
      </c>
      <c r="D46" t="s">
        <v>50</v>
      </c>
    </row>
    <row r="47" spans="1:6" x14ac:dyDescent="0.25">
      <c r="A47" t="s">
        <v>136</v>
      </c>
      <c r="B47" t="s">
        <v>139</v>
      </c>
      <c r="D47" t="s">
        <v>51</v>
      </c>
    </row>
    <row r="48" spans="1:6" x14ac:dyDescent="0.25">
      <c r="A48" t="s">
        <v>137</v>
      </c>
      <c r="B48" t="s">
        <v>140</v>
      </c>
    </row>
    <row r="51" spans="1:5" x14ac:dyDescent="0.25">
      <c r="D51" t="s">
        <v>133</v>
      </c>
      <c r="E51" t="s">
        <v>134</v>
      </c>
    </row>
    <row r="52" spans="1:5" x14ac:dyDescent="0.25">
      <c r="A52" t="s">
        <v>43</v>
      </c>
      <c r="B52" t="s">
        <v>84</v>
      </c>
    </row>
    <row r="53" spans="1:5" x14ac:dyDescent="0.25">
      <c r="A53" t="s">
        <v>71</v>
      </c>
      <c r="B53" t="s">
        <v>80</v>
      </c>
    </row>
    <row r="54" spans="1:5" x14ac:dyDescent="0.25">
      <c r="A54" t="s">
        <v>44</v>
      </c>
      <c r="B54" t="s">
        <v>82</v>
      </c>
    </row>
    <row r="55" spans="1:5" x14ac:dyDescent="0.25">
      <c r="A55" t="s">
        <v>45</v>
      </c>
      <c r="B55" t="s">
        <v>81</v>
      </c>
    </row>
    <row r="56" spans="1:5" x14ac:dyDescent="0.25">
      <c r="A56" t="s">
        <v>72</v>
      </c>
      <c r="B56" s="23" t="s">
        <v>83</v>
      </c>
    </row>
    <row r="57" spans="1:5" x14ac:dyDescent="0.25">
      <c r="A57" t="s">
        <v>73</v>
      </c>
      <c r="B57" t="s">
        <v>79</v>
      </c>
    </row>
    <row r="58" spans="1:5" x14ac:dyDescent="0.25">
      <c r="A58" t="s">
        <v>46</v>
      </c>
      <c r="B58" t="s">
        <v>89</v>
      </c>
    </row>
    <row r="59" spans="1:5" x14ac:dyDescent="0.25">
      <c r="A59" t="s">
        <v>47</v>
      </c>
      <c r="B59" t="s">
        <v>78</v>
      </c>
    </row>
    <row r="62" spans="1:5" x14ac:dyDescent="0.25">
      <c r="A62" t="s">
        <v>170</v>
      </c>
      <c r="B62" t="s">
        <v>171</v>
      </c>
    </row>
    <row r="65" spans="1:2" x14ac:dyDescent="0.25">
      <c r="A65" t="s">
        <v>48</v>
      </c>
      <c r="B65" t="s">
        <v>77</v>
      </c>
    </row>
    <row r="66" spans="1:2" x14ac:dyDescent="0.25">
      <c r="A66" s="22" t="s">
        <v>34</v>
      </c>
      <c r="B66" s="22" t="s">
        <v>183</v>
      </c>
    </row>
    <row r="67" spans="1:2" x14ac:dyDescent="0.25">
      <c r="A67" s="22" t="s">
        <v>116</v>
      </c>
      <c r="B67" s="22" t="s">
        <v>76</v>
      </c>
    </row>
    <row r="68" spans="1:2" x14ac:dyDescent="0.25">
      <c r="A68" s="22" t="s">
        <v>182</v>
      </c>
      <c r="B68" s="22" t="s">
        <v>184</v>
      </c>
    </row>
    <row r="69" spans="1:2" x14ac:dyDescent="0.25">
      <c r="A69" t="s">
        <v>26</v>
      </c>
      <c r="B69" t="s">
        <v>174</v>
      </c>
    </row>
    <row r="72" spans="1:2" x14ac:dyDescent="0.25">
      <c r="A72" s="22" t="s">
        <v>53</v>
      </c>
      <c r="B72" s="22" t="s">
        <v>54</v>
      </c>
    </row>
    <row r="73" spans="1:2" x14ac:dyDescent="0.25">
      <c r="A73" s="22" t="s">
        <v>74</v>
      </c>
      <c r="B73" s="22" t="s">
        <v>54</v>
      </c>
    </row>
    <row r="74" spans="1:2" x14ac:dyDescent="0.25">
      <c r="A74" t="s">
        <v>130</v>
      </c>
      <c r="B74" t="s">
        <v>75</v>
      </c>
    </row>
    <row r="75" spans="1:2" x14ac:dyDescent="0.25">
      <c r="A75" s="22" t="s">
        <v>181</v>
      </c>
      <c r="B75" s="22" t="s">
        <v>163</v>
      </c>
    </row>
    <row r="76" spans="1:2" x14ac:dyDescent="0.25">
      <c r="A76" t="s">
        <v>131</v>
      </c>
      <c r="B76" t="s">
        <v>132</v>
      </c>
    </row>
  </sheetData>
  <pageMargins left="0.7" right="0.7" top="0.75" bottom="0.75" header="0.3" footer="0.3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Gen</vt:lpstr>
      <vt:lpstr>TNA</vt:lpstr>
      <vt:lpstr>Valves</vt:lpstr>
      <vt:lpstr>Extra Data</vt:lpstr>
      <vt:lpstr>kRTotKmCh</vt:lpstr>
      <vt:lpstr>kRTotKmGg</vt:lpstr>
      <vt:lpstr>rhoOx</vt:lpstr>
      <vt:lpstr>rhoFu</vt:lpstr>
      <vt:lpstr>CpOx</vt:lpstr>
      <vt:lpstr>KOx</vt:lpstr>
      <vt:lpstr>StyleЭП810</vt:lpstr>
      <vt:lpstr>LinePipe</vt:lpstr>
      <vt:lpstr>VarRule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Aleksandr Cherniavskii</dc:creator>
  <cp:lastModifiedBy>Aleksandr Cherniavskii</cp:lastModifiedBy>
  <dcterms:created xsi:type="dcterms:W3CDTF">2015-06-05T18:19:34Z</dcterms:created>
  <dcterms:modified xsi:type="dcterms:W3CDTF">2025-03-20T08:11:38Z</dcterms:modified>
</cp:coreProperties>
</file>